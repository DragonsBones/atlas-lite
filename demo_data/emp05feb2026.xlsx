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codeName="ThisWorkbook"/>
  <xr:revisionPtr revIDLastSave="0" documentId="13_ncr:1_{53D2FCCE-76E7-4B88-A83D-44B8E4229869}" xr6:coauthVersionLast="47" xr6:coauthVersionMax="47" xr10:uidLastSave="{00000000-0000-0000-0000-000000000000}"/>
  <bookViews>
    <workbookView xWindow="-120" yWindow="-120" windowWidth="29040" windowHeight="15720" tabRatio="835" xr2:uid="{00000000-000D-0000-FFFF-FFFF00000000}"/>
  </bookViews>
  <sheets>
    <sheet name="Note" sheetId="25" r:id="rId1"/>
    <sheet name="triangle" sheetId="10" r:id="rId2"/>
    <sheet name="revisions" sheetId="17" r:id="rId3"/>
    <sheet name="comments" sheetId="24" r:id="rId4"/>
    <sheet name="after 12 Months" sheetId="7" r:id="rId5"/>
    <sheet name="Chart Titles" sheetId="23" state="hidden" r:id="rId6"/>
  </sheets>
  <definedNames>
    <definedName name="A">triangle!$A$1</definedName>
    <definedName name="_xlnm.Print_Area" localSheetId="4">'after 12 Months'!$A$1:$L$65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6" i="7" l="1"/>
  <c r="C7" i="7"/>
  <c r="C8" i="7"/>
  <c r="C9" i="7"/>
  <c r="C10" i="7"/>
  <c r="C11" i="7"/>
  <c r="C12" i="7"/>
  <c r="C13" i="7"/>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C42" i="7"/>
  <c r="C43" i="7"/>
  <c r="C44" i="7"/>
  <c r="C45" i="7"/>
  <c r="C46" i="7"/>
  <c r="C47" i="7"/>
  <c r="C48" i="7"/>
  <c r="C49" i="7"/>
  <c r="C50" i="7"/>
  <c r="C51" i="7"/>
  <c r="C52" i="7"/>
  <c r="C53" i="7"/>
  <c r="C54" i="7"/>
  <c r="C55" i="7"/>
  <c r="C56" i="7"/>
  <c r="C57" i="7"/>
  <c r="C58" i="7"/>
  <c r="C59" i="7"/>
  <c r="C60" i="7"/>
  <c r="C61" i="7"/>
  <c r="C62" i="7"/>
  <c r="C63" i="7"/>
  <c r="C64" i="7"/>
  <c r="C65" i="7"/>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53" i="7"/>
  <c r="D54" i="7"/>
  <c r="D55" i="7"/>
  <c r="D56" i="7"/>
  <c r="D57" i="7"/>
  <c r="D58" i="7"/>
  <c r="D59" i="7"/>
  <c r="D60" i="7"/>
  <c r="D61" i="7"/>
  <c r="D62" i="7"/>
  <c r="D63" i="7"/>
  <c r="D64" i="7"/>
  <c r="D65" i="7"/>
  <c r="B6" i="7"/>
  <c r="B7" i="7"/>
  <c r="B8" i="7"/>
  <c r="B9" i="7"/>
  <c r="B10" i="7"/>
  <c r="B11" i="7"/>
  <c r="B12" i="7"/>
  <c r="B13" i="7"/>
  <c r="B14" i="7"/>
  <c r="B15" i="7"/>
  <c r="B16" i="7"/>
  <c r="B17" i="7"/>
  <c r="B18" i="7"/>
  <c r="B19" i="7"/>
  <c r="B20" i="7"/>
  <c r="B21" i="7"/>
  <c r="B22" i="7"/>
  <c r="B23" i="7"/>
  <c r="B24" i="7"/>
  <c r="B25" i="7"/>
  <c r="B26" i="7"/>
  <c r="B27" i="7"/>
  <c r="B28" i="7"/>
  <c r="B29" i="7"/>
  <c r="B30" i="7"/>
  <c r="B31" i="7"/>
  <c r="B32" i="7"/>
  <c r="B33" i="7"/>
  <c r="B34" i="7"/>
  <c r="B35" i="7"/>
  <c r="B36" i="7"/>
  <c r="B37" i="7"/>
  <c r="B38" i="7"/>
  <c r="B39" i="7"/>
  <c r="B40" i="7"/>
  <c r="B41" i="7"/>
  <c r="B42" i="7"/>
  <c r="B43" i="7"/>
  <c r="B44" i="7"/>
  <c r="B45" i="7"/>
  <c r="B46" i="7"/>
  <c r="B47" i="7"/>
  <c r="B48" i="7"/>
  <c r="B49" i="7"/>
  <c r="B50" i="7"/>
  <c r="B51" i="7"/>
  <c r="B52" i="7"/>
  <c r="B53" i="7"/>
  <c r="B54" i="7"/>
  <c r="B55" i="7"/>
  <c r="B56" i="7"/>
  <c r="B57" i="7"/>
  <c r="B58" i="7"/>
  <c r="B59" i="7"/>
  <c r="B60" i="7"/>
  <c r="B61" i="7"/>
  <c r="B62" i="7"/>
  <c r="B63" i="7"/>
  <c r="B64" i="7"/>
  <c r="B65" i="7"/>
  <c r="GG200" i="10"/>
  <c r="GF200" i="10"/>
  <c r="GE200" i="10"/>
  <c r="GD200" i="10"/>
  <c r="GC200" i="10"/>
  <c r="GB200" i="10"/>
  <c r="GA200" i="10"/>
  <c r="FZ200" i="10"/>
  <c r="FY200" i="10"/>
  <c r="FX200" i="10"/>
  <c r="FW200" i="10"/>
  <c r="FV200" i="10"/>
  <c r="FU200" i="10"/>
  <c r="FT200" i="10"/>
  <c r="FS200" i="10"/>
  <c r="FR200" i="10"/>
  <c r="FQ200" i="10"/>
  <c r="FP200" i="10"/>
  <c r="FO200" i="10"/>
  <c r="FN200" i="10"/>
  <c r="FM200" i="10"/>
  <c r="FL200" i="10"/>
  <c r="FK200" i="10"/>
  <c r="FJ200" i="10"/>
  <c r="FI200" i="10"/>
  <c r="FH200" i="10"/>
  <c r="FG200" i="10"/>
  <c r="FF200" i="10"/>
  <c r="FE200" i="10"/>
  <c r="FD200" i="10"/>
  <c r="FC200" i="10"/>
  <c r="FB200" i="10"/>
  <c r="FA200" i="10"/>
  <c r="EZ200" i="10"/>
  <c r="EY200" i="10"/>
  <c r="EX200" i="10"/>
  <c r="EW200" i="10"/>
  <c r="EV200" i="10"/>
  <c r="EU200" i="10"/>
  <c r="ET200" i="10"/>
  <c r="ES200" i="10"/>
  <c r="ER200" i="10"/>
  <c r="EQ200" i="10"/>
  <c r="EP200" i="10"/>
  <c r="EO200" i="10"/>
  <c r="EN200" i="10"/>
  <c r="EM200" i="10"/>
  <c r="EL200" i="10"/>
  <c r="EK200" i="10"/>
  <c r="EJ200" i="10"/>
  <c r="EI200" i="10"/>
  <c r="EH200" i="10"/>
  <c r="EG200" i="10"/>
  <c r="EF200" i="10"/>
  <c r="EE200" i="10"/>
  <c r="ED200" i="10"/>
  <c r="EC200" i="10"/>
  <c r="EB200" i="10"/>
  <c r="EA200" i="10"/>
  <c r="DZ200" i="10"/>
  <c r="DY200" i="10"/>
  <c r="DX200" i="10"/>
  <c r="DW200" i="10"/>
  <c r="DV200" i="10"/>
  <c r="DU200" i="10"/>
  <c r="DT200" i="10"/>
  <c r="DS200" i="10"/>
  <c r="DR200" i="10"/>
  <c r="DQ200" i="10"/>
  <c r="DP200" i="10"/>
  <c r="DO200" i="10"/>
  <c r="DN200" i="10"/>
  <c r="DM200" i="10"/>
  <c r="DL200" i="10"/>
  <c r="DK200" i="10"/>
  <c r="DJ200" i="10"/>
  <c r="DI200" i="10"/>
  <c r="DH200" i="10"/>
  <c r="DG200" i="10"/>
  <c r="DF200" i="10"/>
  <c r="DE200" i="10"/>
  <c r="DD200" i="10"/>
  <c r="DC200" i="10"/>
  <c r="DB200" i="10"/>
  <c r="DA200" i="10"/>
  <c r="CZ200" i="10"/>
  <c r="CY200" i="10"/>
  <c r="CX200" i="10"/>
  <c r="CW200" i="10"/>
  <c r="CV200" i="10"/>
  <c r="CU200" i="10"/>
  <c r="CT200" i="10"/>
  <c r="CS200" i="10"/>
  <c r="CR200" i="10"/>
  <c r="CQ200" i="10"/>
  <c r="CP200" i="10"/>
  <c r="CO200" i="10"/>
  <c r="CN200" i="10"/>
  <c r="CM200" i="10"/>
  <c r="CL200" i="10"/>
  <c r="CK200" i="10"/>
  <c r="CJ200" i="10"/>
  <c r="CI200" i="10"/>
  <c r="CH200" i="10"/>
  <c r="CG200" i="10"/>
  <c r="CF200" i="10"/>
  <c r="CE200" i="10"/>
  <c r="CD200" i="10"/>
  <c r="CC200" i="10"/>
  <c r="CB200" i="10"/>
  <c r="CA200" i="10"/>
  <c r="BZ200" i="10"/>
  <c r="BY200" i="10"/>
  <c r="BX200" i="10"/>
  <c r="BW200" i="10"/>
  <c r="BV200" i="10"/>
  <c r="BU200" i="10"/>
  <c r="BT200" i="10"/>
  <c r="BS200" i="10"/>
  <c r="BR200" i="10"/>
  <c r="BQ200" i="10"/>
  <c r="BP200" i="10"/>
  <c r="BO200" i="10"/>
  <c r="BN200" i="10"/>
  <c r="BM200" i="10"/>
  <c r="BL200" i="10"/>
  <c r="BK200" i="10"/>
  <c r="BJ200" i="10"/>
  <c r="BI200" i="10"/>
  <c r="BH200" i="10"/>
  <c r="BG200" i="10"/>
  <c r="BF200" i="10"/>
  <c r="BE200" i="10"/>
  <c r="BD200" i="10"/>
  <c r="BC200" i="10"/>
  <c r="BB200" i="10"/>
  <c r="BA200" i="10"/>
  <c r="AZ200" i="10"/>
  <c r="AY200" i="10"/>
  <c r="AX200" i="10"/>
  <c r="AW200" i="10"/>
  <c r="AV200" i="10"/>
  <c r="AU200" i="10"/>
  <c r="AT200" i="10"/>
  <c r="AS200" i="10"/>
  <c r="AR200" i="10"/>
  <c r="AQ200" i="10"/>
  <c r="AP200" i="10"/>
  <c r="AO200" i="10"/>
  <c r="AN200" i="10"/>
  <c r="AM200" i="10"/>
  <c r="AL200" i="10"/>
  <c r="AK200" i="10"/>
  <c r="AJ200" i="10"/>
  <c r="AI200" i="10"/>
  <c r="AH200" i="10"/>
  <c r="AG200" i="10"/>
  <c r="AF200" i="10"/>
  <c r="AE200" i="10"/>
  <c r="AD200" i="10"/>
  <c r="AC200" i="10"/>
  <c r="AB200" i="10"/>
  <c r="AA200" i="10"/>
  <c r="Z200" i="10"/>
  <c r="Y200" i="10"/>
  <c r="X200" i="10"/>
  <c r="W200" i="10"/>
  <c r="V200" i="10"/>
  <c r="U200" i="10"/>
  <c r="T200" i="10"/>
  <c r="S200" i="10"/>
  <c r="R200" i="10"/>
  <c r="Q200" i="10"/>
  <c r="P200" i="10"/>
  <c r="O200" i="10"/>
  <c r="N200" i="10"/>
  <c r="M200" i="10"/>
  <c r="L200" i="10"/>
  <c r="K200" i="10"/>
  <c r="J200" i="10"/>
  <c r="I200" i="10"/>
  <c r="H200" i="10"/>
  <c r="G200" i="10"/>
  <c r="F200" i="10"/>
  <c r="E200" i="10"/>
  <c r="D200" i="10"/>
  <c r="C200" i="10"/>
  <c r="GG10" i="10"/>
  <c r="GF10" i="10"/>
  <c r="GE10" i="10"/>
  <c r="GD10" i="10"/>
  <c r="GC10" i="10"/>
  <c r="GB10" i="10"/>
  <c r="GA10" i="10"/>
  <c r="FZ10" i="10"/>
  <c r="FY10" i="10"/>
  <c r="FX10" i="10"/>
  <c r="FW10" i="10"/>
  <c r="FU10" i="10"/>
  <c r="FT10" i="10"/>
  <c r="FS10" i="10"/>
  <c r="FR10" i="10"/>
  <c r="FQ10" i="10"/>
  <c r="FP10" i="10"/>
  <c r="FO10" i="10"/>
  <c r="FN10" i="10"/>
  <c r="FM10" i="10"/>
  <c r="FL10" i="10"/>
  <c r="FK10" i="10"/>
  <c r="FJ10" i="10"/>
  <c r="FI10" i="10"/>
  <c r="FH10" i="10"/>
  <c r="FG10" i="10"/>
  <c r="FF10" i="10"/>
  <c r="FE10" i="10"/>
  <c r="FD10" i="10"/>
  <c r="FC10" i="10"/>
  <c r="FB10" i="10"/>
  <c r="FA10" i="10"/>
  <c r="EZ10" i="10"/>
  <c r="EY10" i="10"/>
  <c r="EX10" i="10"/>
  <c r="EW10" i="10"/>
  <c r="EV10" i="10"/>
  <c r="EU10" i="10"/>
  <c r="ET10" i="10"/>
  <c r="ES10" i="10"/>
  <c r="ER10" i="10"/>
  <c r="EQ10" i="10"/>
  <c r="EP10" i="10"/>
  <c r="EO10" i="10"/>
  <c r="EN10" i="10"/>
  <c r="EM10" i="10"/>
  <c r="EL10" i="10"/>
  <c r="EK10" i="10"/>
  <c r="EJ10" i="10"/>
  <c r="EI10" i="10"/>
  <c r="EH10" i="10"/>
  <c r="EG10" i="10"/>
  <c r="EF10" i="10"/>
  <c r="EE10" i="10"/>
  <c r="ED10" i="10"/>
  <c r="EC10" i="10"/>
  <c r="EB10" i="10"/>
  <c r="EA10" i="10"/>
  <c r="DZ10" i="10"/>
  <c r="DY10" i="10"/>
  <c r="DX10" i="10"/>
  <c r="DW10" i="10"/>
  <c r="DV10" i="10"/>
  <c r="DU10" i="10"/>
  <c r="DT10" i="10"/>
  <c r="DS10" i="10"/>
  <c r="DR10" i="10"/>
  <c r="DQ10" i="10"/>
  <c r="DP10" i="10"/>
  <c r="DO10" i="10"/>
  <c r="DN10" i="10"/>
  <c r="DM10" i="10"/>
  <c r="DL10" i="10"/>
  <c r="DK10" i="10"/>
  <c r="DJ10" i="10"/>
  <c r="DI10" i="10"/>
  <c r="DH10" i="10"/>
  <c r="DG10" i="10"/>
  <c r="DF10" i="10"/>
  <c r="DE10" i="10"/>
  <c r="DD10" i="10"/>
  <c r="DC10" i="10"/>
  <c r="DB10" i="10"/>
  <c r="DA10" i="10"/>
  <c r="CZ10" i="10"/>
  <c r="CY10" i="10"/>
  <c r="CX10" i="10"/>
  <c r="CW10" i="10"/>
  <c r="CV10" i="10"/>
  <c r="CU10" i="10"/>
  <c r="CT10" i="10"/>
  <c r="CS10" i="10"/>
  <c r="CR10" i="10"/>
  <c r="CQ10" i="10"/>
  <c r="CP10" i="10"/>
  <c r="CO10" i="10"/>
  <c r="CN10" i="10"/>
  <c r="CM10" i="10"/>
  <c r="CL10" i="10"/>
  <c r="CK10" i="10"/>
  <c r="CJ10" i="10"/>
  <c r="CI10" i="10"/>
  <c r="CH10" i="10"/>
  <c r="CG10" i="10"/>
  <c r="CF10" i="10"/>
  <c r="CE10" i="10"/>
  <c r="CD10" i="10"/>
  <c r="CC10" i="10"/>
  <c r="CB10" i="10"/>
  <c r="CA10" i="10"/>
  <c r="BZ10" i="10"/>
  <c r="BY10" i="10"/>
  <c r="BX10" i="10"/>
  <c r="BW10" i="10"/>
  <c r="BV10" i="10"/>
  <c r="BU10" i="10"/>
  <c r="BT10" i="10"/>
  <c r="BS10" i="10"/>
  <c r="BR10" i="10"/>
  <c r="BQ10" i="10"/>
  <c r="BP10" i="10"/>
  <c r="BO10" i="10"/>
  <c r="BN10" i="10"/>
  <c r="BM10" i="10"/>
  <c r="BL10" i="10"/>
  <c r="BK10" i="10"/>
  <c r="BJ10" i="10"/>
  <c r="BI10" i="10"/>
  <c r="BH10" i="10"/>
  <c r="BG10" i="10"/>
  <c r="BF10" i="10"/>
  <c r="BE10" i="10"/>
  <c r="BD10" i="10"/>
  <c r="BC10" i="10"/>
  <c r="BB10" i="10"/>
  <c r="BA10" i="10"/>
  <c r="AZ10" i="10"/>
  <c r="AY10" i="10"/>
  <c r="AX10" i="10"/>
  <c r="AW10" i="10"/>
  <c r="AV10" i="10"/>
  <c r="AU10" i="10"/>
  <c r="AT10" i="10"/>
  <c r="AS10" i="10"/>
  <c r="AR10" i="10"/>
  <c r="AQ10" i="10"/>
  <c r="AP10" i="10"/>
  <c r="AO10" i="10"/>
  <c r="AN10" i="10"/>
  <c r="AM10" i="10"/>
  <c r="AL10" i="10"/>
  <c r="AK10" i="10"/>
  <c r="AJ10" i="10"/>
  <c r="AI10" i="10"/>
  <c r="AH10" i="10"/>
  <c r="AG10" i="10"/>
  <c r="AF10" i="10"/>
  <c r="AE10" i="10"/>
  <c r="AD10" i="10"/>
  <c r="AC10" i="10"/>
  <c r="AB10" i="10"/>
  <c r="AA10" i="10"/>
  <c r="Z10" i="10"/>
  <c r="Y10" i="10"/>
  <c r="X10" i="10"/>
  <c r="W10" i="10"/>
  <c r="V10" i="10"/>
  <c r="U10" i="10"/>
  <c r="T10" i="10"/>
  <c r="S10" i="10"/>
  <c r="R10" i="10"/>
  <c r="Q10" i="10"/>
  <c r="P10" i="10"/>
  <c r="O10" i="10"/>
  <c r="N10" i="10"/>
  <c r="M10" i="10"/>
  <c r="L10" i="10"/>
  <c r="K10" i="10"/>
  <c r="J10" i="10"/>
  <c r="I10" i="10"/>
  <c r="H10" i="10"/>
  <c r="G10" i="10"/>
  <c r="F10" i="10"/>
  <c r="E10" i="10"/>
  <c r="D10" i="10"/>
  <c r="C10" i="10"/>
  <c r="GG9" i="10"/>
  <c r="GF9" i="10"/>
  <c r="GE9" i="10"/>
  <c r="GD9" i="10"/>
  <c r="GC9" i="10"/>
  <c r="GB9" i="10"/>
  <c r="GA9" i="10"/>
  <c r="FZ9" i="10"/>
  <c r="FY9" i="10"/>
  <c r="FX9" i="10"/>
  <c r="FW9" i="10"/>
  <c r="FV9" i="10"/>
  <c r="FU9" i="10"/>
  <c r="FT9" i="10"/>
  <c r="FS9" i="10"/>
  <c r="FR9" i="10"/>
  <c r="FQ9" i="10"/>
  <c r="FP9" i="10"/>
  <c r="FO9" i="10"/>
  <c r="FN9" i="10"/>
  <c r="FM9" i="10"/>
  <c r="FL9" i="10"/>
  <c r="FK9" i="10"/>
  <c r="FJ9" i="10"/>
  <c r="FI9" i="10"/>
  <c r="FH9" i="10"/>
  <c r="FG9" i="10"/>
  <c r="FF9" i="10"/>
  <c r="FE9" i="10"/>
  <c r="FD9" i="10"/>
  <c r="FC9" i="10"/>
  <c r="FB9" i="10"/>
  <c r="FA9" i="10"/>
  <c r="EZ9" i="10"/>
  <c r="EY9" i="10"/>
  <c r="EX9" i="10"/>
  <c r="EW9" i="10"/>
  <c r="EV9" i="10"/>
  <c r="EU9" i="10"/>
  <c r="ET9" i="10"/>
  <c r="ES9" i="10"/>
  <c r="ER9" i="10"/>
  <c r="EQ9" i="10"/>
  <c r="EP9" i="10"/>
  <c r="EO9" i="10"/>
  <c r="EN9" i="10"/>
  <c r="EM9" i="10"/>
  <c r="EL9" i="10"/>
  <c r="EK9" i="10"/>
  <c r="EJ9" i="10"/>
  <c r="EI9" i="10"/>
  <c r="EH9" i="10"/>
  <c r="EG9" i="10"/>
  <c r="EF9" i="10"/>
  <c r="EE9" i="10"/>
  <c r="ED9" i="10"/>
  <c r="EC9" i="10"/>
  <c r="EB9" i="10"/>
  <c r="EA9" i="10"/>
  <c r="DZ9" i="10"/>
  <c r="DY9" i="10"/>
  <c r="DX9" i="10"/>
  <c r="DW9" i="10"/>
  <c r="DV9" i="10"/>
  <c r="DU9" i="10"/>
  <c r="DT9" i="10"/>
  <c r="DS9" i="10"/>
  <c r="DR9" i="10"/>
  <c r="DQ9" i="10"/>
  <c r="DP9" i="10"/>
  <c r="DO9" i="10"/>
  <c r="DN9" i="10"/>
  <c r="DM9" i="10"/>
  <c r="DL9" i="10"/>
  <c r="DK9" i="10"/>
  <c r="DJ9" i="10"/>
  <c r="DI9" i="10"/>
  <c r="DH9" i="10"/>
  <c r="DG9" i="10"/>
  <c r="DF9" i="10"/>
  <c r="DE9" i="10"/>
  <c r="DD9" i="10"/>
  <c r="DC9" i="10"/>
  <c r="DB9" i="10"/>
  <c r="DA9" i="10"/>
  <c r="CZ9" i="10"/>
  <c r="CY9" i="10"/>
  <c r="CX9" i="10"/>
  <c r="CW9" i="10"/>
  <c r="CV9" i="10"/>
  <c r="CU9" i="10"/>
  <c r="CT9" i="10"/>
  <c r="CS9" i="10"/>
  <c r="CR9" i="10"/>
  <c r="CQ9" i="10"/>
  <c r="CP9" i="10"/>
  <c r="CO9" i="10"/>
  <c r="CN9" i="10"/>
  <c r="CM9" i="10"/>
  <c r="CL9" i="10"/>
  <c r="CK9" i="10"/>
  <c r="CJ9" i="10"/>
  <c r="CI9" i="10"/>
  <c r="CH9" i="10"/>
  <c r="CG9" i="10"/>
  <c r="CF9" i="10"/>
  <c r="CE9" i="10"/>
  <c r="CD9" i="10"/>
  <c r="CC9" i="10"/>
  <c r="CB9" i="10"/>
  <c r="CA9" i="10"/>
  <c r="BZ9" i="10"/>
  <c r="BY9" i="10"/>
  <c r="BX9" i="10"/>
  <c r="BW9" i="10"/>
  <c r="BV9" i="10"/>
  <c r="BU9" i="10"/>
  <c r="BT9" i="10"/>
  <c r="BS9" i="10"/>
  <c r="BR9" i="10"/>
  <c r="BQ9" i="10"/>
  <c r="BP9" i="10"/>
  <c r="BO9" i="10"/>
  <c r="BN9" i="10"/>
  <c r="BM9" i="10"/>
  <c r="BL9" i="10"/>
  <c r="BK9" i="10"/>
  <c r="BJ9" i="10"/>
  <c r="BI9" i="10"/>
  <c r="BH9" i="10"/>
  <c r="BG9" i="10"/>
  <c r="BF9" i="10"/>
  <c r="BE9" i="10"/>
  <c r="BD9" i="10"/>
  <c r="BC9" i="10"/>
  <c r="BB9" i="10"/>
  <c r="BA9" i="10"/>
  <c r="AZ9" i="10"/>
  <c r="AY9" i="10"/>
  <c r="AX9" i="10"/>
  <c r="AW9" i="10"/>
  <c r="AV9" i="10"/>
  <c r="AU9" i="10"/>
  <c r="AT9" i="10"/>
  <c r="AS9" i="10"/>
  <c r="AR9" i="10"/>
  <c r="AQ9" i="10"/>
  <c r="AP9" i="10"/>
  <c r="AO9" i="10"/>
  <c r="AN9" i="10"/>
  <c r="AM9" i="10"/>
  <c r="AL9" i="10"/>
  <c r="AK9" i="10"/>
  <c r="AJ9" i="10"/>
  <c r="AI9" i="10"/>
  <c r="AH9" i="10"/>
  <c r="AG9" i="10"/>
  <c r="AF9" i="10"/>
  <c r="AE9" i="10"/>
  <c r="AD9" i="10"/>
  <c r="AC9" i="10"/>
  <c r="AB9" i="10"/>
  <c r="AA9" i="10"/>
  <c r="Z9" i="10"/>
  <c r="Y9" i="10"/>
  <c r="X9" i="10"/>
  <c r="W9" i="10"/>
  <c r="V9" i="10"/>
  <c r="U9" i="10"/>
  <c r="T9" i="10"/>
  <c r="S9" i="10"/>
  <c r="R9" i="10"/>
  <c r="Q9" i="10"/>
  <c r="P9" i="10"/>
  <c r="O9" i="10"/>
  <c r="N9" i="10"/>
  <c r="M9" i="10"/>
  <c r="L9" i="10"/>
  <c r="K9" i="10"/>
  <c r="J9" i="10"/>
  <c r="I9" i="10"/>
  <c r="H9" i="10"/>
  <c r="G9" i="10"/>
  <c r="F9" i="10"/>
  <c r="E9" i="10"/>
  <c r="D9" i="10"/>
  <c r="C9" i="10"/>
  <c r="E26" i="7" l="1"/>
  <c r="E52" i="7"/>
  <c r="F53" i="7" s="1"/>
  <c r="E12" i="7"/>
  <c r="G12" i="7" s="1"/>
  <c r="E16" i="7"/>
  <c r="F17" i="7" s="1"/>
  <c r="E20" i="7"/>
  <c r="G20" i="7" s="1"/>
  <c r="E28" i="7"/>
  <c r="F29" i="7" s="1"/>
  <c r="E32" i="7"/>
  <c r="F33" i="7" s="1"/>
  <c r="B3" i="7"/>
  <c r="A6" i="23"/>
  <c r="A5" i="23"/>
  <c r="A4" i="23"/>
  <c r="E14" i="7"/>
  <c r="G14" i="7" s="1"/>
  <c r="E50" i="7"/>
  <c r="F51" i="7" s="1"/>
  <c r="E51" i="7"/>
  <c r="F52" i="7" s="1"/>
  <c r="E63" i="7"/>
  <c r="G63" i="7" s="1"/>
  <c r="E61" i="7"/>
  <c r="F62" i="7" s="1"/>
  <c r="E57" i="7"/>
  <c r="F58" i="7" s="1"/>
  <c r="E53" i="7"/>
  <c r="F54" i="7" s="1"/>
  <c r="E49" i="7"/>
  <c r="G49" i="7" s="1"/>
  <c r="E48" i="7"/>
  <c r="F49" i="7" s="1"/>
  <c r="E46" i="7"/>
  <c r="G46" i="7" s="1"/>
  <c r="E45" i="7"/>
  <c r="F46" i="7" s="1"/>
  <c r="E41" i="7"/>
  <c r="F42" i="7" s="1"/>
  <c r="E39" i="7"/>
  <c r="G39" i="7" s="1"/>
  <c r="E37" i="7"/>
  <c r="G37" i="7" s="1"/>
  <c r="E34" i="7"/>
  <c r="F35" i="7" s="1"/>
  <c r="E33" i="7"/>
  <c r="F34" i="7" s="1"/>
  <c r="E29" i="7"/>
  <c r="F30" i="7" s="1"/>
  <c r="E19" i="7"/>
  <c r="F20" i="7" s="1"/>
  <c r="E15" i="7"/>
  <c r="F16" i="7" s="1"/>
  <c r="E10" i="7"/>
  <c r="G10" i="7" s="1"/>
  <c r="E9" i="7"/>
  <c r="F10" i="7" s="1"/>
  <c r="E7" i="7"/>
  <c r="G7" i="7" s="1"/>
  <c r="E6" i="7"/>
  <c r="G6" i="7" s="1"/>
  <c r="E59" i="7"/>
  <c r="F60" i="7" s="1"/>
  <c r="E47" i="7"/>
  <c r="F48" i="7" s="1"/>
  <c r="E60" i="7"/>
  <c r="F61" i="7" s="1"/>
  <c r="E24" i="7"/>
  <c r="G24" i="7" s="1"/>
  <c r="E42" i="7"/>
  <c r="G42" i="7" s="1"/>
  <c r="E56" i="7"/>
  <c r="F57" i="7" s="1"/>
  <c r="E55" i="7"/>
  <c r="G55" i="7" s="1"/>
  <c r="E54" i="7"/>
  <c r="F55" i="7" s="1"/>
  <c r="E44" i="7"/>
  <c r="F45" i="7" s="1"/>
  <c r="E43" i="7"/>
  <c r="F44" i="7" s="1"/>
  <c r="E40" i="7"/>
  <c r="G40" i="7" s="1"/>
  <c r="E38" i="7"/>
  <c r="G38" i="7" s="1"/>
  <c r="E35" i="7"/>
  <c r="G35" i="7" s="1"/>
  <c r="E31" i="7"/>
  <c r="G31" i="7" s="1"/>
  <c r="E30" i="7"/>
  <c r="F31" i="7" s="1"/>
  <c r="E27" i="7"/>
  <c r="F28" i="7" s="1"/>
  <c r="E11" i="7"/>
  <c r="G11" i="7" s="1"/>
  <c r="E8" i="7"/>
  <c r="G8" i="7" s="1"/>
  <c r="E62" i="7"/>
  <c r="G62" i="7" s="1"/>
  <c r="E58" i="7"/>
  <c r="F59" i="7" s="1"/>
  <c r="E36" i="7"/>
  <c r="F37" i="7" s="1"/>
  <c r="E23" i="7"/>
  <c r="F24" i="7" s="1"/>
  <c r="E18" i="7"/>
  <c r="F19" i="7" s="1"/>
  <c r="E17" i="7"/>
  <c r="F18" i="7" s="1"/>
  <c r="E13" i="7"/>
  <c r="G13" i="7" s="1"/>
  <c r="E25" i="7"/>
  <c r="F26" i="7" s="1"/>
  <c r="E64" i="7"/>
  <c r="F65" i="7" s="1"/>
  <c r="G28" i="7" l="1"/>
  <c r="F13" i="7"/>
  <c r="G32" i="7"/>
  <c r="G16" i="7"/>
  <c r="G52" i="7"/>
  <c r="F21" i="7"/>
  <c r="F27" i="7"/>
  <c r="G26" i="7"/>
  <c r="E22" i="7"/>
  <c r="F23" i="7" s="1"/>
  <c r="F63" i="7"/>
  <c r="G54" i="7"/>
  <c r="G53" i="7"/>
  <c r="G51" i="7"/>
  <c r="G48" i="7"/>
  <c r="G43" i="7"/>
  <c r="F43" i="7"/>
  <c r="F41" i="7"/>
  <c r="F39" i="7"/>
  <c r="F38" i="7"/>
  <c r="G36" i="7"/>
  <c r="F32" i="7"/>
  <c r="G27" i="7"/>
  <c r="G23" i="7"/>
  <c r="F15" i="7"/>
  <c r="F12" i="7"/>
  <c r="F8" i="7"/>
  <c r="F40" i="7"/>
  <c r="E65" i="7"/>
  <c r="G65" i="7" s="1"/>
  <c r="E21" i="7"/>
  <c r="G21" i="7" s="1"/>
  <c r="G25" i="7"/>
  <c r="F11" i="7"/>
  <c r="F25" i="7"/>
  <c r="G47" i="7"/>
  <c r="G30" i="7"/>
  <c r="G17" i="7"/>
  <c r="F36" i="7"/>
  <c r="G44" i="7"/>
  <c r="F9" i="7"/>
  <c r="G64" i="7"/>
  <c r="G60" i="7"/>
  <c r="G58" i="7"/>
  <c r="G56" i="7"/>
  <c r="G57" i="7"/>
  <c r="F7" i="7"/>
  <c r="G9" i="7"/>
  <c r="G19" i="7"/>
  <c r="G33" i="7"/>
  <c r="G41" i="7"/>
  <c r="G50" i="7"/>
  <c r="G59" i="7"/>
  <c r="F47" i="7"/>
  <c r="F50" i="7"/>
  <c r="F64" i="7"/>
  <c r="F56" i="7"/>
  <c r="G61" i="7"/>
  <c r="G18" i="7"/>
  <c r="G15" i="7"/>
  <c r="G34" i="7"/>
  <c r="G45" i="7"/>
  <c r="F14" i="7"/>
  <c r="G29" i="7"/>
  <c r="G22" i="7" l="1"/>
  <c r="L12" i="7" s="1"/>
  <c r="J5" i="7"/>
  <c r="L11" i="7"/>
  <c r="F22" i="7"/>
  <c r="L4" i="7" s="1"/>
  <c r="J4" i="7"/>
  <c r="J8" i="7" s="1"/>
  <c r="J6" i="7"/>
  <c r="L5" i="7" l="1"/>
  <c r="L7" i="7" s="1"/>
  <c r="J7" i="7"/>
  <c r="J9" i="7" s="1"/>
  <c r="N8" i="7"/>
  <c r="L6" i="7" s="1"/>
  <c r="L8" i="7" s="1"/>
  <c r="J12" i="7"/>
  <c r="L9" i="7" l="1"/>
  <c r="L13" i="7" s="1"/>
  <c r="J13" i="7" l="1"/>
</calcChain>
</file>

<file path=xl/sharedStrings.xml><?xml version="1.0" encoding="utf-8"?>
<sst xmlns="http://schemas.openxmlformats.org/spreadsheetml/2006/main" count="371" uniqueCount="328">
  <si>
    <t>r(t-1)</t>
  </si>
  <si>
    <t>Standard t-test</t>
  </si>
  <si>
    <t>n</t>
  </si>
  <si>
    <t>rbar</t>
  </si>
  <si>
    <t>s^2</t>
  </si>
  <si>
    <t>t</t>
  </si>
  <si>
    <t>t-crit</t>
  </si>
  <si>
    <t>Adjusted t-stat</t>
  </si>
  <si>
    <t>alpha</t>
  </si>
  <si>
    <t>s*^2</t>
  </si>
  <si>
    <t>n*</t>
  </si>
  <si>
    <t>t*</t>
  </si>
  <si>
    <t>t*-crit</t>
  </si>
  <si>
    <t>Which test to use</t>
  </si>
  <si>
    <t>Is test significant?</t>
  </si>
  <si>
    <t>Test for bias</t>
  </si>
  <si>
    <t>Abs av rev =</t>
  </si>
  <si>
    <t>Abs (rev)</t>
  </si>
  <si>
    <t>(Please note that each worksheet in this file contains calculations for one indicator)</t>
  </si>
  <si>
    <t>significant or not?</t>
  </si>
  <si>
    <t>Latest Estimate</t>
  </si>
  <si>
    <t>Month 2 estimate</t>
  </si>
  <si>
    <t>Revision</t>
  </si>
  <si>
    <t>BB1 Estimate</t>
  </si>
  <si>
    <t>BB2 Estimate</t>
  </si>
  <si>
    <t>Month 1 estimate</t>
  </si>
  <si>
    <t xml:space="preserve">1955q1 </t>
  </si>
  <si>
    <t xml:space="preserve">1955q2 </t>
  </si>
  <si>
    <t xml:space="preserve">1955q3 </t>
  </si>
  <si>
    <t xml:space="preserve">1955q4 </t>
  </si>
  <si>
    <t xml:space="preserve">1956q1 </t>
  </si>
  <si>
    <t xml:space="preserve">1956q2 </t>
  </si>
  <si>
    <t xml:space="preserve">1956q3 </t>
  </si>
  <si>
    <t xml:space="preserve">1956q4 </t>
  </si>
  <si>
    <t xml:space="preserve">1957q1 </t>
  </si>
  <si>
    <t xml:space="preserve">1957q2 </t>
  </si>
  <si>
    <t xml:space="preserve">1957q3 </t>
  </si>
  <si>
    <t xml:space="preserve">1957q4 </t>
  </si>
  <si>
    <t xml:space="preserve">1958q1 </t>
  </si>
  <si>
    <t xml:space="preserve">1958q2 </t>
  </si>
  <si>
    <t xml:space="preserve">1958q3 </t>
  </si>
  <si>
    <t xml:space="preserve">1958q4 </t>
  </si>
  <si>
    <t xml:space="preserve">1959q1 </t>
  </si>
  <si>
    <t xml:space="preserve">1959q2 </t>
  </si>
  <si>
    <t xml:space="preserve">1959q3 </t>
  </si>
  <si>
    <t xml:space="preserve">1959q4 </t>
  </si>
  <si>
    <t xml:space="preserve">1960q1 </t>
  </si>
  <si>
    <t xml:space="preserve">1960q2 </t>
  </si>
  <si>
    <t xml:space="preserve">1960q3 </t>
  </si>
  <si>
    <t xml:space="preserve">1960q4 </t>
  </si>
  <si>
    <t xml:space="preserve">1961q1 </t>
  </si>
  <si>
    <t xml:space="preserve">1961q2 </t>
  </si>
  <si>
    <t xml:space="preserve">1961q3 </t>
  </si>
  <si>
    <t xml:space="preserve">1961q4 </t>
  </si>
  <si>
    <t xml:space="preserve">1962q1 </t>
  </si>
  <si>
    <t xml:space="preserve">1962q2 </t>
  </si>
  <si>
    <t xml:space="preserve">1962q3 </t>
  </si>
  <si>
    <t xml:space="preserve">1962q4 </t>
  </si>
  <si>
    <t xml:space="preserve">1963q1 </t>
  </si>
  <si>
    <t xml:space="preserve">1963q2 </t>
  </si>
  <si>
    <t xml:space="preserve">1963q3 </t>
  </si>
  <si>
    <t xml:space="preserve">1963q4 </t>
  </si>
  <si>
    <t xml:space="preserve">1964q1 </t>
  </si>
  <si>
    <t xml:space="preserve">1964q2 </t>
  </si>
  <si>
    <t xml:space="preserve">1964q3 </t>
  </si>
  <si>
    <t xml:space="preserve">1964q4 </t>
  </si>
  <si>
    <t xml:space="preserve">1965q1 </t>
  </si>
  <si>
    <t xml:space="preserve">1965q2 </t>
  </si>
  <si>
    <t xml:space="preserve">1965q3 </t>
  </si>
  <si>
    <t xml:space="preserve">1965q4 </t>
  </si>
  <si>
    <t xml:space="preserve">1966q1 </t>
  </si>
  <si>
    <t xml:space="preserve">1966q2 </t>
  </si>
  <si>
    <t xml:space="preserve">1966q3 </t>
  </si>
  <si>
    <t xml:space="preserve">1966q4 </t>
  </si>
  <si>
    <t xml:space="preserve">1967q1 </t>
  </si>
  <si>
    <t xml:space="preserve">1967q2 </t>
  </si>
  <si>
    <t xml:space="preserve">1967q3 </t>
  </si>
  <si>
    <t xml:space="preserve">1967q4 </t>
  </si>
  <si>
    <t xml:space="preserve">1968q1 </t>
  </si>
  <si>
    <t xml:space="preserve">1968q2 </t>
  </si>
  <si>
    <t xml:space="preserve">1968q3 </t>
  </si>
  <si>
    <t xml:space="preserve">1968q4 </t>
  </si>
  <si>
    <t xml:space="preserve">1969q1 </t>
  </si>
  <si>
    <t xml:space="preserve">1969q2 </t>
  </si>
  <si>
    <t xml:space="preserve">1969q3 </t>
  </si>
  <si>
    <t xml:space="preserve">1969q4 </t>
  </si>
  <si>
    <t xml:space="preserve">1970q1 </t>
  </si>
  <si>
    <t xml:space="preserve">1970q2 </t>
  </si>
  <si>
    <t xml:space="preserve">1970q3 </t>
  </si>
  <si>
    <t xml:space="preserve">1970q4 </t>
  </si>
  <si>
    <t xml:space="preserve">1971q1 </t>
  </si>
  <si>
    <t xml:space="preserve">1971q2 </t>
  </si>
  <si>
    <t xml:space="preserve">1971q3 </t>
  </si>
  <si>
    <t xml:space="preserve">1971q4 </t>
  </si>
  <si>
    <t xml:space="preserve">1972q1 </t>
  </si>
  <si>
    <t xml:space="preserve">1972q2 </t>
  </si>
  <si>
    <t xml:space="preserve">1972q3 </t>
  </si>
  <si>
    <t xml:space="preserve">1972q4 </t>
  </si>
  <si>
    <t xml:space="preserve">1973q1 </t>
  </si>
  <si>
    <t xml:space="preserve">1973q2 </t>
  </si>
  <si>
    <t xml:space="preserve">1973q3 </t>
  </si>
  <si>
    <t xml:space="preserve">1973q4 </t>
  </si>
  <si>
    <t xml:space="preserve">1974q1 </t>
  </si>
  <si>
    <t xml:space="preserve">1974q2 </t>
  </si>
  <si>
    <t xml:space="preserve">1974q3 </t>
  </si>
  <si>
    <t xml:space="preserve">1974q4 </t>
  </si>
  <si>
    <t xml:space="preserve">1975q1 </t>
  </si>
  <si>
    <t xml:space="preserve">1975q2 </t>
  </si>
  <si>
    <t xml:space="preserve">1975q3 </t>
  </si>
  <si>
    <t xml:space="preserve">1975q4 </t>
  </si>
  <si>
    <t xml:space="preserve">1976q1 </t>
  </si>
  <si>
    <t xml:space="preserve">1976q2 </t>
  </si>
  <si>
    <t xml:space="preserve">1976q3 </t>
  </si>
  <si>
    <t xml:space="preserve">1976q4 </t>
  </si>
  <si>
    <t xml:space="preserve">1977q1 </t>
  </si>
  <si>
    <t xml:space="preserve">1977q2 </t>
  </si>
  <si>
    <t xml:space="preserve">1977q3 </t>
  </si>
  <si>
    <t xml:space="preserve">1977q4 </t>
  </si>
  <si>
    <t xml:space="preserve">1978q1 </t>
  </si>
  <si>
    <t xml:space="preserve">1978q2 </t>
  </si>
  <si>
    <t xml:space="preserve">1978q3 </t>
  </si>
  <si>
    <t xml:space="preserve">1978q4 </t>
  </si>
  <si>
    <t xml:space="preserve">1979q1 </t>
  </si>
  <si>
    <t xml:space="preserve">1979q2 </t>
  </si>
  <si>
    <t xml:space="preserve">1979q3 </t>
  </si>
  <si>
    <t xml:space="preserve">1979q4 </t>
  </si>
  <si>
    <t xml:space="preserve">1980q1 </t>
  </si>
  <si>
    <t xml:space="preserve">1980q2 </t>
  </si>
  <si>
    <t xml:space="preserve">1980q3 </t>
  </si>
  <si>
    <t xml:space="preserve">1980q4 </t>
  </si>
  <si>
    <t xml:space="preserve">1981q1 </t>
  </si>
  <si>
    <t xml:space="preserve">1981q2 </t>
  </si>
  <si>
    <t xml:space="preserve">1981q3 </t>
  </si>
  <si>
    <t xml:space="preserve">1981q4 </t>
  </si>
  <si>
    <t xml:space="preserve">1982q1 </t>
  </si>
  <si>
    <t xml:space="preserve">1982q2 </t>
  </si>
  <si>
    <t xml:space="preserve">1982q3 </t>
  </si>
  <si>
    <t xml:space="preserve">1982q4 </t>
  </si>
  <si>
    <t xml:space="preserve">1983q1 </t>
  </si>
  <si>
    <t xml:space="preserve">1983q2 </t>
  </si>
  <si>
    <t xml:space="preserve">1983q3 </t>
  </si>
  <si>
    <t xml:space="preserve">1983q4 </t>
  </si>
  <si>
    <t xml:space="preserve">1984q1 </t>
  </si>
  <si>
    <t xml:space="preserve">1984q2 </t>
  </si>
  <si>
    <t xml:space="preserve">1984q3 </t>
  </si>
  <si>
    <t xml:space="preserve">1984q4 </t>
  </si>
  <si>
    <t xml:space="preserve">1985q1 </t>
  </si>
  <si>
    <t xml:space="preserve">1985q2 </t>
  </si>
  <si>
    <t xml:space="preserve">1985q3 </t>
  </si>
  <si>
    <t xml:space="preserve">1985q4 </t>
  </si>
  <si>
    <t xml:space="preserve">1986q1 </t>
  </si>
  <si>
    <t xml:space="preserve">1986q2 </t>
  </si>
  <si>
    <t xml:space="preserve">1986q3 </t>
  </si>
  <si>
    <t xml:space="preserve">1986q4 </t>
  </si>
  <si>
    <t>1987q1</t>
  </si>
  <si>
    <t>1987q2</t>
  </si>
  <si>
    <t>1987q3</t>
  </si>
  <si>
    <t>1987q4</t>
  </si>
  <si>
    <t>1988q1</t>
  </si>
  <si>
    <t>1988q2</t>
  </si>
  <si>
    <t>1988q3</t>
  </si>
  <si>
    <t>1988q4</t>
  </si>
  <si>
    <t>1989q1</t>
  </si>
  <si>
    <t>1989q2</t>
  </si>
  <si>
    <t>1989q3</t>
  </si>
  <si>
    <t>1989q4</t>
  </si>
  <si>
    <t>1990q1</t>
  </si>
  <si>
    <t>1990q2</t>
  </si>
  <si>
    <t>1990q3</t>
  </si>
  <si>
    <t>1990q4</t>
  </si>
  <si>
    <t>1991q1</t>
  </si>
  <si>
    <t>1991q2</t>
  </si>
  <si>
    <t>1991q3</t>
  </si>
  <si>
    <t>1991q4</t>
  </si>
  <si>
    <t>1992q1</t>
  </si>
  <si>
    <t>1992q2</t>
  </si>
  <si>
    <t>1992q3</t>
  </si>
  <si>
    <t>1992q4</t>
  </si>
  <si>
    <t>1993q1</t>
  </si>
  <si>
    <t>1993q2</t>
  </si>
  <si>
    <t>1993q3</t>
  </si>
  <si>
    <t>1993q4</t>
  </si>
  <si>
    <t>1994q1</t>
  </si>
  <si>
    <t>1994q2</t>
  </si>
  <si>
    <t>1994q3</t>
  </si>
  <si>
    <t>1994q4</t>
  </si>
  <si>
    <t>1995q1</t>
  </si>
  <si>
    <t>1995q2</t>
  </si>
  <si>
    <t>1995q3</t>
  </si>
  <si>
    <t>1995q4</t>
  </si>
  <si>
    <t>1996q1</t>
  </si>
  <si>
    <t>1996q2</t>
  </si>
  <si>
    <t>1996q3</t>
  </si>
  <si>
    <t>1996q4</t>
  </si>
  <si>
    <t>1997q1</t>
  </si>
  <si>
    <t>1997q2</t>
  </si>
  <si>
    <t>1997q3</t>
  </si>
  <si>
    <t>1997q4</t>
  </si>
  <si>
    <t>1998q1</t>
  </si>
  <si>
    <t>1998q2</t>
  </si>
  <si>
    <t>1998q3</t>
  </si>
  <si>
    <t>1998q4</t>
  </si>
  <si>
    <t>1999q1</t>
  </si>
  <si>
    <t>1999q2</t>
  </si>
  <si>
    <t>1999q3</t>
  </si>
  <si>
    <t>1999q4</t>
  </si>
  <si>
    <t>2000q1</t>
  </si>
  <si>
    <t>2000q2</t>
  </si>
  <si>
    <t>2000q3</t>
  </si>
  <si>
    <t>2000q4</t>
  </si>
  <si>
    <t>2001q1</t>
  </si>
  <si>
    <t>2001q2</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</si>
  <si>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</si>
  <si>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</si>
  <si>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</si>
  <si>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</si>
  <si>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</si>
  <si>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</si>
  <si>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</si>
  <si>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</si>
  <si>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</si>
  <si>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</si>
  <si>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</si>
  <si>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</si>
  <si>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</si>
  <si>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</si>
  <si>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</si>
  <si>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</si>
  <si>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</si>
  <si>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</si>
  <si>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</si>
  <si>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</si>
  <si>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</si>
  <si>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</si>
  <si>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</si>
  <si>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</si>
  <si>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</si>
  <si>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</si>
  <si>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</si>
  <si>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</si>
  <si>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</si>
  <si>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</si>
  <si>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</si>
  <si>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</si>
  <si>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</si>
  <si>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</si>
  <si>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</si>
  <si>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</si>
  <si>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</si>
  <si>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</si>
  <si>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Data on these sheets required for macro's. Do not move</t>
  </si>
  <si>
    <t>First Estimate</t>
  </si>
  <si>
    <t>Value 12 Months later</t>
  </si>
  <si>
    <t>Comments</t>
  </si>
  <si>
    <t>Period Revised</t>
  </si>
  <si>
    <t>Publication Date</t>
  </si>
  <si>
    <t>Cause of Revision</t>
  </si>
  <si>
    <r>
      <t xml:space="preserve">Revisions spreadsheet for monthly data </t>
    </r>
    <r>
      <rPr>
        <b/>
        <i/>
        <u/>
        <sz val="14"/>
        <color indexed="10"/>
        <rFont val="Arial"/>
        <family val="2"/>
      </rPr>
      <t>1st Estimate after 12 Months</t>
    </r>
  </si>
  <si>
    <t xml:space="preserve">Mean Revision = </t>
  </si>
  <si>
    <t>Relating to Period (three months ending)</t>
  </si>
  <si>
    <t>1. UK Employment rate</t>
  </si>
  <si>
    <t>18 May 2011</t>
  </si>
  <si>
    <t>2. Revisions to UK Employment rate</t>
  </si>
  <si>
    <t>From 2009</t>
  </si>
  <si>
    <t>15 August 2012</t>
  </si>
  <si>
    <t>To take account of the latest population estimates and the annual</t>
  </si>
  <si>
    <t>review of Labour Force Survey data seasonal adjustment.</t>
  </si>
  <si>
    <t>This spreadsheet provides a revisions analysis for the employment rate for those aged from 16 to 64. This series was first published in August 2010.</t>
  </si>
  <si>
    <t>From 2001</t>
  </si>
  <si>
    <t>To take account of the Census 2011 population estimates and the</t>
  </si>
  <si>
    <t>annual review of Labour Force Survey data seasonal adjustment.</t>
  </si>
  <si>
    <t>15 October 2014</t>
  </si>
  <si>
    <t>EMP05: Revisions triangle for UK Employment rate</t>
  </si>
  <si>
    <t>EMP05: Revisions triangle for Employment rate</t>
  </si>
  <si>
    <t>From 2012</t>
  </si>
  <si>
    <t>18 May 2016</t>
  </si>
  <si>
    <t>17 May 2017</t>
  </si>
  <si>
    <t>From 2011</t>
  </si>
  <si>
    <t>19 February 2019</t>
  </si>
  <si>
    <t>From 2002</t>
  </si>
  <si>
    <t>14 September 2005</t>
  </si>
  <si>
    <t>From 2003</t>
  </si>
  <si>
    <t>18 October 2006</t>
  </si>
  <si>
    <t>Annual seasonal adjustment review and incorporating latest</t>
  </si>
  <si>
    <t>population estimates.</t>
  </si>
  <si>
    <t>From 2000</t>
  </si>
  <si>
    <t>14 November 2007</t>
  </si>
  <si>
    <t>Incorporation of latest population estimates.</t>
  </si>
  <si>
    <t>From 1992</t>
  </si>
  <si>
    <t>14 May 2008</t>
  </si>
  <si>
    <t>Reweighting of population estimates and review of seasonal</t>
  </si>
  <si>
    <t>adjustment.</t>
  </si>
  <si>
    <t>From 2006</t>
  </si>
  <si>
    <t>15 October 2008</t>
  </si>
  <si>
    <t>From 2007</t>
  </si>
  <si>
    <t>11 November 2009</t>
  </si>
  <si>
    <t>17 February 2010</t>
  </si>
  <si>
    <t>Full re-weighting of LFS population estimates.</t>
  </si>
  <si>
    <t>11 August 2010</t>
  </si>
  <si>
    <t>Review of Labour Force Survey data seasonal adjustment.</t>
  </si>
  <si>
    <t>N/A</t>
  </si>
  <si>
    <t>-</t>
  </si>
  <si>
    <t>From 2020</t>
  </si>
  <si>
    <t>This spreadsheet provides a revisions analysis for the employment rate for those aged from 16 to 64.</t>
  </si>
  <si>
    <t>From May 2020</t>
  </si>
  <si>
    <t>To take in to account the latest population estimates adjusted for non-response bias due to Covid-19 pandemic</t>
  </si>
  <si>
    <t>From January to March 2020</t>
  </si>
  <si>
    <t>Reweighting of estimates back to January to March 2020</t>
  </si>
  <si>
    <t>From June - August 2011 to December -February 2019</t>
  </si>
  <si>
    <t>Modelling of estimates from June-August 2011 to December 2018-February 2019 for consistency with reweighted data from January to March 2019</t>
  </si>
  <si>
    <t>From January - March 2019 to July – September 2024</t>
  </si>
  <si>
    <t>Reweighting of estimates back to January – March 2019</t>
  </si>
  <si>
    <t>From June-August 2011 to June-August 2022</t>
  </si>
  <si>
    <t>Modelling of estimates from June-August 2011 to June-August 2022 for consistency with reweighted data from July-September 2022</t>
  </si>
  <si>
    <t>From July-September 2022 to September-November 2023</t>
  </si>
  <si>
    <t>Reweighting of estimates back to July-September 2022</t>
  </si>
  <si>
    <t>Revised data due to seasonal adjustment review</t>
  </si>
  <si>
    <t>From January - March 2019 to October to December 2024</t>
  </si>
  <si>
    <t>IMPORTANT NOTE:</t>
  </si>
  <si>
    <t>From 17 December 2024, we have reweighted Labour Force Survey (LFS) estimates.</t>
  </si>
  <si>
    <t>The reweighted LFS estimates incorporate information on the size and composition of the UK population, based on 2022 mid-year estimates. For England, Wales and Northern Ireland they are projected forward using scaling factors from 2021-based National Population projections, published in January 2024. For Scotland they are projected forward using scaling factors from 2020-based National Population Projections, published in January 2023.</t>
  </si>
  <si>
    <t>Given time constraints, we were only able to reweight LFS data from January to March 2019 onwards. Therefore, this reweighting exercise created a discontinuity between December 2018 to February 2019 and January to March 2019 where there is a step change in LFS estimates. However, we have modelled the seasonally adjusted UK levels of employment, unemployment and economic inactivity by sex and age-band back to June to August 2011, to ensure that headline rates and levels by sex and age-band (datasets A02SA and A05SA) can be assessed without a discontinuity.</t>
  </si>
  <si>
    <t xml:space="preserve">Important note: Reweighting increased the levels of all labour market statuses but did not address issues surrounding increased LFS volatility, resulting from smaller achieved sample sizes. </t>
  </si>
  <si>
    <t xml:space="preserve">Estimates from January to March 2025 include the full effect of the improvements in LFS data collection and sampling methods introduced from January 2024. However, estimates may be subject to the effect of further ongoing improvements. An increased amount of volatility will remain in the LFS estimates from mid-2023 and throughout 2024, so we would advise additional caution when interpreting change involving those periods. </t>
  </si>
  <si>
    <t xml:space="preserve">We recommend using LFS estimates as part of our suite of labour market indicators, alongside Workforce Jobs, Claimant Count and Pay As You Earn Real Time Information (PAYE RTI) estimates. </t>
  </si>
  <si>
    <t>These are official statistics in development.</t>
  </si>
  <si>
    <t xml:space="preserve">For further information, please see our Impact of reweighting on Labour Force Survey key indicators article: </t>
  </si>
  <si>
    <t>https://www.ons.gov.uk/releases/impactofreweightingonlabourforcesurveykeyindicatorsdecember2024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</si>
</sst>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0.0_)"/>
    <numFmt numFmtId="165" formatCode="_-* #,##0.0_-;\-* #,##0.0_-;_-* &quot;-&quot;??_-;_-@_-"/>
    <numFmt numFmtId="166" formatCode="_-* #,##0.000_-;\-* #,##0.000_-;_-* &quot;-&quot;??_-;_-@_-"/>
    <numFmt numFmtId="167" formatCode="_-* #,##0.00000_-;\-* #,##0.00000_-;_-* &quot;-&quot;??_-;_-@_-"/>
    <numFmt numFmtId="168" formatCode="0.0"/>
    <numFmt numFmtId="169" formatCode="_-* #,##0.000000000_-;\-* #,##0.000000000_-;_-* &quot;-&quot;??_-;_-@_-"/>
    <numFmt numFmtId="170" formatCode="[$-F800]dddd\,\ mmmm\ dd\,\ yyyy"/>
  </numFmts>
  <fonts count="26" x14ac:knownFonts="1">
    <font>
      <sz val="10"/>
      <name val="Arial"/>
    </font>
    <font>
      <sz val="10"/>
      <name val="Arial"/>
      <family val="2"/>
    </font>
    <font>
      <sz val="10"/>
      <name val="Courier"/>
      <family val="3"/>
    </font>
    <font>
      <b/>
      <sz val="10"/>
      <name val="Arial"/>
      <family val="2"/>
    </font>
    <font>
      <sz val="10"/>
      <name val="Times New Roman"/>
      <family val="1"/>
    </font>
    <font>
      <sz val="10"/>
      <name val="Arial"/>
      <family val="2"/>
    </font>
    <font>
      <b/>
      <u/>
      <sz val="14"/>
      <name val="Arial"/>
      <family val="2"/>
    </font>
    <font>
      <sz val="10"/>
      <color indexed="12"/>
      <name val="Arial"/>
      <family val="2"/>
    </font>
    <font>
      <b/>
      <sz val="11"/>
      <name val="Arial"/>
      <family val="2"/>
    </font>
    <font>
      <sz val="12"/>
      <name val="Arial"/>
      <family val="2"/>
    </font>
    <font>
      <sz val="8"/>
      <name val="Arial"/>
      <family val="2"/>
    </font>
    <font>
      <sz val="9"/>
      <color indexed="10"/>
      <name val="Arial"/>
      <family val="2"/>
    </font>
    <font>
      <b/>
      <sz val="10"/>
      <color indexed="10"/>
      <name val="Arial"/>
      <family val="2"/>
    </font>
    <font>
      <b/>
      <sz val="9"/>
      <name val="Arial"/>
      <family val="2"/>
    </font>
    <font>
      <b/>
      <i/>
      <u/>
      <sz val="14"/>
      <color indexed="10"/>
      <name val="Arial"/>
      <family val="2"/>
    </font>
    <font>
      <b/>
      <sz val="9"/>
      <color indexed="10"/>
      <name val="Arial"/>
      <family val="2"/>
    </font>
    <font>
      <b/>
      <sz val="10"/>
      <color indexed="12"/>
      <name val="Arial"/>
      <family val="2"/>
    </font>
    <font>
      <u/>
      <sz val="10"/>
      <color indexed="12"/>
      <name val="Arial"/>
      <family val="2"/>
    </font>
    <font>
      <b/>
      <sz val="12"/>
      <name val="Arial"/>
      <family val="2"/>
    </font>
    <font>
      <sz val="8"/>
      <name val="Arial"/>
      <family val="2"/>
    </font>
    <font>
      <sz val="10"/>
      <color indexed="8"/>
      <name val="Arial"/>
      <family val="2"/>
    </font>
    <font>
      <sz val="10"/>
      <name val="Arial"/>
      <family val="2"/>
    </font>
    <font>
      <sz val="10"/>
      <color rgb="FF000000"/>
      <name val="Arial"/>
      <family val="2"/>
    </font>
    <font>
      <b/>
      <sz val="26"/>
      <name val="Arial"/>
      <family val="2"/>
    </font>
    <font>
      <sz val="11"/>
      <name val="Arial"/>
      <family val="2"/>
    </font>
    <font>
      <b/>
      <u/>
      <sz val="12"/>
      <color indexed="12"/>
      <name val="Arial"/>
      <family val="2"/>
    </font>
  </fonts>
  <fills count="13">
    <fill>
      <patternFill patternType="none"/>
    </fill>
    <fill>
      <patternFill patternType="gray125"/>
    </fill>
    <fill>
      <patternFill patternType="solid">
        <fgColor indexed="55"/>
        <bgColor indexed="64"/>
      </patternFill>
    </fill>
    <fill>
      <patternFill patternType="solid">
        <fgColor indexed="46"/>
        <bgColor indexed="64"/>
      </patternFill>
    </fill>
    <fill>
      <patternFill patternType="solid">
        <fgColor indexed="22"/>
        <bgColor indexed="64"/>
      </patternFill>
    </fill>
    <fill>
      <patternFill patternType="solid">
        <fgColor indexed="41"/>
        <bgColor indexed="64"/>
      </patternFill>
    </fill>
    <fill>
      <patternFill patternType="solid">
        <fgColor indexed="42"/>
        <bgColor indexed="64"/>
      </patternFill>
    </fill>
    <fill>
      <patternFill patternType="solid">
        <fgColor indexed="9"/>
        <bgColor indexed="64"/>
      </patternFill>
    </fill>
    <fill>
      <patternFill patternType="solid">
        <fgColor indexed="43"/>
        <bgColor indexed="64"/>
      </patternFill>
    </fill>
    <fill>
      <patternFill patternType="solid">
        <fgColor indexed="47"/>
        <bgColor indexed="64"/>
      </patternFill>
    </fill>
    <fill>
      <patternFill patternType="solid">
        <fgColor indexed="13"/>
        <bgColor indexed="64"/>
      </patternFill>
    </fill>
    <fill>
      <patternFill patternType="solid">
        <fgColor indexed="40"/>
        <bgColor indexed="64"/>
      </patternFill>
    </fill>
    <fill>
      <patternFill patternType="solid">
        <fgColor theme="0"/>
        <bgColor indexed="64"/>
      </patternFill>
    </fill>
  </fills>
  <borders count="49">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style="thin">
        <color indexed="64"/>
      </left>
      <right/>
      <top style="thin">
        <color indexed="64"/>
      </top>
      <bottom/>
      <diagonal/>
    </border>
    <border>
      <left style="medium">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thin">
        <color indexed="64"/>
      </left>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style="medium">
        <color indexed="64"/>
      </top>
      <bottom style="medium">
        <color indexed="64"/>
      </bottom>
      <diagonal/>
    </border>
    <border>
      <left style="medium">
        <color indexed="64"/>
      </left>
      <right style="medium">
        <color indexed="64"/>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style="thin">
        <color indexed="64"/>
      </right>
      <top style="medium">
        <color indexed="64"/>
      </top>
      <bottom style="medium">
        <color indexed="64"/>
      </bottom>
      <diagonal/>
    </border>
  </borders>
  <cellStyleXfs count="264">
    <xf numFmtId="0" fontId="0" fillId="0" borderId="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2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2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21" fillId="0" borderId="0" applyFont="0" applyFill="0" applyBorder="0" applyAlignment="0" applyProtection="0"/>
    <xf numFmtId="0" fontId="17" fillId="0" borderId="0" applyNumberFormat="0" applyFill="0" applyBorder="0" applyAlignment="0" applyProtection="0">
      <alignment vertical="top"/>
      <protection locked="0"/>
    </xf>
    <xf numFmtId="0" fontId="5" fillId="0" borderId="0"/>
    <xf numFmtId="164" fontId="2" fillId="0" borderId="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cellStyleXfs>
  <cellXfs count="199">
    <xf numFmtId="0" fontId="0" fillId="0" borderId="0" xfId="0"/>
    <xf numFmtId="0" fontId="5" fillId="0" borderId="0" xfId="0" applyFont="1" applyProtection="1">
      <protection hidden="1"/>
    </xf>
    <xf numFmtId="0" fontId="9" fillId="0" borderId="0" xfId="0" applyFont="1" applyProtection="1">
      <protection hidden="1"/>
    </xf>
    <xf numFmtId="0" fontId="5" fillId="2" borderId="1" xfId="0" applyFont="1" applyFill="1" applyBorder="1" applyProtection="1">
      <protection hidden="1"/>
    </xf>
    <xf numFmtId="0" fontId="5" fillId="2" borderId="2" xfId="0" applyFont="1" applyFill="1" applyBorder="1" applyProtection="1">
      <protection hidden="1"/>
    </xf>
    <xf numFmtId="0" fontId="10" fillId="0" borderId="0" xfId="0" applyFont="1" applyAlignment="1" applyProtection="1">
      <alignment horizontal="left"/>
      <protection hidden="1"/>
    </xf>
    <xf numFmtId="0" fontId="3" fillId="0" borderId="0" xfId="0" applyFont="1" applyAlignment="1" applyProtection="1">
      <alignment vertical="center"/>
      <protection hidden="1"/>
    </xf>
    <xf numFmtId="0" fontId="5" fillId="0" borderId="0" xfId="0" applyFont="1" applyAlignment="1" applyProtection="1">
      <alignment vertical="center"/>
      <protection hidden="1"/>
    </xf>
    <xf numFmtId="0" fontId="5" fillId="0" borderId="0" xfId="0" applyFont="1" applyAlignment="1" applyProtection="1">
      <alignment horizontal="right" vertical="center"/>
      <protection hidden="1"/>
    </xf>
    <xf numFmtId="0" fontId="3" fillId="0" borderId="3" xfId="0" applyFont="1" applyBorder="1" applyAlignment="1" applyProtection="1">
      <alignment horizontal="left" vertical="center"/>
      <protection hidden="1"/>
    </xf>
    <xf numFmtId="0" fontId="3" fillId="0" borderId="4" xfId="0" applyFont="1" applyBorder="1" applyAlignment="1" applyProtection="1">
      <alignment horizontal="left" vertical="center"/>
      <protection hidden="1"/>
    </xf>
    <xf numFmtId="0" fontId="3" fillId="3" borderId="3" xfId="0" applyFont="1" applyFill="1" applyBorder="1" applyAlignment="1" applyProtection="1">
      <alignment horizontal="left" vertical="center"/>
      <protection hidden="1"/>
    </xf>
    <xf numFmtId="165" fontId="3" fillId="3" borderId="1" xfId="1" applyNumberFormat="1" applyFont="1" applyFill="1" applyBorder="1" applyAlignment="1" applyProtection="1">
      <alignment vertical="center"/>
      <protection hidden="1"/>
    </xf>
    <xf numFmtId="43" fontId="3" fillId="3" borderId="1" xfId="0" applyNumberFormat="1" applyFont="1" applyFill="1" applyBorder="1" applyAlignment="1" applyProtection="1">
      <alignment vertical="center"/>
      <protection hidden="1"/>
    </xf>
    <xf numFmtId="43" fontId="3" fillId="3" borderId="3" xfId="0" applyNumberFormat="1" applyFont="1" applyFill="1" applyBorder="1" applyAlignment="1" applyProtection="1">
      <alignment vertical="center"/>
      <protection hidden="1"/>
    </xf>
    <xf numFmtId="0" fontId="12" fillId="0" borderId="2" xfId="0" applyFont="1" applyBorder="1" applyAlignment="1" applyProtection="1">
      <alignment horizontal="center" vertical="center"/>
      <protection hidden="1"/>
    </xf>
    <xf numFmtId="0" fontId="12" fillId="0" borderId="5" xfId="0" applyFont="1" applyBorder="1" applyAlignment="1" applyProtection="1">
      <alignment horizontal="center" vertical="center"/>
      <protection hidden="1"/>
    </xf>
    <xf numFmtId="0" fontId="13" fillId="4" borderId="3" xfId="0" applyFont="1" applyFill="1" applyBorder="1" applyAlignment="1" applyProtection="1">
      <alignment vertical="center"/>
      <protection hidden="1"/>
    </xf>
    <xf numFmtId="0" fontId="3" fillId="0" borderId="6" xfId="0" applyFont="1" applyBorder="1" applyAlignment="1" applyProtection="1">
      <alignment vertical="center"/>
      <protection hidden="1"/>
    </xf>
    <xf numFmtId="0" fontId="13" fillId="4" borderId="1" xfId="0" applyFont="1" applyFill="1" applyBorder="1" applyAlignment="1" applyProtection="1">
      <alignment vertical="center"/>
      <protection hidden="1"/>
    </xf>
    <xf numFmtId="0" fontId="3" fillId="0" borderId="7" xfId="0" applyFont="1" applyBorder="1" applyAlignment="1" applyProtection="1">
      <alignment vertical="center"/>
      <protection hidden="1"/>
    </xf>
    <xf numFmtId="0" fontId="3" fillId="0" borderId="8" xfId="0" applyFont="1" applyBorder="1" applyAlignment="1" applyProtection="1">
      <alignment vertical="center"/>
      <protection hidden="1"/>
    </xf>
    <xf numFmtId="0" fontId="5" fillId="0" borderId="7" xfId="0" applyFont="1" applyBorder="1" applyAlignment="1" applyProtection="1">
      <alignment horizontal="right" vertical="center"/>
      <protection hidden="1"/>
    </xf>
    <xf numFmtId="166" fontId="5" fillId="0" borderId="8" xfId="0" applyNumberFormat="1" applyFont="1" applyBorder="1" applyAlignment="1" applyProtection="1">
      <alignment horizontal="right" vertical="center"/>
      <protection hidden="1"/>
    </xf>
    <xf numFmtId="167" fontId="5" fillId="0" borderId="8" xfId="0" applyNumberFormat="1" applyFont="1" applyBorder="1" applyAlignment="1" applyProtection="1">
      <alignment horizontal="right" vertical="center"/>
      <protection hidden="1"/>
    </xf>
    <xf numFmtId="0" fontId="3" fillId="0" borderId="8" xfId="0" applyFont="1" applyBorder="1" applyAlignment="1" applyProtection="1">
      <alignment horizontal="right" vertical="center"/>
      <protection hidden="1"/>
    </xf>
    <xf numFmtId="0" fontId="5" fillId="0" borderId="8" xfId="0" applyFont="1" applyBorder="1" applyAlignment="1" applyProtection="1">
      <alignment horizontal="right" vertical="center"/>
      <protection hidden="1"/>
    </xf>
    <xf numFmtId="0" fontId="5" fillId="0" borderId="9" xfId="0" applyFont="1" applyBorder="1" applyAlignment="1" applyProtection="1">
      <alignment horizontal="right" vertical="center"/>
      <protection hidden="1"/>
    </xf>
    <xf numFmtId="0" fontId="12" fillId="4" borderId="2" xfId="0" applyFont="1" applyFill="1" applyBorder="1" applyAlignment="1" applyProtection="1">
      <alignment horizontal="right" vertical="center"/>
      <protection hidden="1"/>
    </xf>
    <xf numFmtId="0" fontId="12" fillId="4" borderId="3" xfId="0" applyFont="1" applyFill="1" applyBorder="1" applyAlignment="1" applyProtection="1">
      <alignment horizontal="right" vertical="center"/>
      <protection hidden="1"/>
    </xf>
    <xf numFmtId="0" fontId="12" fillId="3" borderId="2" xfId="0" applyFont="1" applyFill="1" applyBorder="1" applyAlignment="1" applyProtection="1">
      <alignment horizontal="center" vertical="center"/>
      <protection hidden="1"/>
    </xf>
    <xf numFmtId="0" fontId="6" fillId="0" borderId="0" xfId="0" applyFont="1" applyAlignment="1" applyProtection="1">
      <alignment horizontal="left"/>
      <protection hidden="1"/>
    </xf>
    <xf numFmtId="0" fontId="15" fillId="0" borderId="0" xfId="0" applyFont="1" applyAlignment="1" applyProtection="1">
      <alignment horizontal="left" vertical="center"/>
      <protection hidden="1"/>
    </xf>
    <xf numFmtId="168" fontId="4" fillId="5" borderId="8" xfId="1" applyNumberFormat="1" applyFont="1" applyFill="1" applyBorder="1" applyAlignment="1" applyProtection="1">
      <alignment horizontal="right"/>
      <protection locked="0"/>
    </xf>
    <xf numFmtId="168" fontId="4" fillId="6" borderId="9" xfId="1" applyNumberFormat="1" applyFont="1" applyFill="1" applyBorder="1" applyAlignment="1" applyProtection="1">
      <alignment horizontal="right"/>
      <protection locked="0"/>
    </xf>
    <xf numFmtId="168" fontId="4" fillId="5" borderId="10" xfId="1" applyNumberFormat="1" applyFont="1" applyFill="1" applyBorder="1" applyAlignment="1" applyProtection="1">
      <alignment horizontal="right"/>
      <protection locked="0"/>
    </xf>
    <xf numFmtId="49" fontId="3" fillId="4" borderId="3" xfId="0" applyNumberFormat="1" applyFont="1" applyFill="1" applyBorder="1" applyAlignment="1" applyProtection="1">
      <alignment horizontal="center" vertical="top" wrapText="1"/>
      <protection hidden="1"/>
    </xf>
    <xf numFmtId="49" fontId="16" fillId="4" borderId="3" xfId="0" applyNumberFormat="1" applyFont="1" applyFill="1" applyBorder="1" applyAlignment="1" applyProtection="1">
      <alignment horizontal="center" vertical="top" wrapText="1"/>
      <protection hidden="1"/>
    </xf>
    <xf numFmtId="49" fontId="3" fillId="4" borderId="3" xfId="0" applyNumberFormat="1" applyFont="1" applyFill="1" applyBorder="1" applyAlignment="1" applyProtection="1">
      <alignment horizontal="right" vertical="top" wrapText="1"/>
      <protection hidden="1"/>
    </xf>
    <xf numFmtId="2" fontId="5" fillId="0" borderId="8" xfId="0" applyNumberFormat="1" applyFont="1" applyBorder="1" applyAlignment="1" applyProtection="1">
      <alignment horizontal="right"/>
      <protection hidden="1"/>
    </xf>
    <xf numFmtId="2" fontId="5" fillId="0" borderId="10" xfId="0" applyNumberFormat="1" applyFont="1" applyBorder="1" applyAlignment="1" applyProtection="1">
      <alignment horizontal="right"/>
      <protection hidden="1"/>
    </xf>
    <xf numFmtId="2" fontId="5" fillId="0" borderId="6" xfId="0" applyNumberFormat="1" applyFont="1" applyBorder="1" applyAlignment="1" applyProtection="1">
      <alignment horizontal="right"/>
      <protection hidden="1"/>
    </xf>
    <xf numFmtId="2" fontId="5" fillId="0" borderId="11" xfId="0" applyNumberFormat="1" applyFont="1" applyBorder="1" applyAlignment="1" applyProtection="1">
      <alignment horizontal="right"/>
      <protection hidden="1"/>
    </xf>
    <xf numFmtId="2" fontId="5" fillId="0" borderId="9" xfId="0" applyNumberFormat="1" applyFont="1" applyBorder="1" applyAlignment="1" applyProtection="1">
      <alignment horizontal="right"/>
      <protection hidden="1"/>
    </xf>
    <xf numFmtId="2" fontId="5" fillId="0" borderId="12" xfId="0" applyNumberFormat="1" applyFont="1" applyBorder="1" applyAlignment="1" applyProtection="1">
      <alignment horizontal="right"/>
      <protection hidden="1"/>
    </xf>
    <xf numFmtId="168" fontId="4" fillId="6" borderId="12" xfId="1" applyNumberFormat="1" applyFont="1" applyFill="1" applyBorder="1" applyAlignment="1" applyProtection="1">
      <alignment horizontal="right"/>
      <protection locked="0"/>
    </xf>
    <xf numFmtId="0" fontId="12" fillId="0" borderId="0" xfId="0" applyFont="1"/>
    <xf numFmtId="17" fontId="0" fillId="0" borderId="0" xfId="0" applyNumberFormat="1" applyAlignment="1">
      <alignment wrapText="1"/>
    </xf>
    <xf numFmtId="0" fontId="6" fillId="0" borderId="0" xfId="0" applyFont="1" applyAlignment="1" applyProtection="1">
      <alignment horizontal="right"/>
      <protection hidden="1"/>
    </xf>
    <xf numFmtId="0" fontId="0" fillId="0" borderId="0" xfId="0" applyAlignment="1">
      <alignment horizontal="right"/>
    </xf>
    <xf numFmtId="0" fontId="15" fillId="0" borderId="0" xfId="0" applyFont="1" applyAlignment="1" applyProtection="1">
      <alignment horizontal="right" vertical="center"/>
      <protection hidden="1"/>
    </xf>
    <xf numFmtId="17" fontId="0" fillId="0" borderId="0" xfId="0" applyNumberFormat="1" applyAlignment="1">
      <alignment horizontal="right" wrapText="1"/>
    </xf>
    <xf numFmtId="164" fontId="5" fillId="8" borderId="13" xfId="131" applyFont="1" applyFill="1" applyBorder="1" applyAlignment="1" applyProtection="1">
      <alignment horizontal="right" wrapText="1"/>
      <protection locked="0" hidden="1"/>
    </xf>
    <xf numFmtId="164" fontId="5" fillId="9" borderId="13" xfId="131" applyFont="1" applyFill="1" applyBorder="1" applyAlignment="1" applyProtection="1">
      <alignment horizontal="right"/>
      <protection locked="0" hidden="1"/>
    </xf>
    <xf numFmtId="168" fontId="0" fillId="5" borderId="13" xfId="0" applyNumberFormat="1" applyFill="1" applyBorder="1" applyAlignment="1">
      <alignment horizontal="right"/>
    </xf>
    <xf numFmtId="17" fontId="3" fillId="4" borderId="3" xfId="0" applyNumberFormat="1" applyFont="1" applyFill="1" applyBorder="1" applyAlignment="1" applyProtection="1">
      <alignment horizontal="right" vertical="top" wrapText="1"/>
      <protection hidden="1"/>
    </xf>
    <xf numFmtId="17" fontId="0" fillId="11" borderId="17" xfId="0" applyNumberFormat="1" applyFill="1" applyBorder="1" applyAlignment="1">
      <alignment horizontal="right" wrapText="1"/>
    </xf>
    <xf numFmtId="168" fontId="0" fillId="5" borderId="1" xfId="0" applyNumberFormat="1" applyFill="1" applyBorder="1" applyAlignment="1">
      <alignment horizontal="right"/>
    </xf>
    <xf numFmtId="168" fontId="5" fillId="6" borderId="1" xfId="0" applyNumberFormat="1" applyFont="1" applyFill="1" applyBorder="1" applyAlignment="1" applyProtection="1">
      <alignment horizontal="right" vertical="top" wrapText="1"/>
      <protection hidden="1"/>
    </xf>
    <xf numFmtId="168" fontId="5" fillId="6" borderId="13" xfId="0" applyNumberFormat="1" applyFont="1" applyFill="1" applyBorder="1" applyAlignment="1" applyProtection="1">
      <alignment horizontal="right" vertical="top" wrapText="1"/>
      <protection hidden="1"/>
    </xf>
    <xf numFmtId="168" fontId="7" fillId="7" borderId="13" xfId="0" applyNumberFormat="1" applyFont="1" applyFill="1" applyBorder="1" applyAlignment="1" applyProtection="1">
      <alignment horizontal="right" vertical="top" wrapText="1"/>
      <protection hidden="1"/>
    </xf>
    <xf numFmtId="17" fontId="0" fillId="10" borderId="10" xfId="0" applyNumberFormat="1" applyFill="1" applyBorder="1"/>
    <xf numFmtId="17" fontId="0" fillId="10" borderId="8" xfId="0" applyNumberFormat="1" applyFill="1" applyBorder="1"/>
    <xf numFmtId="2" fontId="5" fillId="0" borderId="18" xfId="0" applyNumberFormat="1" applyFont="1" applyBorder="1" applyAlignment="1" applyProtection="1">
      <alignment horizontal="right"/>
      <protection hidden="1"/>
    </xf>
    <xf numFmtId="2" fontId="5" fillId="0" borderId="19" xfId="0" applyNumberFormat="1" applyFont="1" applyBorder="1" applyAlignment="1" applyProtection="1">
      <alignment horizontal="right"/>
      <protection hidden="1"/>
    </xf>
    <xf numFmtId="165" fontId="5" fillId="0" borderId="14" xfId="0" applyNumberFormat="1" applyFont="1" applyBorder="1" applyAlignment="1">
      <alignment horizontal="center"/>
    </xf>
    <xf numFmtId="0" fontId="0" fillId="0" borderId="0" xfId="0" applyAlignment="1">
      <alignment horizontal="center"/>
    </xf>
    <xf numFmtId="165" fontId="5" fillId="5" borderId="21" xfId="0" applyNumberFormat="1" applyFont="1" applyFill="1" applyBorder="1" applyAlignment="1">
      <alignment horizontal="center"/>
    </xf>
    <xf numFmtId="165" fontId="5" fillId="0" borderId="21" xfId="0" applyNumberFormat="1" applyFont="1" applyBorder="1" applyAlignment="1">
      <alignment horizontal="center"/>
    </xf>
    <xf numFmtId="165" fontId="5" fillId="0" borderId="15" xfId="0" applyNumberFormat="1" applyFont="1" applyBorder="1" applyAlignment="1">
      <alignment horizontal="center"/>
    </xf>
    <xf numFmtId="17" fontId="0" fillId="10" borderId="22" xfId="0" applyNumberFormat="1" applyFill="1" applyBorder="1"/>
    <xf numFmtId="168" fontId="4" fillId="5" borderId="22" xfId="1" applyNumberFormat="1" applyFont="1" applyFill="1" applyBorder="1" applyAlignment="1" applyProtection="1">
      <alignment horizontal="right"/>
      <protection locked="0"/>
    </xf>
    <xf numFmtId="168" fontId="4" fillId="6" borderId="19" xfId="1" applyNumberFormat="1" applyFont="1" applyFill="1" applyBorder="1" applyAlignment="1" applyProtection="1">
      <alignment horizontal="right"/>
      <protection locked="0"/>
    </xf>
    <xf numFmtId="2" fontId="5" fillId="0" borderId="22" xfId="0" applyNumberFormat="1" applyFont="1" applyBorder="1" applyAlignment="1" applyProtection="1">
      <alignment horizontal="right"/>
      <protection hidden="1"/>
    </xf>
    <xf numFmtId="169" fontId="3" fillId="0" borderId="9" xfId="0" applyNumberFormat="1" applyFont="1" applyBorder="1" applyAlignment="1" applyProtection="1">
      <alignment horizontal="right" vertical="center"/>
      <protection hidden="1"/>
    </xf>
    <xf numFmtId="17" fontId="5" fillId="10" borderId="13" xfId="131" applyNumberFormat="1" applyFont="1" applyFill="1" applyBorder="1" applyAlignment="1" applyProtection="1">
      <alignment horizontal="right" wrapText="1"/>
      <protection locked="0" hidden="1"/>
    </xf>
    <xf numFmtId="17" fontId="5" fillId="10" borderId="25" xfId="131" applyNumberFormat="1" applyFont="1" applyFill="1" applyBorder="1" applyAlignment="1" applyProtection="1">
      <alignment horizontal="right" wrapText="1"/>
      <protection locked="0" hidden="1"/>
    </xf>
    <xf numFmtId="164" fontId="5" fillId="8" borderId="25" xfId="131" applyFont="1" applyFill="1" applyBorder="1" applyAlignment="1" applyProtection="1">
      <alignment horizontal="right" wrapText="1"/>
      <protection locked="0" hidden="1"/>
    </xf>
    <xf numFmtId="164" fontId="5" fillId="9" borderId="25" xfId="131" applyFont="1" applyFill="1" applyBorder="1" applyAlignment="1" applyProtection="1">
      <alignment horizontal="right"/>
      <protection locked="0" hidden="1"/>
    </xf>
    <xf numFmtId="168" fontId="0" fillId="5" borderId="25" xfId="0" applyNumberFormat="1" applyFill="1" applyBorder="1" applyAlignment="1">
      <alignment horizontal="right"/>
    </xf>
    <xf numFmtId="168" fontId="5" fillId="6" borderId="25" xfId="0" applyNumberFormat="1" applyFont="1" applyFill="1" applyBorder="1" applyAlignment="1" applyProtection="1">
      <alignment horizontal="right" vertical="top" wrapText="1"/>
      <protection hidden="1"/>
    </xf>
    <xf numFmtId="168" fontId="7" fillId="7" borderId="25" xfId="0" applyNumberFormat="1" applyFont="1" applyFill="1" applyBorder="1" applyAlignment="1" applyProtection="1">
      <alignment horizontal="right" vertical="top" wrapText="1"/>
      <protection hidden="1"/>
    </xf>
    <xf numFmtId="17" fontId="0" fillId="11" borderId="28" xfId="0" applyNumberFormat="1" applyFill="1" applyBorder="1" applyAlignment="1">
      <alignment horizontal="right" wrapText="1"/>
    </xf>
    <xf numFmtId="49" fontId="3" fillId="4" borderId="4" xfId="0" applyNumberFormat="1" applyFont="1" applyFill="1" applyBorder="1" applyAlignment="1" applyProtection="1">
      <alignment horizontal="right" vertical="top" wrapText="1"/>
      <protection hidden="1"/>
    </xf>
    <xf numFmtId="168" fontId="0" fillId="0" borderId="32" xfId="0" applyNumberFormat="1" applyBorder="1" applyAlignment="1">
      <alignment horizontal="center"/>
    </xf>
    <xf numFmtId="168" fontId="0" fillId="0" borderId="33" xfId="0" applyNumberFormat="1" applyBorder="1" applyAlignment="1">
      <alignment horizontal="center"/>
    </xf>
    <xf numFmtId="165" fontId="5" fillId="0" borderId="34" xfId="0" applyNumberFormat="1" applyFont="1" applyBorder="1" applyAlignment="1">
      <alignment horizontal="center"/>
    </xf>
    <xf numFmtId="165" fontId="5" fillId="5" borderId="27" xfId="0" applyNumberFormat="1" applyFont="1" applyFill="1" applyBorder="1" applyAlignment="1">
      <alignment horizontal="center"/>
    </xf>
    <xf numFmtId="168" fontId="0" fillId="0" borderId="13" xfId="0" applyNumberFormat="1" applyBorder="1" applyAlignment="1">
      <alignment horizontal="center"/>
    </xf>
    <xf numFmtId="0" fontId="3" fillId="0" borderId="0" xfId="0" applyFont="1"/>
    <xf numFmtId="168" fontId="0" fillId="0" borderId="32" xfId="0" applyNumberFormat="1" applyBorder="1" applyAlignment="1" applyProtection="1">
      <alignment horizontal="right"/>
      <protection locked="0"/>
    </xf>
    <xf numFmtId="168" fontId="1" fillId="6" borderId="13" xfId="0" applyNumberFormat="1" applyFont="1" applyFill="1" applyBorder="1" applyAlignment="1" applyProtection="1">
      <alignment horizontal="right" vertical="top" wrapText="1"/>
      <protection hidden="1"/>
    </xf>
    <xf numFmtId="168" fontId="1" fillId="6" borderId="1" xfId="0" applyNumberFormat="1" applyFont="1" applyFill="1" applyBorder="1" applyAlignment="1" applyProtection="1">
      <alignment horizontal="right" vertical="top" wrapText="1"/>
      <protection hidden="1"/>
    </xf>
    <xf numFmtId="168" fontId="1" fillId="6" borderId="25" xfId="0" applyNumberFormat="1" applyFont="1" applyFill="1" applyBorder="1" applyAlignment="1" applyProtection="1">
      <alignment horizontal="right" vertical="top" wrapText="1"/>
      <protection hidden="1"/>
    </xf>
    <xf numFmtId="165" fontId="5" fillId="6" borderId="21" xfId="0" applyNumberFormat="1" applyFont="1" applyFill="1" applyBorder="1" applyAlignment="1">
      <alignment horizontal="center"/>
    </xf>
    <xf numFmtId="165" fontId="1" fillId="0" borderId="21" xfId="0" applyNumberFormat="1" applyFont="1" applyBorder="1" applyAlignment="1">
      <alignment horizontal="center"/>
    </xf>
    <xf numFmtId="17" fontId="0" fillId="11" borderId="35" xfId="0" applyNumberFormat="1" applyFill="1" applyBorder="1" applyAlignment="1">
      <alignment horizontal="right" wrapText="1"/>
    </xf>
    <xf numFmtId="17" fontId="0" fillId="11" borderId="20" xfId="0" applyNumberFormat="1" applyFill="1" applyBorder="1" applyAlignment="1">
      <alignment horizontal="right" wrapText="1"/>
    </xf>
    <xf numFmtId="168" fontId="7" fillId="7" borderId="16" xfId="0" applyNumberFormat="1" applyFont="1" applyFill="1" applyBorder="1" applyAlignment="1" applyProtection="1">
      <alignment horizontal="right" vertical="top" wrapText="1"/>
      <protection hidden="1"/>
    </xf>
    <xf numFmtId="168" fontId="20" fillId="5" borderId="23" xfId="0" applyNumberFormat="1" applyFont="1" applyFill="1" applyBorder="1" applyAlignment="1" applyProtection="1">
      <alignment horizontal="right"/>
      <protection locked="0"/>
    </xf>
    <xf numFmtId="168" fontId="0" fillId="0" borderId="23" xfId="0" applyNumberFormat="1" applyBorder="1" applyAlignment="1" applyProtection="1">
      <alignment horizontal="right"/>
      <protection locked="0"/>
    </xf>
    <xf numFmtId="168" fontId="20" fillId="0" borderId="23" xfId="0" applyNumberFormat="1" applyFont="1" applyBorder="1" applyAlignment="1" applyProtection="1">
      <alignment horizontal="right"/>
      <protection locked="0"/>
    </xf>
    <xf numFmtId="168" fontId="0" fillId="5" borderId="23" xfId="0" applyNumberFormat="1" applyFill="1" applyBorder="1" applyAlignment="1" applyProtection="1">
      <alignment horizontal="right"/>
      <protection locked="0"/>
    </xf>
    <xf numFmtId="168" fontId="0" fillId="6" borderId="23" xfId="0" applyNumberFormat="1" applyFill="1" applyBorder="1" applyAlignment="1" applyProtection="1">
      <alignment horizontal="right"/>
      <protection locked="0"/>
    </xf>
    <xf numFmtId="168" fontId="20" fillId="6" borderId="23" xfId="0" applyNumberFormat="1" applyFont="1" applyFill="1" applyBorder="1" applyAlignment="1" applyProtection="1">
      <alignment horizontal="right"/>
      <protection locked="0"/>
    </xf>
    <xf numFmtId="168" fontId="1" fillId="0" borderId="23" xfId="0" applyNumberFormat="1" applyFont="1" applyBorder="1" applyAlignment="1" applyProtection="1">
      <alignment horizontal="right"/>
      <protection locked="0"/>
    </xf>
    <xf numFmtId="168" fontId="0" fillId="0" borderId="15" xfId="0" applyNumberFormat="1" applyBorder="1" applyAlignment="1" applyProtection="1">
      <alignment horizontal="right"/>
      <protection locked="0"/>
    </xf>
    <xf numFmtId="168" fontId="1" fillId="0" borderId="15" xfId="0" applyNumberFormat="1" applyFont="1" applyBorder="1" applyAlignment="1" applyProtection="1">
      <alignment horizontal="right"/>
      <protection locked="0"/>
    </xf>
    <xf numFmtId="168" fontId="1" fillId="0" borderId="41" xfId="0" applyNumberFormat="1" applyFont="1" applyBorder="1" applyAlignment="1" applyProtection="1">
      <alignment horizontal="right"/>
      <protection locked="0"/>
    </xf>
    <xf numFmtId="168" fontId="0" fillId="6" borderId="41" xfId="0" applyNumberFormat="1" applyFill="1" applyBorder="1" applyAlignment="1" applyProtection="1">
      <alignment horizontal="right"/>
      <protection locked="0"/>
    </xf>
    <xf numFmtId="168" fontId="0" fillId="5" borderId="21" xfId="0" applyNumberFormat="1" applyFill="1" applyBorder="1" applyAlignment="1" applyProtection="1">
      <alignment horizontal="right"/>
      <protection locked="0"/>
    </xf>
    <xf numFmtId="168" fontId="1" fillId="0" borderId="21" xfId="0" applyNumberFormat="1" applyFont="1" applyBorder="1" applyAlignment="1" applyProtection="1">
      <alignment horizontal="right"/>
      <protection locked="0"/>
    </xf>
    <xf numFmtId="168" fontId="0" fillId="0" borderId="21" xfId="0" applyNumberFormat="1" applyBorder="1" applyAlignment="1" applyProtection="1">
      <alignment horizontal="right"/>
      <protection locked="0"/>
    </xf>
    <xf numFmtId="168" fontId="1" fillId="6" borderId="41" xfId="0" applyNumberFormat="1" applyFont="1" applyFill="1" applyBorder="1" applyAlignment="1" applyProtection="1">
      <alignment horizontal="right"/>
      <protection locked="0"/>
    </xf>
    <xf numFmtId="168" fontId="0" fillId="0" borderId="14" xfId="0" applyNumberFormat="1" applyBorder="1" applyAlignment="1" applyProtection="1">
      <alignment horizontal="right"/>
      <protection locked="0"/>
    </xf>
    <xf numFmtId="168" fontId="0" fillId="0" borderId="34" xfId="0" applyNumberFormat="1" applyBorder="1" applyAlignment="1" applyProtection="1">
      <alignment horizontal="right"/>
      <protection locked="0"/>
    </xf>
    <xf numFmtId="168" fontId="1" fillId="6" borderId="21" xfId="0" applyNumberFormat="1" applyFont="1" applyFill="1" applyBorder="1" applyAlignment="1" applyProtection="1">
      <alignment horizontal="right"/>
      <protection locked="0"/>
    </xf>
    <xf numFmtId="168" fontId="0" fillId="0" borderId="29" xfId="0" applyNumberFormat="1" applyBorder="1" applyAlignment="1" applyProtection="1">
      <alignment horizontal="right"/>
      <protection locked="0"/>
    </xf>
    <xf numFmtId="168" fontId="0" fillId="0" borderId="42" xfId="0" applyNumberFormat="1" applyBorder="1" applyAlignment="1" applyProtection="1">
      <alignment horizontal="right"/>
      <protection locked="0"/>
    </xf>
    <xf numFmtId="168" fontId="0" fillId="0" borderId="13" xfId="0" applyNumberFormat="1" applyBorder="1" applyAlignment="1" applyProtection="1">
      <alignment horizontal="right"/>
      <protection locked="0"/>
    </xf>
    <xf numFmtId="168" fontId="0" fillId="0" borderId="43" xfId="0" applyNumberFormat="1" applyBorder="1" applyAlignment="1" applyProtection="1">
      <alignment horizontal="right"/>
      <protection locked="0"/>
    </xf>
    <xf numFmtId="168" fontId="1" fillId="0" borderId="44" xfId="0" applyNumberFormat="1" applyFont="1" applyBorder="1" applyAlignment="1" applyProtection="1">
      <alignment horizontal="right"/>
      <protection locked="0"/>
    </xf>
    <xf numFmtId="168" fontId="1" fillId="0" borderId="0" xfId="0" applyNumberFormat="1" applyFont="1" applyAlignment="1" applyProtection="1">
      <alignment horizontal="right"/>
      <protection locked="0"/>
    </xf>
    <xf numFmtId="168" fontId="1" fillId="5" borderId="27" xfId="0" applyNumberFormat="1" applyFont="1" applyFill="1" applyBorder="1" applyAlignment="1" applyProtection="1">
      <alignment horizontal="right"/>
      <protection locked="0"/>
    </xf>
    <xf numFmtId="168" fontId="1" fillId="5" borderId="21" xfId="0" applyNumberFormat="1" applyFont="1" applyFill="1" applyBorder="1" applyAlignment="1" applyProtection="1">
      <alignment horizontal="right"/>
      <protection locked="0"/>
    </xf>
    <xf numFmtId="168" fontId="1" fillId="0" borderId="46" xfId="0" applyNumberFormat="1" applyFont="1" applyBorder="1" applyAlignment="1" applyProtection="1">
      <alignment horizontal="right"/>
      <protection locked="0"/>
    </xf>
    <xf numFmtId="168" fontId="0" fillId="0" borderId="39" xfId="0" applyNumberFormat="1" applyBorder="1" applyAlignment="1" applyProtection="1">
      <alignment horizontal="right"/>
      <protection locked="0"/>
    </xf>
    <xf numFmtId="168" fontId="1" fillId="0" borderId="45" xfId="0" applyNumberFormat="1" applyFont="1" applyBorder="1" applyAlignment="1" applyProtection="1">
      <alignment horizontal="right"/>
      <protection locked="0"/>
    </xf>
    <xf numFmtId="168" fontId="1" fillId="0" borderId="47" xfId="0" applyNumberFormat="1" applyFont="1" applyBorder="1" applyAlignment="1" applyProtection="1">
      <alignment horizontal="right"/>
      <protection locked="0"/>
    </xf>
    <xf numFmtId="168" fontId="0" fillId="0" borderId="44" xfId="0" applyNumberFormat="1" applyBorder="1" applyAlignment="1" applyProtection="1">
      <alignment horizontal="right"/>
      <protection locked="0"/>
    </xf>
    <xf numFmtId="168" fontId="0" fillId="0" borderId="41" xfId="0" applyNumberFormat="1" applyBorder="1" applyAlignment="1" applyProtection="1">
      <alignment horizontal="right"/>
      <protection locked="0"/>
    </xf>
    <xf numFmtId="168" fontId="0" fillId="0" borderId="48" xfId="0" applyNumberFormat="1" applyBorder="1" applyAlignment="1" applyProtection="1">
      <alignment horizontal="right"/>
      <protection locked="0"/>
    </xf>
    <xf numFmtId="168" fontId="0" fillId="0" borderId="47" xfId="0" applyNumberFormat="1" applyBorder="1" applyAlignment="1" applyProtection="1">
      <alignment horizontal="right"/>
      <protection locked="0"/>
    </xf>
    <xf numFmtId="168" fontId="0" fillId="6" borderId="47" xfId="0" applyNumberFormat="1" applyFill="1" applyBorder="1" applyAlignment="1" applyProtection="1">
      <alignment horizontal="right"/>
      <protection locked="0"/>
    </xf>
    <xf numFmtId="168" fontId="1" fillId="6" borderId="23" xfId="0" applyNumberFormat="1" applyFont="1" applyFill="1" applyBorder="1" applyAlignment="1" applyProtection="1">
      <alignment horizontal="right"/>
      <protection locked="0"/>
    </xf>
    <xf numFmtId="168" fontId="1" fillId="6" borderId="47" xfId="0" applyNumberFormat="1" applyFont="1" applyFill="1" applyBorder="1" applyAlignment="1" applyProtection="1">
      <alignment horizontal="right"/>
      <protection locked="0"/>
    </xf>
    <xf numFmtId="168" fontId="0" fillId="5" borderId="41" xfId="0" applyNumberFormat="1" applyFill="1" applyBorder="1" applyAlignment="1" applyProtection="1">
      <alignment horizontal="right"/>
      <protection locked="0"/>
    </xf>
    <xf numFmtId="168" fontId="0" fillId="5" borderId="47" xfId="0" applyNumberFormat="1" applyFill="1" applyBorder="1" applyAlignment="1" applyProtection="1">
      <alignment horizontal="right"/>
      <protection locked="0"/>
    </xf>
    <xf numFmtId="168" fontId="0" fillId="0" borderId="46" xfId="0" applyNumberFormat="1" applyBorder="1" applyAlignment="1" applyProtection="1">
      <alignment horizontal="right"/>
      <protection locked="0"/>
    </xf>
    <xf numFmtId="168" fontId="0" fillId="5" borderId="46" xfId="0" applyNumberFormat="1" applyFill="1" applyBorder="1" applyAlignment="1" applyProtection="1">
      <alignment horizontal="right"/>
      <protection locked="0"/>
    </xf>
    <xf numFmtId="168" fontId="0" fillId="0" borderId="45" xfId="0" applyNumberFormat="1" applyBorder="1" applyAlignment="1" applyProtection="1">
      <alignment horizontal="right"/>
      <protection locked="0"/>
    </xf>
    <xf numFmtId="168" fontId="1" fillId="6" borderId="44" xfId="0" applyNumberFormat="1" applyFont="1" applyFill="1" applyBorder="1" applyAlignment="1" applyProtection="1">
      <alignment horizontal="right"/>
      <protection locked="0"/>
    </xf>
    <xf numFmtId="0" fontId="1" fillId="0" borderId="0" xfId="133"/>
    <xf numFmtId="0" fontId="18" fillId="0" borderId="0" xfId="133" applyFont="1"/>
    <xf numFmtId="17" fontId="3" fillId="11" borderId="23" xfId="133" applyNumberFormat="1" applyFont="1" applyFill="1" applyBorder="1" applyAlignment="1">
      <alignment horizontal="center" wrapText="1"/>
    </xf>
    <xf numFmtId="0" fontId="3" fillId="0" borderId="23" xfId="133" applyFont="1" applyBorder="1"/>
    <xf numFmtId="0" fontId="1" fillId="0" borderId="23" xfId="133" applyBorder="1"/>
    <xf numFmtId="0" fontId="17" fillId="0" borderId="23" xfId="129" applyBorder="1" applyAlignment="1" applyProtection="1"/>
    <xf numFmtId="0" fontId="1" fillId="0" borderId="23" xfId="133" applyBorder="1" applyAlignment="1">
      <alignment wrapText="1"/>
    </xf>
    <xf numFmtId="17" fontId="1" fillId="0" borderId="23" xfId="133" quotePrefix="1" applyNumberFormat="1" applyBorder="1"/>
    <xf numFmtId="0" fontId="3" fillId="0" borderId="0" xfId="133" applyFont="1"/>
    <xf numFmtId="164" fontId="3" fillId="10" borderId="23" xfId="131" applyFont="1" applyFill="1" applyBorder="1" applyAlignment="1" applyProtection="1">
      <alignment horizontal="center" wrapText="1"/>
      <protection locked="0" hidden="1"/>
    </xf>
    <xf numFmtId="17" fontId="1" fillId="0" borderId="23" xfId="133" applyNumberFormat="1" applyBorder="1"/>
    <xf numFmtId="170" fontId="1" fillId="0" borderId="23" xfId="133" applyNumberFormat="1" applyBorder="1" applyAlignment="1">
      <alignment horizontal="left"/>
    </xf>
    <xf numFmtId="0" fontId="22" fillId="0" borderId="23" xfId="133" applyFont="1" applyBorder="1" applyAlignment="1">
      <alignment wrapText="1"/>
    </xf>
    <xf numFmtId="0" fontId="22" fillId="0" borderId="23" xfId="133" applyFont="1" applyBorder="1"/>
    <xf numFmtId="0" fontId="1" fillId="0" borderId="41" xfId="133" applyBorder="1" applyAlignment="1">
      <alignment wrapText="1"/>
    </xf>
    <xf numFmtId="168" fontId="0" fillId="0" borderId="26" xfId="0" applyNumberFormat="1" applyBorder="1" applyAlignment="1" applyProtection="1">
      <alignment horizontal="right"/>
      <protection locked="0"/>
    </xf>
    <xf numFmtId="168" fontId="0" fillId="0" borderId="30" xfId="0" applyNumberFormat="1" applyBorder="1" applyAlignment="1" applyProtection="1">
      <alignment horizontal="right"/>
      <protection locked="0"/>
    </xf>
    <xf numFmtId="168" fontId="0" fillId="0" borderId="24" xfId="0" applyNumberFormat="1" applyBorder="1" applyAlignment="1" applyProtection="1">
      <alignment horizontal="right"/>
      <protection locked="0"/>
    </xf>
    <xf numFmtId="168" fontId="1" fillId="0" borderId="24" xfId="0" applyNumberFormat="1" applyFont="1" applyBorder="1" applyAlignment="1" applyProtection="1">
      <alignment horizontal="right"/>
      <protection locked="0"/>
    </xf>
    <xf numFmtId="168" fontId="1" fillId="0" borderId="27" xfId="0" applyNumberFormat="1" applyFont="1" applyBorder="1" applyAlignment="1" applyProtection="1">
      <alignment horizontal="right"/>
      <protection locked="0"/>
    </xf>
    <xf numFmtId="168" fontId="0" fillId="0" borderId="25" xfId="0" applyNumberFormat="1" applyBorder="1" applyAlignment="1" applyProtection="1">
      <alignment horizontal="right"/>
      <protection locked="0"/>
    </xf>
    <xf numFmtId="165" fontId="5" fillId="0" borderId="26" xfId="0" applyNumberFormat="1" applyFont="1" applyBorder="1" applyAlignment="1">
      <alignment horizontal="center"/>
    </xf>
    <xf numFmtId="165" fontId="5" fillId="0" borderId="30" xfId="0" applyNumberFormat="1" applyFont="1" applyBorder="1" applyAlignment="1">
      <alignment horizontal="center"/>
    </xf>
    <xf numFmtId="165" fontId="5" fillId="0" borderId="24" xfId="0" applyNumberFormat="1" applyFont="1" applyBorder="1" applyAlignment="1">
      <alignment horizontal="center"/>
    </xf>
    <xf numFmtId="165" fontId="5" fillId="0" borderId="27" xfId="0" applyNumberFormat="1" applyFont="1" applyBorder="1" applyAlignment="1">
      <alignment horizontal="center"/>
    </xf>
    <xf numFmtId="168" fontId="0" fillId="0" borderId="25" xfId="0" applyNumberFormat="1" applyBorder="1" applyAlignment="1">
      <alignment horizontal="center"/>
    </xf>
    <xf numFmtId="165" fontId="5" fillId="0" borderId="29" xfId="0" applyNumberFormat="1" applyFont="1" applyBorder="1" applyAlignment="1">
      <alignment horizontal="center"/>
    </xf>
    <xf numFmtId="0" fontId="23" fillId="12" borderId="0" xfId="134" applyFont="1" applyFill="1"/>
    <xf numFmtId="0" fontId="1" fillId="12" borderId="0" xfId="134" applyFill="1"/>
    <xf numFmtId="0" fontId="8" fillId="12" borderId="0" xfId="133" applyFont="1" applyFill="1" applyAlignment="1">
      <alignment vertical="center" wrapText="1"/>
    </xf>
    <xf numFmtId="0" fontId="24" fillId="12" borderId="0" xfId="134" applyFont="1" applyFill="1" applyAlignment="1">
      <alignment wrapText="1"/>
    </xf>
    <xf numFmtId="0" fontId="24" fillId="12" borderId="0" xfId="134" applyFont="1" applyFill="1"/>
    <xf numFmtId="0" fontId="8" fillId="12" borderId="0" xfId="134" applyFont="1" applyFill="1" applyAlignment="1">
      <alignment wrapText="1"/>
    </xf>
    <xf numFmtId="0" fontId="8" fillId="12" borderId="0" xfId="133" applyFont="1" applyFill="1" applyAlignment="1">
      <alignment vertical="center"/>
    </xf>
    <xf numFmtId="0" fontId="25" fillId="12" borderId="0" xfId="129" applyFont="1" applyFill="1" applyAlignment="1" applyProtection="1">
      <alignment vertical="center"/>
    </xf>
    <xf numFmtId="0" fontId="9" fillId="12" borderId="0" xfId="134" applyFont="1" applyFill="1"/>
    <xf numFmtId="49" fontId="3" fillId="4" borderId="17" xfId="0" applyNumberFormat="1" applyFont="1" applyFill="1" applyBorder="1" applyAlignment="1" applyProtection="1">
      <alignment horizontal="center" vertical="top" wrapText="1"/>
      <protection hidden="1"/>
    </xf>
    <xf numFmtId="0" fontId="3" fillId="4" borderId="40" xfId="0" applyFont="1" applyFill="1" applyBorder="1" applyAlignment="1" applyProtection="1">
      <alignment horizontal="center" vertical="top" wrapText="1"/>
      <protection hidden="1"/>
    </xf>
    <xf numFmtId="0" fontId="3" fillId="4" borderId="4" xfId="0" applyFont="1" applyFill="1" applyBorder="1" applyAlignment="1" applyProtection="1">
      <alignment horizontal="center" vertical="top" wrapText="1"/>
      <protection hidden="1"/>
    </xf>
    <xf numFmtId="0" fontId="6" fillId="0" borderId="0" xfId="0" applyFont="1" applyAlignment="1" applyProtection="1">
      <alignment horizontal="left"/>
      <protection hidden="1"/>
    </xf>
    <xf numFmtId="0" fontId="11" fillId="0" borderId="0" xfId="0" applyFont="1" applyAlignment="1" applyProtection="1">
      <alignment horizontal="left" vertical="center"/>
      <protection hidden="1"/>
    </xf>
    <xf numFmtId="0" fontId="3" fillId="4" borderId="36" xfId="0" applyFont="1" applyFill="1" applyBorder="1" applyAlignment="1" applyProtection="1">
      <alignment horizontal="center" vertical="top" wrapText="1"/>
      <protection hidden="1"/>
    </xf>
    <xf numFmtId="0" fontId="3" fillId="4" borderId="38" xfId="0" applyFont="1" applyFill="1" applyBorder="1" applyAlignment="1" applyProtection="1">
      <alignment horizontal="center" vertical="top" wrapText="1"/>
      <protection hidden="1"/>
    </xf>
    <xf numFmtId="0" fontId="3" fillId="4" borderId="5" xfId="0" applyFont="1" applyFill="1" applyBorder="1" applyAlignment="1" applyProtection="1">
      <alignment horizontal="center" vertical="top" wrapText="1"/>
      <protection hidden="1"/>
    </xf>
    <xf numFmtId="0" fontId="8" fillId="4" borderId="39" xfId="0" applyFont="1" applyFill="1" applyBorder="1" applyAlignment="1" applyProtection="1">
      <alignment horizontal="center" vertical="center"/>
      <protection hidden="1"/>
    </xf>
    <xf numFmtId="0" fontId="8" fillId="4" borderId="2" xfId="0" applyFont="1" applyFill="1" applyBorder="1" applyAlignment="1" applyProtection="1">
      <alignment horizontal="center" vertical="center"/>
      <protection hidden="1"/>
    </xf>
    <xf numFmtId="17" fontId="3" fillId="4" borderId="17" xfId="0" applyNumberFormat="1" applyFont="1" applyFill="1" applyBorder="1" applyAlignment="1" applyProtection="1">
      <alignment horizontal="center" vertical="top" wrapText="1"/>
      <protection hidden="1"/>
    </xf>
    <xf numFmtId="0" fontId="3" fillId="4" borderId="1" xfId="0" applyFont="1" applyFill="1" applyBorder="1" applyAlignment="1" applyProtection="1">
      <alignment horizontal="left" vertical="center"/>
      <protection hidden="1"/>
    </xf>
    <xf numFmtId="0" fontId="3" fillId="4" borderId="2" xfId="0" applyFont="1" applyFill="1" applyBorder="1" applyAlignment="1" applyProtection="1">
      <alignment horizontal="left" vertical="center"/>
      <protection hidden="1"/>
    </xf>
    <xf numFmtId="49" fontId="3" fillId="4" borderId="17" xfId="0" applyNumberFormat="1" applyFont="1" applyFill="1" applyBorder="1" applyAlignment="1" applyProtection="1">
      <alignment horizontal="center" vertical="top" wrapText="1"/>
      <protection locked="0"/>
    </xf>
    <xf numFmtId="0" fontId="3" fillId="4" borderId="40" xfId="0" applyFont="1" applyFill="1" applyBorder="1" applyAlignment="1" applyProtection="1">
      <alignment horizontal="center" vertical="top" wrapText="1"/>
      <protection locked="0"/>
    </xf>
    <xf numFmtId="0" fontId="3" fillId="4" borderId="4" xfId="0" applyFont="1" applyFill="1" applyBorder="1" applyAlignment="1" applyProtection="1">
      <alignment horizontal="center" vertical="top" wrapText="1"/>
      <protection locked="0"/>
    </xf>
    <xf numFmtId="0" fontId="3" fillId="4" borderId="35" xfId="0" applyFont="1" applyFill="1" applyBorder="1" applyAlignment="1" applyProtection="1">
      <alignment horizontal="center" vertical="top" wrapText="1"/>
      <protection hidden="1"/>
    </xf>
    <xf numFmtId="0" fontId="3" fillId="4" borderId="37" xfId="0" applyFont="1" applyFill="1" applyBorder="1" applyAlignment="1" applyProtection="1">
      <alignment horizontal="center" vertical="top" wrapText="1"/>
      <protection hidden="1"/>
    </xf>
    <xf numFmtId="0" fontId="3" fillId="4" borderId="31" xfId="0" applyFont="1" applyFill="1" applyBorder="1" applyAlignment="1" applyProtection="1">
      <alignment horizontal="center" vertical="top" wrapText="1"/>
      <protection hidden="1"/>
    </xf>
    <xf numFmtId="0" fontId="3" fillId="4" borderId="17" xfId="0" applyFont="1" applyFill="1" applyBorder="1" applyAlignment="1" applyProtection="1">
      <alignment horizontal="center" vertical="top" wrapText="1"/>
      <protection hidden="1"/>
    </xf>
    <xf numFmtId="0" fontId="8" fillId="4" borderId="1" xfId="0" applyFont="1" applyFill="1" applyBorder="1" applyAlignment="1" applyProtection="1">
      <alignment horizontal="center" vertical="center"/>
      <protection hidden="1"/>
    </xf>
  </cellXfs>
  <cellStyles count="264">
    <cellStyle name="Comma" xfId="1" builtinId="3"/>
    <cellStyle name="Comma 2" xfId="2" xr:uid="{00000000-0005-0000-0000-000001000000}"/>
    <cellStyle name="Comma 2 2" xfId="3" xr:uid="{00000000-0005-0000-0000-000002000000}"/>
    <cellStyle name="Comma 2 2 2" xfId="4" xr:uid="{00000000-0005-0000-0000-000003000000}"/>
    <cellStyle name="Comma 2 2 2 2" xfId="5" xr:uid="{00000000-0005-0000-0000-000004000000}"/>
    <cellStyle name="Comma 2 2 2 2 2" xfId="6" xr:uid="{00000000-0005-0000-0000-000005000000}"/>
    <cellStyle name="Comma 2 2 2 2 2 2" xfId="7" xr:uid="{00000000-0005-0000-0000-000006000000}"/>
    <cellStyle name="Comma 2 2 2 2 2 2 2" xfId="8" xr:uid="{00000000-0005-0000-0000-000007000000}"/>
    <cellStyle name="Comma 2 2 2 2 2 2 2 2" xfId="143" xr:uid="{B0F0FAA2-0CEE-4BFA-8230-783127B10C06}"/>
    <cellStyle name="Comma 2 2 2 2 2 2 3" xfId="142" xr:uid="{9CEC3024-0CBE-4A4E-ABD8-5946E3726D6D}"/>
    <cellStyle name="Comma 2 2 2 2 2 3" xfId="9" xr:uid="{00000000-0005-0000-0000-000008000000}"/>
    <cellStyle name="Comma 2 2 2 2 2 3 2" xfId="144" xr:uid="{9EE7C708-B898-463C-913F-68A0D951F9D7}"/>
    <cellStyle name="Comma 2 2 2 2 2 4" xfId="141" xr:uid="{ABF50392-2C79-4D1A-8F3C-9082BE54C0C7}"/>
    <cellStyle name="Comma 2 2 2 2 3" xfId="10" xr:uid="{00000000-0005-0000-0000-000009000000}"/>
    <cellStyle name="Comma 2 2 2 2 3 2" xfId="11" xr:uid="{00000000-0005-0000-0000-00000A000000}"/>
    <cellStyle name="Comma 2 2 2 2 3 2 2" xfId="146" xr:uid="{D0B64495-BF5A-45AE-92FC-3BB6764B7792}"/>
    <cellStyle name="Comma 2 2 2 2 3 3" xfId="145" xr:uid="{6B80AE7F-643D-49BF-B17F-B3F2877ADDCB}"/>
    <cellStyle name="Comma 2 2 2 2 4" xfId="12" xr:uid="{00000000-0005-0000-0000-00000B000000}"/>
    <cellStyle name="Comma 2 2 2 2 4 2" xfId="147" xr:uid="{E4A33BD0-AFC3-456B-94C4-5C5D123EB1BC}"/>
    <cellStyle name="Comma 2 2 2 2 5" xfId="140" xr:uid="{551292F3-4ABA-4C68-AB8C-C597A688E526}"/>
    <cellStyle name="Comma 2 2 2 3" xfId="13" xr:uid="{00000000-0005-0000-0000-00000C000000}"/>
    <cellStyle name="Comma 2 2 2 3 2" xfId="14" xr:uid="{00000000-0005-0000-0000-00000D000000}"/>
    <cellStyle name="Comma 2 2 2 3 2 2" xfId="15" xr:uid="{00000000-0005-0000-0000-00000E000000}"/>
    <cellStyle name="Comma 2 2 2 3 2 2 2" xfId="150" xr:uid="{3EA3867A-2403-40F7-B5B9-E9EC50148534}"/>
    <cellStyle name="Comma 2 2 2 3 2 3" xfId="149" xr:uid="{011279C9-3601-4D10-BF79-878A4B46D4A6}"/>
    <cellStyle name="Comma 2 2 2 3 3" xfId="16" xr:uid="{00000000-0005-0000-0000-00000F000000}"/>
    <cellStyle name="Comma 2 2 2 3 3 2" xfId="151" xr:uid="{8F740E67-2DD3-45FD-B5D2-4CFC3574B5FB}"/>
    <cellStyle name="Comma 2 2 2 3 4" xfId="148" xr:uid="{41DFC556-C9AE-4FCB-B7F8-5ADB5AD34D25}"/>
    <cellStyle name="Comma 2 2 2 4" xfId="17" xr:uid="{00000000-0005-0000-0000-000010000000}"/>
    <cellStyle name="Comma 2 2 2 4 2" xfId="18" xr:uid="{00000000-0005-0000-0000-000011000000}"/>
    <cellStyle name="Comma 2 2 2 4 2 2" xfId="153" xr:uid="{D9354781-5D1D-44C0-BE98-AB1120090E85}"/>
    <cellStyle name="Comma 2 2 2 4 3" xfId="152" xr:uid="{75C8D4C4-9893-40AB-ADA2-944FBA359EA0}"/>
    <cellStyle name="Comma 2 2 2 5" xfId="19" xr:uid="{00000000-0005-0000-0000-000012000000}"/>
    <cellStyle name="Comma 2 2 2 5 2" xfId="154" xr:uid="{EC652E48-F454-4E09-9263-DA10E3DDB887}"/>
    <cellStyle name="Comma 2 2 2 6" xfId="139" xr:uid="{0645C880-B65D-452C-A6A6-7D4C370DECFB}"/>
    <cellStyle name="Comma 2 2 3" xfId="20" xr:uid="{00000000-0005-0000-0000-000013000000}"/>
    <cellStyle name="Comma 2 2 3 2" xfId="21" xr:uid="{00000000-0005-0000-0000-000014000000}"/>
    <cellStyle name="Comma 2 2 3 2 2" xfId="22" xr:uid="{00000000-0005-0000-0000-000015000000}"/>
    <cellStyle name="Comma 2 2 3 2 2 2" xfId="23" xr:uid="{00000000-0005-0000-0000-000016000000}"/>
    <cellStyle name="Comma 2 2 3 2 2 2 2" xfId="158" xr:uid="{D98BCC09-83A9-4531-829A-FF963AA54C2B}"/>
    <cellStyle name="Comma 2 2 3 2 2 3" xfId="157" xr:uid="{95F99C3B-DD3D-4DE8-BF2B-F1E4DF14D7F4}"/>
    <cellStyle name="Comma 2 2 3 2 3" xfId="24" xr:uid="{00000000-0005-0000-0000-000017000000}"/>
    <cellStyle name="Comma 2 2 3 2 3 2" xfId="159" xr:uid="{E074FE79-B6BE-4800-9FA8-564C3DDD1A30}"/>
    <cellStyle name="Comma 2 2 3 2 4" xfId="156" xr:uid="{E234AB30-D4DE-432D-8DF0-0011568E629B}"/>
    <cellStyle name="Comma 2 2 3 3" xfId="25" xr:uid="{00000000-0005-0000-0000-000018000000}"/>
    <cellStyle name="Comma 2 2 3 3 2" xfId="26" xr:uid="{00000000-0005-0000-0000-000019000000}"/>
    <cellStyle name="Comma 2 2 3 3 2 2" xfId="161" xr:uid="{B5F48798-FAFA-4910-A853-543D1E64C8F1}"/>
    <cellStyle name="Comma 2 2 3 3 3" xfId="160" xr:uid="{086C99EE-618F-441C-BF48-4A33A6E2E6E3}"/>
    <cellStyle name="Comma 2 2 3 4" xfId="27" xr:uid="{00000000-0005-0000-0000-00001A000000}"/>
    <cellStyle name="Comma 2 2 3 4 2" xfId="162" xr:uid="{54F60A68-0110-4E92-B39E-235C1CBE1DF8}"/>
    <cellStyle name="Comma 2 2 3 5" xfId="155" xr:uid="{0EC78FEC-5B48-432F-8EEE-4E16C7EBAF17}"/>
    <cellStyle name="Comma 2 2 4" xfId="28" xr:uid="{00000000-0005-0000-0000-00001B000000}"/>
    <cellStyle name="Comma 2 2 4 2" xfId="29" xr:uid="{00000000-0005-0000-0000-00001C000000}"/>
    <cellStyle name="Comma 2 2 4 2 2" xfId="30" xr:uid="{00000000-0005-0000-0000-00001D000000}"/>
    <cellStyle name="Comma 2 2 4 2 2 2" xfId="165" xr:uid="{994B3332-DC69-4EF0-BF77-BF1C076A255B}"/>
    <cellStyle name="Comma 2 2 4 2 3" xfId="164" xr:uid="{A9E5FAAA-CBA7-485D-8CCA-B651240E6293}"/>
    <cellStyle name="Comma 2 2 4 3" xfId="31" xr:uid="{00000000-0005-0000-0000-00001E000000}"/>
    <cellStyle name="Comma 2 2 4 3 2" xfId="166" xr:uid="{7CB29F6D-F03A-4CCA-AF7A-AFF12E186EE2}"/>
    <cellStyle name="Comma 2 2 4 4" xfId="163" xr:uid="{2A005CAD-BB3F-4089-9AEA-F34C4A10547A}"/>
    <cellStyle name="Comma 2 2 5" xfId="32" xr:uid="{00000000-0005-0000-0000-00001F000000}"/>
    <cellStyle name="Comma 2 2 5 2" xfId="33" xr:uid="{00000000-0005-0000-0000-000020000000}"/>
    <cellStyle name="Comma 2 2 5 2 2" xfId="168" xr:uid="{2DB68E22-BA95-4175-A7FB-EEE627B16A86}"/>
    <cellStyle name="Comma 2 2 5 3" xfId="167" xr:uid="{72C3055B-FC0C-46FE-991F-190B1E3F5085}"/>
    <cellStyle name="Comma 2 2 6" xfId="34" xr:uid="{00000000-0005-0000-0000-000021000000}"/>
    <cellStyle name="Comma 2 2 6 2" xfId="169" xr:uid="{B39C159A-932C-4D37-9F78-3CBD7B105C2E}"/>
    <cellStyle name="Comma 2 2 7" xfId="138" xr:uid="{BF7717D8-858C-4319-BE02-03766544CCC1}"/>
    <cellStyle name="Comma 2 3" xfId="35" xr:uid="{00000000-0005-0000-0000-000022000000}"/>
    <cellStyle name="Comma 2 3 2" xfId="36" xr:uid="{00000000-0005-0000-0000-000023000000}"/>
    <cellStyle name="Comma 2 3 2 2" xfId="37" xr:uid="{00000000-0005-0000-0000-000024000000}"/>
    <cellStyle name="Comma 2 3 2 2 2" xfId="38" xr:uid="{00000000-0005-0000-0000-000025000000}"/>
    <cellStyle name="Comma 2 3 2 2 2 2" xfId="39" xr:uid="{00000000-0005-0000-0000-000026000000}"/>
    <cellStyle name="Comma 2 3 2 2 2 2 2" xfId="174" xr:uid="{A51E6EA1-7B73-4AC4-A80D-286652132CB4}"/>
    <cellStyle name="Comma 2 3 2 2 2 3" xfId="173" xr:uid="{2E033B29-4629-4890-A6D8-422EFDBD4341}"/>
    <cellStyle name="Comma 2 3 2 2 3" xfId="40" xr:uid="{00000000-0005-0000-0000-000027000000}"/>
    <cellStyle name="Comma 2 3 2 2 3 2" xfId="175" xr:uid="{7E1CC98B-006B-4D86-8304-810153E24F89}"/>
    <cellStyle name="Comma 2 3 2 2 4" xfId="172" xr:uid="{C3BB7DC1-EEA1-40C4-A2DF-CD899C3EA1DF}"/>
    <cellStyle name="Comma 2 3 2 3" xfId="41" xr:uid="{00000000-0005-0000-0000-000028000000}"/>
    <cellStyle name="Comma 2 3 2 3 2" xfId="42" xr:uid="{00000000-0005-0000-0000-000029000000}"/>
    <cellStyle name="Comma 2 3 2 3 2 2" xfId="177" xr:uid="{E057F56C-4302-4509-ADA2-1CB56A693888}"/>
    <cellStyle name="Comma 2 3 2 3 3" xfId="176" xr:uid="{ADF8DA31-0CC3-42D8-8C5C-9B3F75B76094}"/>
    <cellStyle name="Comma 2 3 2 4" xfId="43" xr:uid="{00000000-0005-0000-0000-00002A000000}"/>
    <cellStyle name="Comma 2 3 2 4 2" xfId="178" xr:uid="{272CF097-08CB-4242-BB5F-95F88A229CE8}"/>
    <cellStyle name="Comma 2 3 2 5" xfId="171" xr:uid="{D40BD649-4AF7-4D6A-B40B-80375982FD15}"/>
    <cellStyle name="Comma 2 3 3" xfId="44" xr:uid="{00000000-0005-0000-0000-00002B000000}"/>
    <cellStyle name="Comma 2 3 3 2" xfId="45" xr:uid="{00000000-0005-0000-0000-00002C000000}"/>
    <cellStyle name="Comma 2 3 3 2 2" xfId="46" xr:uid="{00000000-0005-0000-0000-00002D000000}"/>
    <cellStyle name="Comma 2 3 3 2 2 2" xfId="181" xr:uid="{A4C97CCF-D157-4EDF-AC92-50B2009B9DF1}"/>
    <cellStyle name="Comma 2 3 3 2 3" xfId="180" xr:uid="{8ED32703-E873-4571-9C4E-3D26813F94D3}"/>
    <cellStyle name="Comma 2 3 3 3" xfId="47" xr:uid="{00000000-0005-0000-0000-00002E000000}"/>
    <cellStyle name="Comma 2 3 3 3 2" xfId="182" xr:uid="{EE541225-09F0-4F95-A20C-76AC8827A801}"/>
    <cellStyle name="Comma 2 3 3 4" xfId="179" xr:uid="{B3FCD712-DB74-4774-81D1-2B10754E0995}"/>
    <cellStyle name="Comma 2 3 4" xfId="48" xr:uid="{00000000-0005-0000-0000-00002F000000}"/>
    <cellStyle name="Comma 2 3 4 2" xfId="49" xr:uid="{00000000-0005-0000-0000-000030000000}"/>
    <cellStyle name="Comma 2 3 4 2 2" xfId="184" xr:uid="{C1578857-7CC1-4D30-8A7C-4B11003A9621}"/>
    <cellStyle name="Comma 2 3 4 3" xfId="183" xr:uid="{B903D276-0ACC-4482-A5E7-9978AEE0C986}"/>
    <cellStyle name="Comma 2 3 5" xfId="50" xr:uid="{00000000-0005-0000-0000-000031000000}"/>
    <cellStyle name="Comma 2 3 5 2" xfId="185" xr:uid="{6D630E57-314E-48D4-A6B1-B05FE1223428}"/>
    <cellStyle name="Comma 2 3 6" xfId="170" xr:uid="{25949A37-1C54-4025-AD6E-8A0CABD5D0AC}"/>
    <cellStyle name="Comma 2 4" xfId="51" xr:uid="{00000000-0005-0000-0000-000032000000}"/>
    <cellStyle name="Comma 2 4 2" xfId="52" xr:uid="{00000000-0005-0000-0000-000033000000}"/>
    <cellStyle name="Comma 2 4 2 2" xfId="53" xr:uid="{00000000-0005-0000-0000-000034000000}"/>
    <cellStyle name="Comma 2 4 2 2 2" xfId="54" xr:uid="{00000000-0005-0000-0000-000035000000}"/>
    <cellStyle name="Comma 2 4 2 2 2 2" xfId="189" xr:uid="{93878FF2-CB44-467B-8618-0D1FFE3B19D5}"/>
    <cellStyle name="Comma 2 4 2 2 3" xfId="188" xr:uid="{43D34C08-8525-4484-9BD3-3836E0F0AE54}"/>
    <cellStyle name="Comma 2 4 2 3" xfId="55" xr:uid="{00000000-0005-0000-0000-000036000000}"/>
    <cellStyle name="Comma 2 4 2 3 2" xfId="190" xr:uid="{A76EF2FB-6EDC-441B-8969-31BC47EA2CFB}"/>
    <cellStyle name="Comma 2 4 2 4" xfId="187" xr:uid="{F1DB07EE-EF2A-4E33-AF17-2D4B49501FD5}"/>
    <cellStyle name="Comma 2 4 3" xfId="56" xr:uid="{00000000-0005-0000-0000-000037000000}"/>
    <cellStyle name="Comma 2 4 3 2" xfId="57" xr:uid="{00000000-0005-0000-0000-000038000000}"/>
    <cellStyle name="Comma 2 4 3 2 2" xfId="192" xr:uid="{22B2B331-3665-40EC-9D80-1B76319BD911}"/>
    <cellStyle name="Comma 2 4 3 3" xfId="191" xr:uid="{54B8AB7E-5C32-4FB8-92C6-F67619975C32}"/>
    <cellStyle name="Comma 2 4 4" xfId="58" xr:uid="{00000000-0005-0000-0000-000039000000}"/>
    <cellStyle name="Comma 2 4 4 2" xfId="193" xr:uid="{C1C3B33F-1AB6-4EF0-B645-503802B31D58}"/>
    <cellStyle name="Comma 2 4 5" xfId="186" xr:uid="{D896DBC9-296D-44F9-9ED4-2FE3BE2A4B95}"/>
    <cellStyle name="Comma 2 5" xfId="59" xr:uid="{00000000-0005-0000-0000-00003A000000}"/>
    <cellStyle name="Comma 2 5 2" xfId="60" xr:uid="{00000000-0005-0000-0000-00003B000000}"/>
    <cellStyle name="Comma 2 5 2 2" xfId="61" xr:uid="{00000000-0005-0000-0000-00003C000000}"/>
    <cellStyle name="Comma 2 5 2 2 2" xfId="196" xr:uid="{4C56E457-8192-4C67-A745-E73BB1BE9582}"/>
    <cellStyle name="Comma 2 5 2 3" xfId="195" xr:uid="{398740D0-25EE-43A7-9A46-6EDA00A4B41D}"/>
    <cellStyle name="Comma 2 5 3" xfId="62" xr:uid="{00000000-0005-0000-0000-00003D000000}"/>
    <cellStyle name="Comma 2 5 3 2" xfId="197" xr:uid="{F6D825B0-317D-4AD3-89EE-EF52F7A0DC86}"/>
    <cellStyle name="Comma 2 5 4" xfId="194" xr:uid="{B349A890-F9B6-4EFF-9475-492A0C5E13DF}"/>
    <cellStyle name="Comma 2 6" xfId="63" xr:uid="{00000000-0005-0000-0000-00003E000000}"/>
    <cellStyle name="Comma 2 6 2" xfId="64" xr:uid="{00000000-0005-0000-0000-00003F000000}"/>
    <cellStyle name="Comma 2 6 2 2" xfId="199" xr:uid="{43907034-9673-4495-A9C5-5CCC4E8174BE}"/>
    <cellStyle name="Comma 2 6 3" xfId="198" xr:uid="{F004B6BC-C986-474B-99EC-D1806BF54CCF}"/>
    <cellStyle name="Comma 2 7" xfId="65" xr:uid="{00000000-0005-0000-0000-000040000000}"/>
    <cellStyle name="Comma 2 7 2" xfId="200" xr:uid="{DF097CD2-FEE4-48FD-80AA-9E671A21ADEB}"/>
    <cellStyle name="Comma 2 8" xfId="137" xr:uid="{FC89916D-D001-462B-A630-AFC6C4E1D20B}"/>
    <cellStyle name="Comma 3" xfId="66" xr:uid="{00000000-0005-0000-0000-000041000000}"/>
    <cellStyle name="Comma 3 2" xfId="67" xr:uid="{00000000-0005-0000-0000-000042000000}"/>
    <cellStyle name="Comma 3 2 2" xfId="68" xr:uid="{00000000-0005-0000-0000-000043000000}"/>
    <cellStyle name="Comma 3 2 2 2" xfId="69" xr:uid="{00000000-0005-0000-0000-000044000000}"/>
    <cellStyle name="Comma 3 2 2 2 2" xfId="70" xr:uid="{00000000-0005-0000-0000-000045000000}"/>
    <cellStyle name="Comma 3 2 2 2 2 2" xfId="71" xr:uid="{00000000-0005-0000-0000-000046000000}"/>
    <cellStyle name="Comma 3 2 2 2 2 2 2" xfId="206" xr:uid="{A8396500-9B67-428E-A0E2-84C29D570C7A}"/>
    <cellStyle name="Comma 3 2 2 2 2 3" xfId="205" xr:uid="{7C4878F4-B279-4EE5-8323-7945C4156916}"/>
    <cellStyle name="Comma 3 2 2 2 3" xfId="72" xr:uid="{00000000-0005-0000-0000-000047000000}"/>
    <cellStyle name="Comma 3 2 2 2 3 2" xfId="207" xr:uid="{228D1437-5333-4AD7-8EFD-4503263AB1F6}"/>
    <cellStyle name="Comma 3 2 2 2 4" xfId="204" xr:uid="{04F07A66-EBB2-4A7E-8FB5-D793CBF8654E}"/>
    <cellStyle name="Comma 3 2 2 3" xfId="73" xr:uid="{00000000-0005-0000-0000-000048000000}"/>
    <cellStyle name="Comma 3 2 2 3 2" xfId="74" xr:uid="{00000000-0005-0000-0000-000049000000}"/>
    <cellStyle name="Comma 3 2 2 3 2 2" xfId="209" xr:uid="{F46DE34F-A74A-49F5-B435-CCDB40CB6B92}"/>
    <cellStyle name="Comma 3 2 2 3 3" xfId="208" xr:uid="{9BA40F37-927A-45CB-BB99-A42FAB567F56}"/>
    <cellStyle name="Comma 3 2 2 4" xfId="75" xr:uid="{00000000-0005-0000-0000-00004A000000}"/>
    <cellStyle name="Comma 3 2 2 4 2" xfId="210" xr:uid="{22C6C6CA-DE4D-45B0-A0E3-7B723ADC6F6B}"/>
    <cellStyle name="Comma 3 2 2 5" xfId="203" xr:uid="{5731B60D-4F23-424D-AB9B-AFEB554CAA2A}"/>
    <cellStyle name="Comma 3 2 3" xfId="76" xr:uid="{00000000-0005-0000-0000-00004B000000}"/>
    <cellStyle name="Comma 3 2 3 2" xfId="77" xr:uid="{00000000-0005-0000-0000-00004C000000}"/>
    <cellStyle name="Comma 3 2 3 2 2" xfId="78" xr:uid="{00000000-0005-0000-0000-00004D000000}"/>
    <cellStyle name="Comma 3 2 3 2 2 2" xfId="213" xr:uid="{18B5B091-7616-4000-8E18-20789C66B54F}"/>
    <cellStyle name="Comma 3 2 3 2 3" xfId="212" xr:uid="{9DA59218-55DE-4E6F-B704-5266A104C1BB}"/>
    <cellStyle name="Comma 3 2 3 3" xfId="79" xr:uid="{00000000-0005-0000-0000-00004E000000}"/>
    <cellStyle name="Comma 3 2 3 3 2" xfId="214" xr:uid="{08C2070B-6F77-4C17-9F8D-220548EB1099}"/>
    <cellStyle name="Comma 3 2 3 4" xfId="211" xr:uid="{F2EB9373-3948-4861-B317-DE0E7986F1D7}"/>
    <cellStyle name="Comma 3 2 4" xfId="80" xr:uid="{00000000-0005-0000-0000-00004F000000}"/>
    <cellStyle name="Comma 3 2 4 2" xfId="81" xr:uid="{00000000-0005-0000-0000-000050000000}"/>
    <cellStyle name="Comma 3 2 4 2 2" xfId="216" xr:uid="{1EB90892-1372-4E34-A7F6-E2EE6125AB79}"/>
    <cellStyle name="Comma 3 2 4 3" xfId="215" xr:uid="{C67A4820-5497-404F-98D9-209360E348A1}"/>
    <cellStyle name="Comma 3 2 5" xfId="82" xr:uid="{00000000-0005-0000-0000-000051000000}"/>
    <cellStyle name="Comma 3 2 5 2" xfId="217" xr:uid="{A551AD6B-54AF-4BE0-B460-E4364CB4F141}"/>
    <cellStyle name="Comma 3 2 6" xfId="202" xr:uid="{38D5C725-76AB-4CA0-965D-5FCE95A7BF66}"/>
    <cellStyle name="Comma 3 3" xfId="83" xr:uid="{00000000-0005-0000-0000-000052000000}"/>
    <cellStyle name="Comma 3 3 2" xfId="84" xr:uid="{00000000-0005-0000-0000-000053000000}"/>
    <cellStyle name="Comma 3 3 2 2" xfId="85" xr:uid="{00000000-0005-0000-0000-000054000000}"/>
    <cellStyle name="Comma 3 3 2 2 2" xfId="86" xr:uid="{00000000-0005-0000-0000-000055000000}"/>
    <cellStyle name="Comma 3 3 2 2 2 2" xfId="221" xr:uid="{2CB8ADB4-D506-4B66-A08B-CB998159A7B0}"/>
    <cellStyle name="Comma 3 3 2 2 3" xfId="220" xr:uid="{E17C4948-6845-45B4-8F83-EA83CB2F397D}"/>
    <cellStyle name="Comma 3 3 2 3" xfId="87" xr:uid="{00000000-0005-0000-0000-000056000000}"/>
    <cellStyle name="Comma 3 3 2 3 2" xfId="222" xr:uid="{36150B2E-2248-414D-82F8-EEF5E3946E7D}"/>
    <cellStyle name="Comma 3 3 2 4" xfId="219" xr:uid="{2C201613-285C-4FB6-8820-EE825B473681}"/>
    <cellStyle name="Comma 3 3 3" xfId="88" xr:uid="{00000000-0005-0000-0000-000057000000}"/>
    <cellStyle name="Comma 3 3 3 2" xfId="89" xr:uid="{00000000-0005-0000-0000-000058000000}"/>
    <cellStyle name="Comma 3 3 3 2 2" xfId="224" xr:uid="{90EB1BB9-933B-4E96-B688-5B90054B68BA}"/>
    <cellStyle name="Comma 3 3 3 3" xfId="223" xr:uid="{C6AD8D14-2E12-458E-829F-5906B30317C6}"/>
    <cellStyle name="Comma 3 3 4" xfId="90" xr:uid="{00000000-0005-0000-0000-000059000000}"/>
    <cellStyle name="Comma 3 3 4 2" xfId="225" xr:uid="{71E2E9FD-C2B9-4220-AB5D-455D9F276B8A}"/>
    <cellStyle name="Comma 3 3 5" xfId="218" xr:uid="{9A2C2425-9703-4EF7-A1B5-899A8755E7D0}"/>
    <cellStyle name="Comma 3 4" xfId="91" xr:uid="{00000000-0005-0000-0000-00005A000000}"/>
    <cellStyle name="Comma 3 4 2" xfId="92" xr:uid="{00000000-0005-0000-0000-00005B000000}"/>
    <cellStyle name="Comma 3 4 2 2" xfId="93" xr:uid="{00000000-0005-0000-0000-00005C000000}"/>
    <cellStyle name="Comma 3 4 2 2 2" xfId="228" xr:uid="{6202A642-2737-4D95-A202-F5EBF1A141D8}"/>
    <cellStyle name="Comma 3 4 2 3" xfId="227" xr:uid="{C8E6F3F5-9A61-4F9D-85A8-E3B021719418}"/>
    <cellStyle name="Comma 3 4 3" xfId="94" xr:uid="{00000000-0005-0000-0000-00005D000000}"/>
    <cellStyle name="Comma 3 4 3 2" xfId="229" xr:uid="{46A178BE-C924-4620-93CA-B0A582628E01}"/>
    <cellStyle name="Comma 3 4 4" xfId="226" xr:uid="{FA2BC739-CC1A-4890-BB25-6EC0E78740C7}"/>
    <cellStyle name="Comma 3 5" xfId="95" xr:uid="{00000000-0005-0000-0000-00005E000000}"/>
    <cellStyle name="Comma 3 5 2" xfId="96" xr:uid="{00000000-0005-0000-0000-00005F000000}"/>
    <cellStyle name="Comma 3 5 2 2" xfId="231" xr:uid="{96800070-BB78-44C6-86B7-8E58AD09ACFE}"/>
    <cellStyle name="Comma 3 5 3" xfId="230" xr:uid="{DF4C1818-08B6-4D8C-BDBA-4DBDDBBE1AB7}"/>
    <cellStyle name="Comma 3 6" xfId="97" xr:uid="{00000000-0005-0000-0000-000060000000}"/>
    <cellStyle name="Comma 3 6 2" xfId="232" xr:uid="{0900A45D-0440-4EA1-B389-3FDF4C6CA702}"/>
    <cellStyle name="Comma 3 7" xfId="201" xr:uid="{D520E35B-67EA-474B-B658-8CB7B4EBA3A2}"/>
    <cellStyle name="Comma 4" xfId="98" xr:uid="{00000000-0005-0000-0000-000061000000}"/>
    <cellStyle name="Comma 4 2" xfId="99" xr:uid="{00000000-0005-0000-0000-000062000000}"/>
    <cellStyle name="Comma 4 2 2" xfId="100" xr:uid="{00000000-0005-0000-0000-000063000000}"/>
    <cellStyle name="Comma 4 2 2 2" xfId="101" xr:uid="{00000000-0005-0000-0000-000064000000}"/>
    <cellStyle name="Comma 4 2 2 2 2" xfId="102" xr:uid="{00000000-0005-0000-0000-000065000000}"/>
    <cellStyle name="Comma 4 2 2 2 2 2" xfId="237" xr:uid="{DEFFABC9-0CAC-4295-9D77-BF48E4229989}"/>
    <cellStyle name="Comma 4 2 2 2 3" xfId="236" xr:uid="{AB18005D-D3E3-40FF-9357-7F206F8C6705}"/>
    <cellStyle name="Comma 4 2 2 3" xfId="103" xr:uid="{00000000-0005-0000-0000-000066000000}"/>
    <cellStyle name="Comma 4 2 2 3 2" xfId="238" xr:uid="{9D731C32-B76E-4AF7-94C1-6E616C14174B}"/>
    <cellStyle name="Comma 4 2 2 4" xfId="235" xr:uid="{7D2AE933-617E-4E09-AC9C-28E8BFADC996}"/>
    <cellStyle name="Comma 4 2 3" xfId="104" xr:uid="{00000000-0005-0000-0000-000067000000}"/>
    <cellStyle name="Comma 4 2 3 2" xfId="105" xr:uid="{00000000-0005-0000-0000-000068000000}"/>
    <cellStyle name="Comma 4 2 3 2 2" xfId="240" xr:uid="{F92CC2AD-142F-4963-A661-9765633DFE19}"/>
    <cellStyle name="Comma 4 2 3 3" xfId="239" xr:uid="{EC99EC54-41D5-4FBD-A0DE-7B03CAE8E8A5}"/>
    <cellStyle name="Comma 4 2 4" xfId="106" xr:uid="{00000000-0005-0000-0000-000069000000}"/>
    <cellStyle name="Comma 4 2 4 2" xfId="241" xr:uid="{A9AF665E-CE65-44FC-9CEA-577E90F8ECCE}"/>
    <cellStyle name="Comma 4 2 5" xfId="234" xr:uid="{ABF46BBF-8CA3-4ACF-9470-F402A461D75E}"/>
    <cellStyle name="Comma 4 3" xfId="107" xr:uid="{00000000-0005-0000-0000-00006A000000}"/>
    <cellStyle name="Comma 4 3 2" xfId="108" xr:uid="{00000000-0005-0000-0000-00006B000000}"/>
    <cellStyle name="Comma 4 3 2 2" xfId="109" xr:uid="{00000000-0005-0000-0000-00006C000000}"/>
    <cellStyle name="Comma 4 3 2 2 2" xfId="244" xr:uid="{898D45F3-3DED-410D-BB39-914B526011B4}"/>
    <cellStyle name="Comma 4 3 2 3" xfId="243" xr:uid="{DFB4D3F0-8417-420A-AAD3-EF3905F98F4B}"/>
    <cellStyle name="Comma 4 3 3" xfId="110" xr:uid="{00000000-0005-0000-0000-00006D000000}"/>
    <cellStyle name="Comma 4 3 3 2" xfId="245" xr:uid="{4F288420-7187-40D3-8673-1E7DA9842709}"/>
    <cellStyle name="Comma 4 3 4" xfId="242" xr:uid="{D0BEAD41-A068-49FD-87C1-9C9070E59A2E}"/>
    <cellStyle name="Comma 4 4" xfId="111" xr:uid="{00000000-0005-0000-0000-00006E000000}"/>
    <cellStyle name="Comma 4 4 2" xfId="112" xr:uid="{00000000-0005-0000-0000-00006F000000}"/>
    <cellStyle name="Comma 4 4 2 2" xfId="247" xr:uid="{83B957D7-6224-418B-BEE2-70BAD1A327E7}"/>
    <cellStyle name="Comma 4 4 3" xfId="246" xr:uid="{1C2605AC-2A92-415D-9705-2D568C6BA1A9}"/>
    <cellStyle name="Comma 4 5" xfId="113" xr:uid="{00000000-0005-0000-0000-000070000000}"/>
    <cellStyle name="Comma 4 5 2" xfId="248" xr:uid="{D7C78188-EDA8-4BDB-9EB1-4D0130892BAB}"/>
    <cellStyle name="Comma 4 6" xfId="233" xr:uid="{8E340287-9B04-4762-BA0C-C8CBED002ECA}"/>
    <cellStyle name="Comma 5" xfId="114" xr:uid="{00000000-0005-0000-0000-000071000000}"/>
    <cellStyle name="Comma 5 2" xfId="115" xr:uid="{00000000-0005-0000-0000-000072000000}"/>
    <cellStyle name="Comma 5 2 2" xfId="116" xr:uid="{00000000-0005-0000-0000-000073000000}"/>
    <cellStyle name="Comma 5 2 2 2" xfId="117" xr:uid="{00000000-0005-0000-0000-000074000000}"/>
    <cellStyle name="Comma 5 2 2 2 2" xfId="252" xr:uid="{54CF0067-A146-48DC-8C0D-5EB57699DBFB}"/>
    <cellStyle name="Comma 5 2 2 3" xfId="251" xr:uid="{A0C8CA67-2846-4CBF-B9B2-322D876CA4F8}"/>
    <cellStyle name="Comma 5 2 3" xfId="118" xr:uid="{00000000-0005-0000-0000-000075000000}"/>
    <cellStyle name="Comma 5 2 3 2" xfId="253" xr:uid="{E1CD74C5-739B-4522-9CCD-3E5A9CCC339C}"/>
    <cellStyle name="Comma 5 2 4" xfId="250" xr:uid="{2157CD04-9EDB-44C2-93EE-78EFDF11997F}"/>
    <cellStyle name="Comma 5 3" xfId="119" xr:uid="{00000000-0005-0000-0000-000076000000}"/>
    <cellStyle name="Comma 5 3 2" xfId="120" xr:uid="{00000000-0005-0000-0000-000077000000}"/>
    <cellStyle name="Comma 5 3 2 2" xfId="255" xr:uid="{2265EADA-F3B3-4696-8A8B-3E1143FB9738}"/>
    <cellStyle name="Comma 5 3 3" xfId="254" xr:uid="{0AEDF4C0-2750-431B-BA12-2219D208CEAB}"/>
    <cellStyle name="Comma 5 4" xfId="121" xr:uid="{00000000-0005-0000-0000-000078000000}"/>
    <cellStyle name="Comma 5 4 2" xfId="256" xr:uid="{77D61113-450D-45F2-B752-2B1D15C22D99}"/>
    <cellStyle name="Comma 5 5" xfId="249" xr:uid="{2124F128-B766-4820-B7FC-FA0751A76490}"/>
    <cellStyle name="Comma 6" xfId="122" xr:uid="{00000000-0005-0000-0000-000079000000}"/>
    <cellStyle name="Comma 6 2" xfId="123" xr:uid="{00000000-0005-0000-0000-00007A000000}"/>
    <cellStyle name="Comma 6 2 2" xfId="124" xr:uid="{00000000-0005-0000-0000-00007B000000}"/>
    <cellStyle name="Comma 6 2 2 2" xfId="259" xr:uid="{4A0756C1-A9A2-47E5-8881-5E0686E48116}"/>
    <cellStyle name="Comma 6 2 3" xfId="258" xr:uid="{285F49BC-4E29-456B-B7E7-3134DB3BE4E3}"/>
    <cellStyle name="Comma 6 3" xfId="125" xr:uid="{00000000-0005-0000-0000-00007C000000}"/>
    <cellStyle name="Comma 6 3 2" xfId="260" xr:uid="{9D7A432E-D9B1-4EBB-8C1A-EB60F07455AA}"/>
    <cellStyle name="Comma 6 4" xfId="257" xr:uid="{708FE1F6-ADB5-4CFC-B4DF-E748E747DA9D}"/>
    <cellStyle name="Comma 7" xfId="126" xr:uid="{00000000-0005-0000-0000-00007D000000}"/>
    <cellStyle name="Comma 7 2" xfId="127" xr:uid="{00000000-0005-0000-0000-00007E000000}"/>
    <cellStyle name="Comma 7 2 2" xfId="262" xr:uid="{4871A668-FEF9-4E8A-AD4D-8900D7C20209}"/>
    <cellStyle name="Comma 7 3" xfId="261" xr:uid="{81BBAF0E-95F9-4FCB-83E4-E2023C1FC878}"/>
    <cellStyle name="Comma 8" xfId="128" xr:uid="{00000000-0005-0000-0000-00007F000000}"/>
    <cellStyle name="Comma 8 2" xfId="263" xr:uid="{035517EC-3336-4A04-986F-3C7733311AA3}"/>
    <cellStyle name="Comma 9" xfId="136" xr:uid="{7191B145-DFF0-49B8-8C56-AFB3C5D60422}"/>
    <cellStyle name="Hyperlink" xfId="129" builtinId="8"/>
    <cellStyle name="Normal" xfId="0" builtinId="0"/>
    <cellStyle name="Normal 2" xfId="130" xr:uid="{00000000-0005-0000-0000-000082000000}"/>
    <cellStyle name="Normal 2 2" xfId="133" xr:uid="{844E0C7F-1B2A-488A-9587-FC8490811E3D}"/>
    <cellStyle name="Normal 2 3" xfId="132" xr:uid="{9F768EA2-2129-4415-A5B9-5E6037815AF7}"/>
    <cellStyle name="Normal 39" xfId="134" xr:uid="{61AFE469-52F6-489F-89F2-846CA07D32F6}"/>
    <cellStyle name="Normal_Sheet1" xfId="131" xr:uid="{00000000-0005-0000-0000-000083000000}"/>
    <cellStyle name="Percent 2" xfId="135" xr:uid="{BC046EAD-05FB-4123-8025-9A2F3281F237}"/>
  </cellStyles>
  <dxfs count="6055">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0"/>
        </patternFill>
      </fill>
    </dxf>
    <dxf>
      <font>
        <b/>
        <i val="0"/>
        <condense val="0"/>
        <extend val="0"/>
        <color indexed="13"/>
      </font>
      <fill>
        <patternFill>
          <bgColor indexed="11"/>
        </patternFill>
      </fill>
    </dxf>
    <dxf>
      <fill>
        <patternFill>
          <bgColor indexed="26"/>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ill>
        <patternFill>
          <bgColor indexed="26"/>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ons.gov.uk/releases/impactofreweightingonlabourforcesurveykeyindicatorsdecember2024"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05B6B-9A25-4676-98A2-CCE84C4391BA}">
  <dimension ref="A1:M11"/>
  <sheetViews>
    <sheetView tabSelected="1" workbookViewId="0"/>
  </sheetViews>
  <sheetFormatPr defaultColWidth="8.7109375" defaultRowHeight="12.75" x14ac:dyDescent="0.2"/>
  <cols>
    <col min="1" max="1" width="101.140625" style="170" customWidth="1"/>
    <col min="2" max="256" width="8.7109375" style="170"/>
    <col min="257" max="257" width="101.140625" style="170" customWidth="1"/>
    <col min="258" max="512" width="8.7109375" style="170"/>
    <col min="513" max="513" width="101.140625" style="170" customWidth="1"/>
    <col min="514" max="768" width="8.7109375" style="170"/>
    <col min="769" max="769" width="101.140625" style="170" customWidth="1"/>
    <col min="770" max="1024" width="8.7109375" style="170"/>
    <col min="1025" max="1025" width="101.140625" style="170" customWidth="1"/>
    <col min="1026" max="1280" width="8.7109375" style="170"/>
    <col min="1281" max="1281" width="101.140625" style="170" customWidth="1"/>
    <col min="1282" max="1536" width="8.7109375" style="170"/>
    <col min="1537" max="1537" width="101.140625" style="170" customWidth="1"/>
    <col min="1538" max="1792" width="8.7109375" style="170"/>
    <col min="1793" max="1793" width="101.140625" style="170" customWidth="1"/>
    <col min="1794" max="2048" width="8.7109375" style="170"/>
    <col min="2049" max="2049" width="101.140625" style="170" customWidth="1"/>
    <col min="2050" max="2304" width="8.7109375" style="170"/>
    <col min="2305" max="2305" width="101.140625" style="170" customWidth="1"/>
    <col min="2306" max="2560" width="8.7109375" style="170"/>
    <col min="2561" max="2561" width="101.140625" style="170" customWidth="1"/>
    <col min="2562" max="2816" width="8.7109375" style="170"/>
    <col min="2817" max="2817" width="101.140625" style="170" customWidth="1"/>
    <col min="2818" max="3072" width="8.7109375" style="170"/>
    <col min="3073" max="3073" width="101.140625" style="170" customWidth="1"/>
    <col min="3074" max="3328" width="8.7109375" style="170"/>
    <col min="3329" max="3329" width="101.140625" style="170" customWidth="1"/>
    <col min="3330" max="3584" width="8.7109375" style="170"/>
    <col min="3585" max="3585" width="101.140625" style="170" customWidth="1"/>
    <col min="3586" max="3840" width="8.7109375" style="170"/>
    <col min="3841" max="3841" width="101.140625" style="170" customWidth="1"/>
    <col min="3842" max="4096" width="8.7109375" style="170"/>
    <col min="4097" max="4097" width="101.140625" style="170" customWidth="1"/>
    <col min="4098" max="4352" width="8.7109375" style="170"/>
    <col min="4353" max="4353" width="101.140625" style="170" customWidth="1"/>
    <col min="4354" max="4608" width="8.7109375" style="170"/>
    <col min="4609" max="4609" width="101.140625" style="170" customWidth="1"/>
    <col min="4610" max="4864" width="8.7109375" style="170"/>
    <col min="4865" max="4865" width="101.140625" style="170" customWidth="1"/>
    <col min="4866" max="5120" width="8.7109375" style="170"/>
    <col min="5121" max="5121" width="101.140625" style="170" customWidth="1"/>
    <col min="5122" max="5376" width="8.7109375" style="170"/>
    <col min="5377" max="5377" width="101.140625" style="170" customWidth="1"/>
    <col min="5378" max="5632" width="8.7109375" style="170"/>
    <col min="5633" max="5633" width="101.140625" style="170" customWidth="1"/>
    <col min="5634" max="5888" width="8.7109375" style="170"/>
    <col min="5889" max="5889" width="101.140625" style="170" customWidth="1"/>
    <col min="5890" max="6144" width="8.7109375" style="170"/>
    <col min="6145" max="6145" width="101.140625" style="170" customWidth="1"/>
    <col min="6146" max="6400" width="8.7109375" style="170"/>
    <col min="6401" max="6401" width="101.140625" style="170" customWidth="1"/>
    <col min="6402" max="6656" width="8.7109375" style="170"/>
    <col min="6657" max="6657" width="101.140625" style="170" customWidth="1"/>
    <col min="6658" max="6912" width="8.7109375" style="170"/>
    <col min="6913" max="6913" width="101.140625" style="170" customWidth="1"/>
    <col min="6914" max="7168" width="8.7109375" style="170"/>
    <col min="7169" max="7169" width="101.140625" style="170" customWidth="1"/>
    <col min="7170" max="7424" width="8.7109375" style="170"/>
    <col min="7425" max="7425" width="101.140625" style="170" customWidth="1"/>
    <col min="7426" max="7680" width="8.7109375" style="170"/>
    <col min="7681" max="7681" width="101.140625" style="170" customWidth="1"/>
    <col min="7682" max="7936" width="8.7109375" style="170"/>
    <col min="7937" max="7937" width="101.140625" style="170" customWidth="1"/>
    <col min="7938" max="8192" width="8.7109375" style="170"/>
    <col min="8193" max="8193" width="101.140625" style="170" customWidth="1"/>
    <col min="8194" max="8448" width="8.7109375" style="170"/>
    <col min="8449" max="8449" width="101.140625" style="170" customWidth="1"/>
    <col min="8450" max="8704" width="8.7109375" style="170"/>
    <col min="8705" max="8705" width="101.140625" style="170" customWidth="1"/>
    <col min="8706" max="8960" width="8.7109375" style="170"/>
    <col min="8961" max="8961" width="101.140625" style="170" customWidth="1"/>
    <col min="8962" max="9216" width="8.7109375" style="170"/>
    <col min="9217" max="9217" width="101.140625" style="170" customWidth="1"/>
    <col min="9218" max="9472" width="8.7109375" style="170"/>
    <col min="9473" max="9473" width="101.140625" style="170" customWidth="1"/>
    <col min="9474" max="9728" width="8.7109375" style="170"/>
    <col min="9729" max="9729" width="101.140625" style="170" customWidth="1"/>
    <col min="9730" max="9984" width="8.7109375" style="170"/>
    <col min="9985" max="9985" width="101.140625" style="170" customWidth="1"/>
    <col min="9986" max="10240" width="8.7109375" style="170"/>
    <col min="10241" max="10241" width="101.140625" style="170" customWidth="1"/>
    <col min="10242" max="10496" width="8.7109375" style="170"/>
    <col min="10497" max="10497" width="101.140625" style="170" customWidth="1"/>
    <col min="10498" max="10752" width="8.7109375" style="170"/>
    <col min="10753" max="10753" width="101.140625" style="170" customWidth="1"/>
    <col min="10754" max="11008" width="8.7109375" style="170"/>
    <col min="11009" max="11009" width="101.140625" style="170" customWidth="1"/>
    <col min="11010" max="11264" width="8.7109375" style="170"/>
    <col min="11265" max="11265" width="101.140625" style="170" customWidth="1"/>
    <col min="11266" max="11520" width="8.7109375" style="170"/>
    <col min="11521" max="11521" width="101.140625" style="170" customWidth="1"/>
    <col min="11522" max="11776" width="8.7109375" style="170"/>
    <col min="11777" max="11777" width="101.140625" style="170" customWidth="1"/>
    <col min="11778" max="12032" width="8.7109375" style="170"/>
    <col min="12033" max="12033" width="101.140625" style="170" customWidth="1"/>
    <col min="12034" max="12288" width="8.7109375" style="170"/>
    <col min="12289" max="12289" width="101.140625" style="170" customWidth="1"/>
    <col min="12290" max="12544" width="8.7109375" style="170"/>
    <col min="12545" max="12545" width="101.140625" style="170" customWidth="1"/>
    <col min="12546" max="12800" width="8.7109375" style="170"/>
    <col min="12801" max="12801" width="101.140625" style="170" customWidth="1"/>
    <col min="12802" max="13056" width="8.7109375" style="170"/>
    <col min="13057" max="13057" width="101.140625" style="170" customWidth="1"/>
    <col min="13058" max="13312" width="8.7109375" style="170"/>
    <col min="13313" max="13313" width="101.140625" style="170" customWidth="1"/>
    <col min="13314" max="13568" width="8.7109375" style="170"/>
    <col min="13569" max="13569" width="101.140625" style="170" customWidth="1"/>
    <col min="13570" max="13824" width="8.7109375" style="170"/>
    <col min="13825" max="13825" width="101.140625" style="170" customWidth="1"/>
    <col min="13826" max="14080" width="8.7109375" style="170"/>
    <col min="14081" max="14081" width="101.140625" style="170" customWidth="1"/>
    <col min="14082" max="14336" width="8.7109375" style="170"/>
    <col min="14337" max="14337" width="101.140625" style="170" customWidth="1"/>
    <col min="14338" max="14592" width="8.7109375" style="170"/>
    <col min="14593" max="14593" width="101.140625" style="170" customWidth="1"/>
    <col min="14594" max="14848" width="8.7109375" style="170"/>
    <col min="14849" max="14849" width="101.140625" style="170" customWidth="1"/>
    <col min="14850" max="15104" width="8.7109375" style="170"/>
    <col min="15105" max="15105" width="101.140625" style="170" customWidth="1"/>
    <col min="15106" max="15360" width="8.7109375" style="170"/>
    <col min="15361" max="15361" width="101.140625" style="170" customWidth="1"/>
    <col min="15362" max="15616" width="8.7109375" style="170"/>
    <col min="15617" max="15617" width="101.140625" style="170" customWidth="1"/>
    <col min="15618" max="15872" width="8.7109375" style="170"/>
    <col min="15873" max="15873" width="101.140625" style="170" customWidth="1"/>
    <col min="15874" max="16128" width="8.7109375" style="170"/>
    <col min="16129" max="16129" width="101.140625" style="170" customWidth="1"/>
    <col min="16130" max="16384" width="8.7109375" style="170"/>
  </cols>
  <sheetData>
    <row r="1" spans="1:13" ht="39" customHeight="1" x14ac:dyDescent="0.5">
      <c r="A1" s="169" t="s">
        <v>318</v>
      </c>
    </row>
    <row r="3" spans="1:13" s="173" customFormat="1" ht="24" customHeight="1" x14ac:dyDescent="0.2">
      <c r="A3" s="171" t="s">
        <v>319</v>
      </c>
      <c r="B3" s="172"/>
      <c r="C3" s="172"/>
      <c r="D3" s="172"/>
      <c r="E3" s="172"/>
      <c r="F3" s="172"/>
      <c r="G3" s="172"/>
      <c r="H3" s="172"/>
      <c r="I3" s="172"/>
      <c r="J3" s="172"/>
    </row>
    <row r="4" spans="1:13" s="173" customFormat="1" ht="78.599999999999994" customHeight="1" x14ac:dyDescent="0.2">
      <c r="A4" s="171" t="s">
        <v>320</v>
      </c>
    </row>
    <row r="5" spans="1:13" s="173" customFormat="1" ht="93.6" customHeight="1" x14ac:dyDescent="0.2">
      <c r="A5" s="171" t="s">
        <v>321</v>
      </c>
    </row>
    <row r="6" spans="1:13" s="173" customFormat="1" ht="34.15" customHeight="1" x14ac:dyDescent="0.2">
      <c r="A6" s="171" t="s">
        <v>322</v>
      </c>
    </row>
    <row r="7" spans="1:13" s="173" customFormat="1" ht="77.45" customHeight="1" x14ac:dyDescent="0.2">
      <c r="A7" s="171" t="s">
        <v>323</v>
      </c>
    </row>
    <row r="8" spans="1:13" s="173" customFormat="1" ht="27.6" customHeight="1" x14ac:dyDescent="0.25">
      <c r="A8" s="174" t="s">
        <v>324</v>
      </c>
    </row>
    <row r="9" spans="1:13" s="173" customFormat="1" ht="29.45" customHeight="1" x14ac:dyDescent="0.2">
      <c r="A9" s="175" t="s">
        <v>325</v>
      </c>
    </row>
    <row r="10" spans="1:13" s="173" customFormat="1" ht="28.9" customHeight="1" x14ac:dyDescent="0.2">
      <c r="A10" s="175" t="s">
        <v>326</v>
      </c>
    </row>
    <row r="11" spans="1:13" ht="13.15" customHeight="1" x14ac:dyDescent="0.2">
      <c r="A11" s="176" t="s">
        <v>327</v>
      </c>
      <c r="B11" s="177"/>
      <c r="C11" s="177"/>
      <c r="D11" s="177"/>
      <c r="E11" s="177"/>
      <c r="F11" s="177"/>
      <c r="G11" s="177"/>
      <c r="H11" s="177"/>
      <c r="I11" s="177"/>
      <c r="J11" s="177"/>
      <c r="K11" s="177"/>
      <c r="L11" s="177"/>
      <c r="M11" s="177"/>
    </row>
  </sheetData>
  <hyperlinks>
    <hyperlink ref="A11" r:id="rId1" xr:uid="{6FDC527E-8322-48D6-9DC4-DEF13A61015E}"/>
  </hyperlinks>
  <pageMargins left="0.7" right="0.7" top="0.75" bottom="0.75" header="0.3" footer="0.3"/>
  <pageSetup paperSize="9" orientation="portrait" horizontalDpi="300" verticalDpi="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GG200"/>
  <sheetViews>
    <sheetView topLeftCell="B1" zoomScaleNormal="100" workbookViewId="0">
      <pane xSplit="1" ySplit="8" topLeftCell="FU187" activePane="bottomRight" state="frozen"/>
      <selection activeCell="B1" sqref="B1"/>
      <selection pane="topRight" activeCell="C1" sqref="C1"/>
      <selection pane="bottomLeft" activeCell="B9" sqref="B9"/>
      <selection pane="bottomRight" activeCell="B1" sqref="B1"/>
    </sheetView>
  </sheetViews>
  <sheetFormatPr defaultColWidth="7" defaultRowHeight="12.75" x14ac:dyDescent="0.2"/>
  <cols>
    <col min="1" max="1" width="14.28515625" hidden="1" customWidth="1"/>
    <col min="2" max="2" width="34.28515625" customWidth="1"/>
    <col min="3" max="128" width="7" style="49"/>
    <col min="129" max="129" width="0" style="49" hidden="1" customWidth="1"/>
    <col min="130" max="140" width="7" style="49"/>
    <col min="141" max="141" width="0" style="49" hidden="1" customWidth="1"/>
    <col min="142" max="146" width="7" style="49"/>
    <col min="147" max="153" width="0" style="49" hidden="1" customWidth="1"/>
    <col min="154" max="16384" width="7" style="49"/>
  </cols>
  <sheetData>
    <row r="1" spans="1:189" ht="18" x14ac:dyDescent="0.25">
      <c r="B1" s="31" t="s">
        <v>272</v>
      </c>
      <c r="C1" s="48"/>
      <c r="D1" s="48"/>
      <c r="E1" s="48"/>
      <c r="F1" s="48"/>
      <c r="G1" s="48"/>
      <c r="H1" s="48"/>
      <c r="I1" s="48"/>
      <c r="J1" s="48"/>
      <c r="K1" s="48"/>
      <c r="L1" s="48"/>
      <c r="M1" s="48"/>
      <c r="N1" s="48"/>
      <c r="O1" s="48"/>
      <c r="P1" s="48"/>
      <c r="Q1" s="48"/>
      <c r="R1" s="48"/>
      <c r="S1" s="48"/>
      <c r="T1" s="48"/>
      <c r="U1" s="48"/>
      <c r="V1" s="48"/>
      <c r="W1" s="48"/>
      <c r="X1" s="48"/>
      <c r="Y1" s="48"/>
      <c r="Z1" s="48"/>
      <c r="AA1" s="48"/>
      <c r="AB1" s="48"/>
      <c r="AC1" s="48"/>
      <c r="AD1" s="48"/>
      <c r="AE1" s="48"/>
      <c r="AF1" s="48"/>
      <c r="AG1" s="48"/>
      <c r="AH1" s="48"/>
      <c r="AI1" s="48"/>
      <c r="AJ1" s="48"/>
      <c r="AK1" s="48"/>
      <c r="AL1" s="48"/>
      <c r="AM1" s="48"/>
      <c r="AN1" s="48"/>
      <c r="AO1" s="48"/>
      <c r="AP1" s="48"/>
      <c r="AQ1" s="48"/>
      <c r="AR1" s="48"/>
      <c r="AS1" s="48"/>
      <c r="AT1" s="48"/>
      <c r="AU1" s="48"/>
      <c r="AV1" s="48"/>
      <c r="AW1" s="48"/>
      <c r="AX1" s="48"/>
      <c r="AY1" s="48"/>
      <c r="AZ1" s="48"/>
      <c r="BA1" s="48"/>
      <c r="BB1" s="48"/>
      <c r="BC1" s="48"/>
      <c r="BD1" s="48"/>
      <c r="BE1" s="48"/>
      <c r="BF1" s="48"/>
      <c r="BG1" s="48"/>
      <c r="BH1" s="48"/>
      <c r="BI1" s="48"/>
      <c r="BJ1" s="48"/>
      <c r="BK1" s="48"/>
      <c r="BL1" s="48"/>
      <c r="BM1" s="48"/>
      <c r="BN1" s="48"/>
      <c r="BO1" s="48"/>
      <c r="BP1" s="48"/>
      <c r="BQ1" s="48"/>
      <c r="BR1" s="48"/>
      <c r="BS1" s="48"/>
      <c r="BT1" s="48"/>
      <c r="BU1" s="48"/>
      <c r="BV1" s="48"/>
      <c r="BW1" s="48"/>
      <c r="BX1" s="48"/>
      <c r="BY1" s="48"/>
      <c r="BZ1" s="48"/>
      <c r="CA1" s="48"/>
      <c r="CB1" s="48"/>
      <c r="CC1" s="48"/>
      <c r="CD1" s="48"/>
      <c r="CE1" s="48"/>
      <c r="CF1" s="48"/>
      <c r="CG1" s="48"/>
      <c r="CH1" s="48"/>
      <c r="CI1" s="48"/>
      <c r="CJ1" s="48"/>
      <c r="CK1" s="48"/>
      <c r="CL1" s="48"/>
      <c r="CM1" s="48"/>
      <c r="CN1" s="48"/>
      <c r="CO1" s="48"/>
      <c r="CP1" s="48"/>
      <c r="CQ1" s="48"/>
      <c r="CR1" s="48"/>
      <c r="CS1" s="48"/>
      <c r="CT1" s="48"/>
      <c r="CU1" s="48"/>
      <c r="CV1" s="48"/>
      <c r="CW1" s="48"/>
      <c r="CX1" s="48"/>
      <c r="CY1" s="48"/>
      <c r="CZ1" s="48"/>
      <c r="DA1" s="48"/>
      <c r="DB1" s="48"/>
      <c r="DC1" s="48"/>
      <c r="DD1" s="48"/>
      <c r="DE1" s="48"/>
      <c r="DF1" s="48"/>
      <c r="DG1" s="48"/>
      <c r="DH1" s="48"/>
      <c r="DI1" s="48"/>
      <c r="DJ1" s="48"/>
      <c r="DK1" s="48"/>
      <c r="DL1" s="48"/>
      <c r="DM1" s="48"/>
      <c r="DN1" s="48"/>
      <c r="DO1" s="48"/>
      <c r="DP1" s="48"/>
      <c r="DQ1" s="48"/>
      <c r="DR1" s="48"/>
      <c r="DS1" s="48"/>
      <c r="DT1" s="48"/>
      <c r="DU1" s="48"/>
      <c r="DV1" s="48"/>
      <c r="DW1" s="48"/>
      <c r="DX1" s="48"/>
      <c r="DY1" s="48"/>
      <c r="DZ1" s="48"/>
      <c r="EA1" s="48"/>
      <c r="EB1" s="48"/>
      <c r="EC1" s="48"/>
      <c r="ED1" s="48"/>
      <c r="EE1" s="48"/>
      <c r="EF1" s="48"/>
      <c r="EG1" s="48"/>
      <c r="EH1" s="48"/>
      <c r="EI1" s="48"/>
      <c r="EJ1" s="48"/>
      <c r="EK1" s="48"/>
      <c r="EL1" s="48"/>
      <c r="EM1" s="48"/>
      <c r="EN1" s="48"/>
      <c r="EO1" s="48"/>
      <c r="EP1" s="48"/>
      <c r="EQ1" s="48"/>
      <c r="ER1" s="48"/>
      <c r="ES1" s="48"/>
      <c r="ET1" s="48"/>
      <c r="EU1" s="48"/>
      <c r="EV1" s="48"/>
      <c r="EW1" s="48"/>
      <c r="EX1" s="48"/>
      <c r="EY1" s="48"/>
      <c r="EZ1" s="48"/>
      <c r="FA1" s="48"/>
      <c r="FB1" s="48"/>
      <c r="FC1" s="48"/>
      <c r="FD1" s="48"/>
      <c r="FE1" s="48"/>
      <c r="FF1" s="48"/>
      <c r="FG1" s="48"/>
      <c r="FH1" s="48"/>
      <c r="FI1" s="48"/>
      <c r="FJ1" s="48"/>
      <c r="FK1" s="48"/>
      <c r="FL1" s="48"/>
      <c r="FM1" s="48"/>
      <c r="FN1" s="48"/>
      <c r="FO1" s="48"/>
      <c r="FP1" s="48"/>
      <c r="FQ1" s="48"/>
      <c r="FR1" s="48"/>
      <c r="FS1" s="48"/>
      <c r="FT1" s="48"/>
      <c r="FU1" s="48"/>
      <c r="FV1" s="48"/>
      <c r="FW1" s="48"/>
      <c r="FX1" s="48"/>
      <c r="FY1" s="48"/>
      <c r="FZ1" s="48"/>
      <c r="GA1" s="48"/>
      <c r="GB1" s="48"/>
      <c r="GC1" s="48"/>
      <c r="GD1" s="48"/>
      <c r="GE1" s="48"/>
      <c r="GF1" s="48"/>
      <c r="GG1" s="48"/>
    </row>
    <row r="2" spans="1:189" ht="18" x14ac:dyDescent="0.25">
      <c r="B2" s="31"/>
      <c r="C2" s="48"/>
      <c r="D2" s="48"/>
      <c r="E2" s="48"/>
      <c r="F2" s="48"/>
      <c r="G2" s="48"/>
      <c r="H2" s="48"/>
      <c r="I2" s="48"/>
      <c r="J2" s="48"/>
      <c r="K2" s="48"/>
      <c r="L2" s="48"/>
      <c r="M2" s="48"/>
      <c r="N2" s="48"/>
      <c r="O2" s="48"/>
      <c r="P2" s="48"/>
      <c r="Q2" s="48"/>
      <c r="R2" s="48"/>
      <c r="S2" s="48"/>
      <c r="T2" s="48"/>
      <c r="U2" s="48"/>
      <c r="V2" s="48"/>
      <c r="W2" s="48"/>
      <c r="X2" s="48"/>
      <c r="Y2" s="48"/>
      <c r="Z2" s="48"/>
      <c r="AA2" s="48"/>
      <c r="AB2" s="48"/>
      <c r="AC2" s="48"/>
      <c r="AD2" s="48"/>
      <c r="AE2" s="48"/>
      <c r="AF2" s="48"/>
      <c r="AG2" s="48"/>
      <c r="AH2" s="48"/>
      <c r="AI2" s="48"/>
      <c r="AJ2" s="48"/>
      <c r="AK2" s="48"/>
      <c r="AL2" s="48"/>
      <c r="AM2" s="48"/>
      <c r="AN2" s="48"/>
      <c r="AO2" s="48"/>
      <c r="AP2" s="48"/>
      <c r="AQ2" s="48"/>
      <c r="AR2" s="48"/>
      <c r="AS2" s="48"/>
      <c r="AT2" s="48"/>
      <c r="AU2" s="48"/>
      <c r="AV2" s="48"/>
      <c r="AW2" s="48"/>
      <c r="AX2" s="48"/>
      <c r="AY2" s="48"/>
      <c r="AZ2" s="48"/>
      <c r="BA2" s="48"/>
      <c r="BB2" s="48"/>
      <c r="BC2" s="48"/>
      <c r="BD2" s="48"/>
      <c r="BE2" s="48"/>
      <c r="BF2" s="48"/>
      <c r="BG2" s="48"/>
      <c r="BH2" s="48"/>
      <c r="BI2" s="48"/>
      <c r="BJ2" s="48"/>
      <c r="BK2" s="48"/>
      <c r="BL2" s="48"/>
      <c r="BM2" s="48"/>
      <c r="BN2" s="48"/>
      <c r="BO2" s="48"/>
      <c r="BP2" s="48"/>
      <c r="BQ2" s="48"/>
      <c r="BR2" s="48"/>
      <c r="BS2" s="48"/>
      <c r="BT2" s="48"/>
      <c r="BU2" s="48"/>
      <c r="BV2" s="48"/>
      <c r="BW2" s="48"/>
      <c r="BX2" s="48"/>
      <c r="BY2" s="48"/>
      <c r="BZ2" s="48"/>
      <c r="CA2" s="48"/>
      <c r="CB2" s="48"/>
      <c r="CC2" s="48"/>
      <c r="CD2" s="48"/>
      <c r="CE2" s="48"/>
      <c r="CF2" s="48"/>
      <c r="CG2" s="48"/>
      <c r="CH2" s="48"/>
      <c r="CI2" s="48"/>
      <c r="CJ2" s="48"/>
      <c r="CK2" s="48"/>
      <c r="CL2" s="48"/>
      <c r="CM2" s="48"/>
      <c r="CN2" s="48"/>
      <c r="CO2" s="48"/>
      <c r="CP2" s="48"/>
      <c r="CQ2" s="48"/>
      <c r="CR2" s="48"/>
      <c r="CS2" s="48"/>
      <c r="CT2" s="48"/>
      <c r="CU2" s="48"/>
      <c r="CV2" s="48"/>
      <c r="CW2" s="48"/>
      <c r="CX2" s="48"/>
      <c r="CY2" s="48"/>
      <c r="CZ2" s="48"/>
      <c r="DA2" s="48"/>
      <c r="DB2" s="48"/>
      <c r="DC2" s="48"/>
      <c r="DD2" s="48"/>
      <c r="DE2" s="48"/>
      <c r="DF2" s="48"/>
      <c r="DG2" s="48"/>
      <c r="DH2" s="48"/>
      <c r="DI2" s="48"/>
      <c r="DJ2" s="48"/>
      <c r="DK2" s="48"/>
      <c r="DL2" s="48"/>
      <c r="DM2" s="48"/>
      <c r="DN2" s="48"/>
      <c r="DO2" s="48"/>
      <c r="DP2" s="48"/>
      <c r="DQ2" s="48"/>
      <c r="DR2" s="48"/>
      <c r="DS2" s="48"/>
      <c r="DT2" s="48"/>
      <c r="DU2" s="48"/>
      <c r="DV2" s="48"/>
      <c r="DW2" s="48"/>
      <c r="DX2" s="48"/>
      <c r="DY2" s="48"/>
      <c r="DZ2" s="48"/>
      <c r="EA2" s="48"/>
      <c r="EB2" s="48"/>
      <c r="EC2" s="48"/>
      <c r="ED2" s="48"/>
      <c r="EE2" s="48"/>
      <c r="EF2" s="48"/>
      <c r="EG2" s="48"/>
      <c r="EH2" s="48"/>
      <c r="EI2" s="48"/>
      <c r="EJ2" s="48"/>
      <c r="EK2" s="48"/>
      <c r="EL2" s="48"/>
      <c r="EM2" s="48"/>
      <c r="EN2" s="48"/>
      <c r="EO2" s="48"/>
      <c r="EP2" s="48"/>
      <c r="EQ2" s="48"/>
      <c r="ER2" s="48"/>
      <c r="ES2" s="48"/>
      <c r="ET2" s="48"/>
      <c r="EU2" s="48"/>
      <c r="EV2" s="48"/>
      <c r="EW2" s="48"/>
      <c r="EX2" s="48"/>
      <c r="EY2" s="48"/>
      <c r="EZ2" s="48"/>
      <c r="FA2" s="48"/>
      <c r="FB2" s="48"/>
      <c r="FC2" s="48"/>
      <c r="FD2" s="48"/>
      <c r="FE2" s="48"/>
      <c r="FF2" s="48"/>
      <c r="FG2" s="48"/>
      <c r="FH2" s="48"/>
      <c r="FI2" s="48"/>
      <c r="FJ2" s="48"/>
      <c r="FK2" s="48"/>
      <c r="FL2" s="48"/>
      <c r="FM2" s="48"/>
      <c r="FN2" s="48"/>
      <c r="FO2" s="48"/>
      <c r="FP2" s="48"/>
      <c r="FQ2" s="48"/>
      <c r="FR2" s="48"/>
      <c r="FS2" s="48"/>
      <c r="FT2" s="48"/>
      <c r="FU2" s="48"/>
      <c r="FV2" s="48"/>
      <c r="FW2" s="48"/>
      <c r="FX2" s="48"/>
      <c r="FY2" s="48"/>
      <c r="FZ2" s="48"/>
      <c r="GA2" s="48"/>
      <c r="GB2" s="48"/>
      <c r="GC2" s="48"/>
      <c r="GD2" s="48"/>
      <c r="GE2" s="48"/>
      <c r="GF2" s="48"/>
      <c r="GG2" s="48"/>
    </row>
    <row r="3" spans="1:189" x14ac:dyDescent="0.2">
      <c r="B3" s="32" t="s">
        <v>260</v>
      </c>
      <c r="C3" s="50"/>
      <c r="D3" s="50"/>
      <c r="E3" s="50"/>
      <c r="F3" s="50"/>
      <c r="G3" s="50"/>
      <c r="H3" s="50"/>
      <c r="I3" s="50"/>
      <c r="J3" s="50"/>
      <c r="K3" s="50"/>
      <c r="L3" s="50"/>
      <c r="M3" s="50"/>
      <c r="N3" s="50"/>
      <c r="O3" s="50"/>
      <c r="P3" s="50"/>
      <c r="Q3" s="50"/>
      <c r="R3" s="50"/>
      <c r="S3" s="50"/>
      <c r="T3" s="50"/>
      <c r="U3" s="50"/>
      <c r="V3" s="50"/>
      <c r="W3" s="50"/>
      <c r="X3" s="50"/>
      <c r="Y3" s="50"/>
      <c r="Z3" s="50"/>
      <c r="AA3" s="50"/>
      <c r="AB3" s="50"/>
      <c r="AC3" s="50"/>
      <c r="AD3" s="50"/>
      <c r="AE3" s="50"/>
      <c r="AF3" s="50"/>
      <c r="AG3" s="50"/>
      <c r="AH3" s="50"/>
      <c r="AI3" s="50"/>
      <c r="AJ3" s="50"/>
      <c r="AK3" s="50"/>
      <c r="AL3" s="50"/>
      <c r="AM3" s="50"/>
      <c r="AN3" s="50"/>
      <c r="AO3" s="50"/>
      <c r="AP3" s="50"/>
      <c r="AQ3" s="50"/>
      <c r="AR3" s="50"/>
      <c r="AS3" s="50"/>
      <c r="AT3" s="50"/>
      <c r="AU3" s="50"/>
      <c r="AV3" s="50"/>
      <c r="AW3" s="50"/>
      <c r="AX3" s="50"/>
      <c r="AY3" s="50"/>
      <c r="AZ3" s="50"/>
      <c r="BA3" s="50"/>
      <c r="BB3" s="50"/>
      <c r="BC3" s="50"/>
      <c r="BD3" s="50"/>
      <c r="BE3" s="50"/>
      <c r="BF3" s="50"/>
      <c r="BG3" s="50"/>
      <c r="BH3" s="50"/>
      <c r="BI3" s="50"/>
      <c r="BJ3" s="50"/>
      <c r="BK3" s="50"/>
      <c r="BL3" s="50"/>
      <c r="BM3" s="50"/>
      <c r="BN3" s="50"/>
      <c r="BO3" s="50"/>
      <c r="BP3" s="50"/>
      <c r="BQ3" s="50"/>
      <c r="BR3" s="50"/>
      <c r="BS3" s="50"/>
      <c r="BT3" s="50"/>
      <c r="BU3" s="50"/>
      <c r="BV3" s="50"/>
      <c r="BW3" s="50"/>
      <c r="BX3" s="50"/>
      <c r="BY3" s="50"/>
      <c r="BZ3" s="50"/>
      <c r="CA3" s="50"/>
      <c r="CB3" s="50"/>
      <c r="CC3" s="50"/>
      <c r="CD3" s="50"/>
      <c r="CE3" s="50"/>
      <c r="CF3" s="50"/>
      <c r="CG3" s="50"/>
      <c r="CH3" s="50"/>
      <c r="CI3" s="50"/>
      <c r="CJ3" s="50"/>
      <c r="CK3" s="50"/>
      <c r="CL3" s="50"/>
      <c r="CM3" s="50"/>
      <c r="CN3" s="50"/>
      <c r="CO3" s="50"/>
      <c r="CP3" s="50"/>
      <c r="CQ3" s="50"/>
      <c r="CR3" s="50"/>
      <c r="CS3" s="50"/>
      <c r="CT3" s="50"/>
      <c r="CU3" s="50"/>
      <c r="CV3" s="50"/>
      <c r="CW3" s="50"/>
      <c r="CX3" s="50"/>
      <c r="CY3" s="50"/>
      <c r="CZ3" s="50"/>
      <c r="DA3" s="50"/>
      <c r="DB3" s="50"/>
      <c r="DC3" s="50"/>
      <c r="DD3" s="50"/>
      <c r="DE3" s="50"/>
      <c r="DF3" s="50"/>
      <c r="DG3" s="50"/>
      <c r="DH3" s="50"/>
      <c r="DI3" s="50"/>
      <c r="DJ3" s="50"/>
      <c r="DK3" s="50"/>
      <c r="DL3" s="50"/>
      <c r="DM3" s="50"/>
      <c r="DN3" s="50"/>
      <c r="DO3" s="50"/>
      <c r="DP3" s="50"/>
      <c r="DQ3" s="50"/>
      <c r="DR3" s="50"/>
      <c r="DS3" s="50"/>
      <c r="DT3" s="50"/>
      <c r="DU3" s="50"/>
      <c r="DV3" s="50"/>
      <c r="DW3" s="50"/>
      <c r="DX3" s="50"/>
      <c r="DY3" s="50"/>
      <c r="DZ3" s="50"/>
      <c r="EA3" s="50"/>
      <c r="EB3" s="50"/>
      <c r="EC3" s="50"/>
      <c r="ED3" s="50"/>
      <c r="EE3" s="50"/>
      <c r="EF3" s="50"/>
      <c r="EG3" s="50"/>
      <c r="EH3" s="50"/>
      <c r="EI3" s="50"/>
      <c r="EJ3" s="50"/>
      <c r="EK3" s="50"/>
      <c r="EL3" s="50"/>
      <c r="EM3" s="50"/>
      <c r="EN3" s="50"/>
      <c r="EO3" s="50"/>
      <c r="EP3" s="50"/>
      <c r="EQ3" s="50"/>
      <c r="ER3" s="50"/>
      <c r="ES3" s="50"/>
      <c r="ET3" s="50"/>
      <c r="EU3" s="50"/>
      <c r="EV3" s="50"/>
      <c r="EW3" s="50"/>
      <c r="EX3" s="50"/>
      <c r="EY3" s="50"/>
      <c r="EZ3" s="50"/>
      <c r="FA3" s="50"/>
      <c r="FB3" s="50"/>
      <c r="FC3" s="50"/>
      <c r="FD3" s="50"/>
      <c r="FE3" s="50"/>
      <c r="FF3" s="50"/>
      <c r="FG3" s="50"/>
      <c r="FH3" s="50"/>
      <c r="FI3" s="50"/>
      <c r="FJ3" s="50"/>
      <c r="FK3" s="50"/>
      <c r="FL3" s="50"/>
      <c r="FM3" s="50"/>
      <c r="FN3" s="50"/>
      <c r="FO3" s="50"/>
      <c r="FP3" s="50"/>
      <c r="FQ3" s="50"/>
      <c r="FR3" s="50"/>
      <c r="FS3" s="50"/>
      <c r="FT3" s="50"/>
      <c r="FU3" s="50"/>
      <c r="FV3" s="50"/>
      <c r="FW3" s="50"/>
      <c r="FX3" s="50"/>
      <c r="FY3" s="50"/>
      <c r="FZ3" s="50"/>
      <c r="GA3" s="50"/>
      <c r="GB3" s="50"/>
      <c r="GC3" s="50"/>
      <c r="GD3" s="50"/>
      <c r="GE3" s="50"/>
      <c r="GF3" s="50"/>
      <c r="GG3" s="50"/>
    </row>
    <row r="4" spans="1:189" x14ac:dyDescent="0.2">
      <c r="B4" s="89" t="s">
        <v>267</v>
      </c>
    </row>
    <row r="5" spans="1:189" ht="13.5" thickBot="1" x14ac:dyDescent="0.25"/>
    <row r="6" spans="1:189" s="51" customFormat="1" ht="25.5" customHeight="1" thickBot="1" x14ac:dyDescent="0.25">
      <c r="A6" s="47"/>
      <c r="B6" s="55" t="s">
        <v>259</v>
      </c>
      <c r="C6" s="75">
        <v>40330</v>
      </c>
      <c r="D6" s="75">
        <v>40360</v>
      </c>
      <c r="E6" s="75">
        <v>40391</v>
      </c>
      <c r="F6" s="75">
        <v>40422</v>
      </c>
      <c r="G6" s="75">
        <v>40452</v>
      </c>
      <c r="H6" s="75">
        <v>40483</v>
      </c>
      <c r="I6" s="75">
        <v>40513</v>
      </c>
      <c r="J6" s="75">
        <v>40544</v>
      </c>
      <c r="K6" s="75">
        <v>40575</v>
      </c>
      <c r="L6" s="75">
        <v>40603</v>
      </c>
      <c r="M6" s="75">
        <v>40634</v>
      </c>
      <c r="N6" s="75">
        <v>40664</v>
      </c>
      <c r="O6" s="75">
        <v>40695</v>
      </c>
      <c r="P6" s="75">
        <v>40725</v>
      </c>
      <c r="Q6" s="75">
        <v>40756</v>
      </c>
      <c r="R6" s="75">
        <v>40787</v>
      </c>
      <c r="S6" s="75">
        <v>40817</v>
      </c>
      <c r="T6" s="75">
        <v>40848</v>
      </c>
      <c r="U6" s="75">
        <v>40878</v>
      </c>
      <c r="V6" s="75">
        <v>40909</v>
      </c>
      <c r="W6" s="75">
        <v>40940</v>
      </c>
      <c r="X6" s="75">
        <v>40969</v>
      </c>
      <c r="Y6" s="75">
        <v>41000</v>
      </c>
      <c r="Z6" s="75">
        <v>41030</v>
      </c>
      <c r="AA6" s="75">
        <v>41061</v>
      </c>
      <c r="AB6" s="75">
        <v>41091</v>
      </c>
      <c r="AC6" s="75">
        <v>41122</v>
      </c>
      <c r="AD6" s="75">
        <v>41153</v>
      </c>
      <c r="AE6" s="75">
        <v>41183</v>
      </c>
      <c r="AF6" s="75">
        <v>41214</v>
      </c>
      <c r="AG6" s="75">
        <v>41244</v>
      </c>
      <c r="AH6" s="75">
        <v>41275</v>
      </c>
      <c r="AI6" s="75">
        <v>41306</v>
      </c>
      <c r="AJ6" s="75">
        <v>41334</v>
      </c>
      <c r="AK6" s="75">
        <v>41365</v>
      </c>
      <c r="AL6" s="75">
        <v>41395</v>
      </c>
      <c r="AM6" s="75">
        <v>41426</v>
      </c>
      <c r="AN6" s="75">
        <v>41456</v>
      </c>
      <c r="AO6" s="75">
        <v>41487</v>
      </c>
      <c r="AP6" s="75">
        <v>41518</v>
      </c>
      <c r="AQ6" s="75">
        <v>41548</v>
      </c>
      <c r="AR6" s="75">
        <v>41579</v>
      </c>
      <c r="AS6" s="75">
        <v>41609</v>
      </c>
      <c r="AT6" s="75">
        <v>41640</v>
      </c>
      <c r="AU6" s="75">
        <v>41671</v>
      </c>
      <c r="AV6" s="75">
        <v>41699</v>
      </c>
      <c r="AW6" s="75">
        <v>41730</v>
      </c>
      <c r="AX6" s="75">
        <v>41760</v>
      </c>
      <c r="AY6" s="75">
        <v>41791</v>
      </c>
      <c r="AZ6" s="75">
        <v>41821</v>
      </c>
      <c r="BA6" s="75">
        <v>41852</v>
      </c>
      <c r="BB6" s="75">
        <v>41883</v>
      </c>
      <c r="BC6" s="75">
        <v>41913</v>
      </c>
      <c r="BD6" s="75">
        <v>41944</v>
      </c>
      <c r="BE6" s="75">
        <v>41974</v>
      </c>
      <c r="BF6" s="75">
        <v>42005</v>
      </c>
      <c r="BG6" s="75">
        <v>42036</v>
      </c>
      <c r="BH6" s="75">
        <v>42064</v>
      </c>
      <c r="BI6" s="75">
        <v>42095</v>
      </c>
      <c r="BJ6" s="75">
        <v>42125</v>
      </c>
      <c r="BK6" s="75">
        <v>42156</v>
      </c>
      <c r="BL6" s="75">
        <v>42186</v>
      </c>
      <c r="BM6" s="75">
        <v>42217</v>
      </c>
      <c r="BN6" s="75">
        <v>42248</v>
      </c>
      <c r="BO6" s="75">
        <v>42278</v>
      </c>
      <c r="BP6" s="75">
        <v>42309</v>
      </c>
      <c r="BQ6" s="75">
        <v>42339</v>
      </c>
      <c r="BR6" s="75">
        <v>42370</v>
      </c>
      <c r="BS6" s="75">
        <v>42401</v>
      </c>
      <c r="BT6" s="75">
        <v>42430</v>
      </c>
      <c r="BU6" s="75">
        <v>42461</v>
      </c>
      <c r="BV6" s="75">
        <v>42491</v>
      </c>
      <c r="BW6" s="75">
        <v>42522</v>
      </c>
      <c r="BX6" s="75">
        <v>42552</v>
      </c>
      <c r="BY6" s="75">
        <v>42583</v>
      </c>
      <c r="BZ6" s="75">
        <v>42614</v>
      </c>
      <c r="CA6" s="75">
        <v>42644</v>
      </c>
      <c r="CB6" s="75">
        <v>42675</v>
      </c>
      <c r="CC6" s="75">
        <v>42705</v>
      </c>
      <c r="CD6" s="75">
        <v>42736</v>
      </c>
      <c r="CE6" s="75">
        <v>42767</v>
      </c>
      <c r="CF6" s="75">
        <v>42795</v>
      </c>
      <c r="CG6" s="75">
        <v>42826</v>
      </c>
      <c r="CH6" s="75">
        <v>42856</v>
      </c>
      <c r="CI6" s="75">
        <v>42887</v>
      </c>
      <c r="CJ6" s="75">
        <v>42917</v>
      </c>
      <c r="CK6" s="75">
        <v>42948</v>
      </c>
      <c r="CL6" s="75">
        <v>42979</v>
      </c>
      <c r="CM6" s="75">
        <v>43009</v>
      </c>
      <c r="CN6" s="75">
        <v>43040</v>
      </c>
      <c r="CO6" s="75">
        <v>43070</v>
      </c>
      <c r="CP6" s="75">
        <v>43101</v>
      </c>
      <c r="CQ6" s="75">
        <v>43132</v>
      </c>
      <c r="CR6" s="75">
        <v>43160</v>
      </c>
      <c r="CS6" s="75">
        <v>43191</v>
      </c>
      <c r="CT6" s="75">
        <v>43221</v>
      </c>
      <c r="CU6" s="75">
        <v>43252</v>
      </c>
      <c r="CV6" s="75">
        <v>43282</v>
      </c>
      <c r="CW6" s="75">
        <v>43313</v>
      </c>
      <c r="CX6" s="75">
        <v>43344</v>
      </c>
      <c r="CY6" s="75">
        <v>43374</v>
      </c>
      <c r="CZ6" s="75">
        <v>43405</v>
      </c>
      <c r="DA6" s="75">
        <v>43435</v>
      </c>
      <c r="DB6" s="75">
        <v>43466</v>
      </c>
      <c r="DC6" s="75">
        <v>43497</v>
      </c>
      <c r="DD6" s="75">
        <v>43525</v>
      </c>
      <c r="DE6" s="75">
        <v>43556</v>
      </c>
      <c r="DF6" s="75">
        <v>43586</v>
      </c>
      <c r="DG6" s="75">
        <v>43617</v>
      </c>
      <c r="DH6" s="75">
        <v>43647</v>
      </c>
      <c r="DI6" s="75">
        <v>43678</v>
      </c>
      <c r="DJ6" s="75">
        <v>43709</v>
      </c>
      <c r="DK6" s="75">
        <v>43739</v>
      </c>
      <c r="DL6" s="75">
        <v>43770</v>
      </c>
      <c r="DM6" s="75">
        <v>43800</v>
      </c>
      <c r="DN6" s="75">
        <v>43831</v>
      </c>
      <c r="DO6" s="75">
        <v>43862</v>
      </c>
      <c r="DP6" s="75">
        <v>43891</v>
      </c>
      <c r="DQ6" s="75">
        <v>43922</v>
      </c>
      <c r="DR6" s="75">
        <v>43952</v>
      </c>
      <c r="DS6" s="75">
        <v>43983</v>
      </c>
      <c r="DT6" s="75">
        <v>44013</v>
      </c>
      <c r="DU6" s="75">
        <v>44044</v>
      </c>
      <c r="DV6" s="75">
        <v>44075</v>
      </c>
      <c r="DW6" s="75">
        <v>44105</v>
      </c>
      <c r="DX6" s="75">
        <v>44136</v>
      </c>
      <c r="DY6" s="75">
        <v>44166</v>
      </c>
      <c r="DZ6" s="75">
        <v>44197</v>
      </c>
      <c r="EA6" s="75">
        <v>44228</v>
      </c>
      <c r="EB6" s="75">
        <v>44256</v>
      </c>
      <c r="EC6" s="75">
        <v>44287</v>
      </c>
      <c r="ED6" s="75">
        <v>44317</v>
      </c>
      <c r="EE6" s="75">
        <v>44348</v>
      </c>
      <c r="EF6" s="75">
        <v>44378</v>
      </c>
      <c r="EG6" s="75">
        <v>44409</v>
      </c>
      <c r="EH6" s="75">
        <v>44440</v>
      </c>
      <c r="EI6" s="75">
        <v>44470</v>
      </c>
      <c r="EJ6" s="75">
        <v>44501</v>
      </c>
      <c r="EK6" s="75">
        <v>44531</v>
      </c>
      <c r="EL6" s="75">
        <v>44562</v>
      </c>
      <c r="EM6" s="75">
        <v>44593</v>
      </c>
      <c r="EN6" s="75">
        <v>44621</v>
      </c>
      <c r="EO6" s="75">
        <v>44652</v>
      </c>
      <c r="EP6" s="75">
        <v>44682</v>
      </c>
      <c r="EQ6" s="75">
        <v>44713</v>
      </c>
      <c r="ER6" s="75">
        <v>44743</v>
      </c>
      <c r="ES6" s="75">
        <v>44774</v>
      </c>
      <c r="ET6" s="75">
        <v>44805</v>
      </c>
      <c r="EU6" s="75">
        <v>44835</v>
      </c>
      <c r="EV6" s="75">
        <v>44866</v>
      </c>
      <c r="EW6" s="75">
        <v>44896</v>
      </c>
      <c r="EX6" s="75">
        <v>44927</v>
      </c>
      <c r="EY6" s="75">
        <v>44958</v>
      </c>
      <c r="EZ6" s="75">
        <v>44986</v>
      </c>
      <c r="FA6" s="75">
        <v>45017</v>
      </c>
      <c r="FB6" s="75">
        <v>45047</v>
      </c>
      <c r="FC6" s="75">
        <v>45078</v>
      </c>
      <c r="FD6" s="75">
        <v>45108</v>
      </c>
      <c r="FE6" s="75">
        <v>45139</v>
      </c>
      <c r="FF6" s="75">
        <v>45170</v>
      </c>
      <c r="FG6" s="75">
        <v>45200</v>
      </c>
      <c r="FH6" s="75">
        <v>45231</v>
      </c>
      <c r="FI6" s="75">
        <v>45261</v>
      </c>
      <c r="FJ6" s="75">
        <v>45292</v>
      </c>
      <c r="FK6" s="75">
        <v>45323</v>
      </c>
      <c r="FL6" s="75">
        <v>45352</v>
      </c>
      <c r="FM6" s="75">
        <v>45383</v>
      </c>
      <c r="FN6" s="75">
        <v>45413</v>
      </c>
      <c r="FO6" s="75">
        <v>45444</v>
      </c>
      <c r="FP6" s="75">
        <v>45474</v>
      </c>
      <c r="FQ6" s="75">
        <v>45505</v>
      </c>
      <c r="FR6" s="75">
        <v>45536</v>
      </c>
      <c r="FS6" s="75">
        <v>45566</v>
      </c>
      <c r="FT6" s="75">
        <v>45597</v>
      </c>
      <c r="FU6" s="75">
        <v>45627</v>
      </c>
      <c r="FV6" s="75">
        <v>45658</v>
      </c>
      <c r="FW6" s="75">
        <v>45689</v>
      </c>
      <c r="FX6" s="75">
        <v>45717</v>
      </c>
      <c r="FY6" s="75">
        <v>45748</v>
      </c>
      <c r="FZ6" s="75">
        <v>45778</v>
      </c>
      <c r="GA6" s="75">
        <v>45809</v>
      </c>
      <c r="GB6" s="75">
        <v>45839</v>
      </c>
      <c r="GC6" s="75">
        <v>45870</v>
      </c>
      <c r="GD6" s="75">
        <v>45901</v>
      </c>
      <c r="GE6" s="75">
        <v>45931</v>
      </c>
      <c r="GF6" s="75">
        <v>45962</v>
      </c>
      <c r="GG6" s="76">
        <v>45992</v>
      </c>
    </row>
    <row r="7" spans="1:189" ht="13.5" hidden="1" thickBot="1" x14ac:dyDescent="0.25">
      <c r="B7" s="36" t="s">
        <v>25</v>
      </c>
      <c r="C7" s="52"/>
      <c r="D7" s="52"/>
      <c r="E7" s="52"/>
      <c r="F7" s="52"/>
      <c r="G7" s="52"/>
      <c r="H7" s="52"/>
      <c r="I7" s="52"/>
      <c r="J7" s="52"/>
      <c r="K7" s="52"/>
      <c r="L7" s="52"/>
      <c r="M7" s="52"/>
      <c r="N7" s="52"/>
      <c r="O7" s="52"/>
      <c r="P7" s="52"/>
      <c r="Q7" s="52"/>
      <c r="R7" s="52"/>
      <c r="S7" s="52"/>
      <c r="T7" s="52"/>
      <c r="U7" s="52"/>
      <c r="V7" s="52"/>
      <c r="W7" s="52"/>
      <c r="X7" s="52"/>
      <c r="Y7" s="52"/>
      <c r="Z7" s="52"/>
      <c r="AA7" s="52"/>
      <c r="AB7" s="52"/>
      <c r="AC7" s="52"/>
      <c r="AD7" s="52"/>
      <c r="AE7" s="52"/>
      <c r="AF7" s="52"/>
      <c r="AG7" s="52"/>
      <c r="AH7" s="52"/>
      <c r="AI7" s="52"/>
      <c r="AJ7" s="52"/>
      <c r="AK7" s="52"/>
      <c r="AL7" s="52"/>
      <c r="AM7" s="52"/>
      <c r="AN7" s="52"/>
      <c r="AO7" s="52"/>
      <c r="AP7" s="52"/>
      <c r="AQ7" s="52"/>
      <c r="AR7" s="52"/>
      <c r="AS7" s="52"/>
      <c r="AT7" s="52"/>
      <c r="AU7" s="52"/>
      <c r="AV7" s="52"/>
      <c r="AW7" s="52"/>
      <c r="AX7" s="52"/>
      <c r="AY7" s="52"/>
      <c r="AZ7" s="52"/>
      <c r="BA7" s="52"/>
      <c r="BB7" s="52"/>
      <c r="BC7" s="52"/>
      <c r="BD7" s="52"/>
      <c r="BE7" s="52"/>
      <c r="BF7" s="52"/>
      <c r="BG7" s="52"/>
      <c r="BH7" s="52"/>
      <c r="BI7" s="52"/>
      <c r="BJ7" s="52"/>
      <c r="BK7" s="52"/>
      <c r="BL7" s="52"/>
      <c r="BM7" s="52"/>
      <c r="BN7" s="52"/>
      <c r="BO7" s="52"/>
      <c r="BP7" s="52"/>
      <c r="BQ7" s="52"/>
      <c r="BR7" s="52"/>
      <c r="BS7" s="52"/>
      <c r="BT7" s="52"/>
      <c r="BU7" s="52"/>
      <c r="BV7" s="52"/>
      <c r="BW7" s="52"/>
      <c r="BX7" s="52"/>
      <c r="BY7" s="52"/>
      <c r="BZ7" s="52"/>
      <c r="CA7" s="52"/>
      <c r="CB7" s="52"/>
      <c r="CC7" s="52"/>
      <c r="CD7" s="52"/>
      <c r="CE7" s="52"/>
      <c r="CF7" s="52"/>
      <c r="CG7" s="52"/>
      <c r="CH7" s="52"/>
      <c r="CI7" s="52"/>
      <c r="CJ7" s="52"/>
      <c r="CK7" s="52"/>
      <c r="CL7" s="52"/>
      <c r="CM7" s="52"/>
      <c r="CN7" s="52"/>
      <c r="CO7" s="52"/>
      <c r="CP7" s="52"/>
      <c r="CQ7" s="52"/>
      <c r="CR7" s="52"/>
      <c r="CS7" s="52"/>
      <c r="CT7" s="52"/>
      <c r="CU7" s="52"/>
      <c r="CV7" s="52"/>
      <c r="CW7" s="52"/>
      <c r="CX7" s="52"/>
      <c r="CY7" s="52"/>
      <c r="CZ7" s="52"/>
      <c r="DA7" s="52"/>
      <c r="DB7" s="52"/>
      <c r="DC7" s="52"/>
      <c r="DD7" s="52"/>
      <c r="DE7" s="52"/>
      <c r="DF7" s="52"/>
      <c r="DG7" s="52"/>
      <c r="DH7" s="52"/>
      <c r="DI7" s="52"/>
      <c r="DJ7" s="52"/>
      <c r="DK7" s="52"/>
      <c r="DL7" s="52"/>
      <c r="DM7" s="52"/>
      <c r="DN7" s="52"/>
      <c r="DO7" s="52"/>
      <c r="DP7" s="52"/>
      <c r="DQ7" s="52"/>
      <c r="DR7" s="52"/>
      <c r="DS7" s="52"/>
      <c r="DT7" s="52"/>
      <c r="DU7" s="52"/>
      <c r="DV7" s="52"/>
      <c r="DW7" s="52"/>
      <c r="DX7" s="52"/>
      <c r="DY7" s="52"/>
      <c r="DZ7" s="52"/>
      <c r="EA7" s="52"/>
      <c r="EB7" s="52"/>
      <c r="EC7" s="52"/>
      <c r="ED7" s="52"/>
      <c r="EE7" s="52"/>
      <c r="EF7" s="52"/>
      <c r="EG7" s="52"/>
      <c r="EH7" s="52"/>
      <c r="EI7" s="52"/>
      <c r="EJ7" s="52"/>
      <c r="EK7" s="52"/>
      <c r="EL7" s="52"/>
      <c r="EM7" s="52"/>
      <c r="EN7" s="52"/>
      <c r="EO7" s="52"/>
      <c r="EP7" s="52"/>
      <c r="EQ7" s="52"/>
      <c r="ER7" s="52"/>
      <c r="ES7" s="52"/>
      <c r="ET7" s="52"/>
      <c r="EU7" s="52"/>
      <c r="EV7" s="52"/>
      <c r="EW7" s="52"/>
      <c r="EX7" s="52"/>
      <c r="EY7" s="52"/>
      <c r="EZ7" s="52"/>
      <c r="FA7" s="52"/>
      <c r="FB7" s="52"/>
      <c r="FC7" s="52"/>
      <c r="FD7" s="52"/>
      <c r="FE7" s="52"/>
      <c r="FF7" s="52"/>
      <c r="FG7" s="52"/>
      <c r="FH7" s="52"/>
      <c r="FI7" s="52"/>
      <c r="FJ7" s="52"/>
      <c r="FK7" s="52"/>
      <c r="FL7" s="52"/>
      <c r="FM7" s="52"/>
      <c r="FN7" s="52"/>
      <c r="FO7" s="52"/>
      <c r="FP7" s="52"/>
      <c r="FQ7" s="52"/>
      <c r="FR7" s="52"/>
      <c r="FS7" s="52"/>
      <c r="FT7" s="52"/>
      <c r="FU7" s="52"/>
      <c r="FV7" s="52"/>
      <c r="FW7" s="52"/>
      <c r="FX7" s="52"/>
      <c r="FY7" s="52"/>
      <c r="FZ7" s="52"/>
      <c r="GA7" s="52"/>
      <c r="GB7" s="52"/>
      <c r="GC7" s="52"/>
      <c r="GD7" s="52"/>
      <c r="GE7" s="52"/>
      <c r="GF7" s="52"/>
      <c r="GG7" s="77"/>
    </row>
    <row r="8" spans="1:189" ht="13.5" hidden="1" thickBot="1" x14ac:dyDescent="0.25">
      <c r="B8" s="36" t="s">
        <v>21</v>
      </c>
      <c r="C8" s="53"/>
      <c r="D8" s="53"/>
      <c r="E8" s="53"/>
      <c r="F8" s="53"/>
      <c r="G8" s="53"/>
      <c r="H8" s="53"/>
      <c r="I8" s="53"/>
      <c r="J8" s="53"/>
      <c r="K8" s="53"/>
      <c r="L8" s="53"/>
      <c r="M8" s="53"/>
      <c r="N8" s="53"/>
      <c r="O8" s="53"/>
      <c r="P8" s="53"/>
      <c r="Q8" s="53"/>
      <c r="R8" s="53"/>
      <c r="S8" s="53"/>
      <c r="T8" s="53"/>
      <c r="U8" s="53"/>
      <c r="V8" s="53"/>
      <c r="W8" s="53"/>
      <c r="X8" s="53"/>
      <c r="Y8" s="53"/>
      <c r="Z8" s="53"/>
      <c r="AA8" s="53"/>
      <c r="AB8" s="53"/>
      <c r="AC8" s="53"/>
      <c r="AD8" s="53"/>
      <c r="AE8" s="53"/>
      <c r="AF8" s="53"/>
      <c r="AG8" s="53"/>
      <c r="AH8" s="53"/>
      <c r="AI8" s="53"/>
      <c r="AJ8" s="53"/>
      <c r="AK8" s="53"/>
      <c r="AL8" s="53"/>
      <c r="AM8" s="53"/>
      <c r="AN8" s="53"/>
      <c r="AO8" s="53"/>
      <c r="AP8" s="53"/>
      <c r="AQ8" s="53"/>
      <c r="AR8" s="53"/>
      <c r="AS8" s="53"/>
      <c r="AT8" s="53"/>
      <c r="AU8" s="53"/>
      <c r="AV8" s="53"/>
      <c r="AW8" s="53"/>
      <c r="AX8" s="53"/>
      <c r="AY8" s="53"/>
      <c r="AZ8" s="53"/>
      <c r="BA8" s="53"/>
      <c r="BB8" s="53"/>
      <c r="BC8" s="53"/>
      <c r="BD8" s="53"/>
      <c r="BE8" s="53"/>
      <c r="BF8" s="53"/>
      <c r="BG8" s="53"/>
      <c r="BH8" s="53"/>
      <c r="BI8" s="53"/>
      <c r="BJ8" s="53"/>
      <c r="BK8" s="53"/>
      <c r="BL8" s="53"/>
      <c r="BM8" s="53"/>
      <c r="BN8" s="53"/>
      <c r="BO8" s="53"/>
      <c r="BP8" s="53"/>
      <c r="BQ8" s="53"/>
      <c r="BR8" s="53"/>
      <c r="BS8" s="53"/>
      <c r="BT8" s="53"/>
      <c r="BU8" s="53"/>
      <c r="BV8" s="53"/>
      <c r="BW8" s="53"/>
      <c r="BX8" s="53"/>
      <c r="BY8" s="53"/>
      <c r="BZ8" s="53"/>
      <c r="CA8" s="53"/>
      <c r="CB8" s="53"/>
      <c r="CC8" s="53"/>
      <c r="CD8" s="53"/>
      <c r="CE8" s="53"/>
      <c r="CF8" s="53"/>
      <c r="CG8" s="53"/>
      <c r="CH8" s="53"/>
      <c r="CI8" s="53"/>
      <c r="CJ8" s="53"/>
      <c r="CK8" s="53"/>
      <c r="CL8" s="53"/>
      <c r="CM8" s="53"/>
      <c r="CN8" s="53"/>
      <c r="CO8" s="53"/>
      <c r="CP8" s="53"/>
      <c r="CQ8" s="53"/>
      <c r="CR8" s="53"/>
      <c r="CS8" s="53"/>
      <c r="CT8" s="53"/>
      <c r="CU8" s="53"/>
      <c r="CV8" s="53"/>
      <c r="CW8" s="53"/>
      <c r="CX8" s="53"/>
      <c r="CY8" s="53"/>
      <c r="CZ8" s="53"/>
      <c r="DA8" s="53"/>
      <c r="DB8" s="53"/>
      <c r="DC8" s="53"/>
      <c r="DD8" s="53"/>
      <c r="DE8" s="53"/>
      <c r="DF8" s="53"/>
      <c r="DG8" s="53"/>
      <c r="DH8" s="53"/>
      <c r="DI8" s="53"/>
      <c r="DJ8" s="53"/>
      <c r="DK8" s="53"/>
      <c r="DL8" s="53"/>
      <c r="DM8" s="53"/>
      <c r="DN8" s="53"/>
      <c r="DO8" s="53"/>
      <c r="DP8" s="53"/>
      <c r="DQ8" s="53"/>
      <c r="DR8" s="53"/>
      <c r="DS8" s="53"/>
      <c r="DT8" s="53"/>
      <c r="DU8" s="53"/>
      <c r="DV8" s="53"/>
      <c r="DW8" s="53"/>
      <c r="DX8" s="53"/>
      <c r="DY8" s="53"/>
      <c r="DZ8" s="53"/>
      <c r="EA8" s="53"/>
      <c r="EB8" s="53"/>
      <c r="EC8" s="53"/>
      <c r="ED8" s="53"/>
      <c r="EE8" s="53"/>
      <c r="EF8" s="53"/>
      <c r="EG8" s="53"/>
      <c r="EH8" s="53"/>
      <c r="EI8" s="53"/>
      <c r="EJ8" s="53"/>
      <c r="EK8" s="53"/>
      <c r="EL8" s="53"/>
      <c r="EM8" s="53"/>
      <c r="EN8" s="53"/>
      <c r="EO8" s="53"/>
      <c r="EP8" s="53"/>
      <c r="EQ8" s="53"/>
      <c r="ER8" s="53"/>
      <c r="ES8" s="53"/>
      <c r="ET8" s="53"/>
      <c r="EU8" s="53"/>
      <c r="EV8" s="53"/>
      <c r="EW8" s="53"/>
      <c r="EX8" s="53"/>
      <c r="EY8" s="53"/>
      <c r="EZ8" s="53"/>
      <c r="FA8" s="53"/>
      <c r="FB8" s="53"/>
      <c r="FC8" s="53"/>
      <c r="FD8" s="53"/>
      <c r="FE8" s="53"/>
      <c r="FF8" s="53"/>
      <c r="FG8" s="53"/>
      <c r="FH8" s="53"/>
      <c r="FI8" s="53"/>
      <c r="FJ8" s="53"/>
      <c r="FK8" s="53"/>
      <c r="FL8" s="53"/>
      <c r="FM8" s="53"/>
      <c r="FN8" s="53"/>
      <c r="FO8" s="53"/>
      <c r="FP8" s="53"/>
      <c r="FQ8" s="53"/>
      <c r="FR8" s="53"/>
      <c r="FS8" s="53"/>
      <c r="FT8" s="53"/>
      <c r="FU8" s="53"/>
      <c r="FV8" s="53"/>
      <c r="FW8" s="53"/>
      <c r="FX8" s="53"/>
      <c r="FY8" s="53"/>
      <c r="FZ8" s="53"/>
      <c r="GA8" s="53"/>
      <c r="GB8" s="53"/>
      <c r="GC8" s="53"/>
      <c r="GD8" s="53"/>
      <c r="GE8" s="53"/>
      <c r="GF8" s="53"/>
      <c r="GG8" s="78"/>
    </row>
    <row r="9" spans="1:189" ht="13.5" thickBot="1" x14ac:dyDescent="0.25">
      <c r="B9" s="36" t="s">
        <v>251</v>
      </c>
      <c r="C9" s="57">
        <f>IF(ISBLANK($C$13),"N/A",$C$13)</f>
        <v>70.5</v>
      </c>
      <c r="D9" s="54">
        <f>IF(ISBLANK($D$14),"N/A",$D$14)</f>
        <v>70.7</v>
      </c>
      <c r="E9" s="54">
        <f>IF(ISBLANK($E$15),"N/A",$E$15)</f>
        <v>70.7</v>
      </c>
      <c r="F9" s="54">
        <f>IF(ISBLANK($F$16),"N/A",$F$16)</f>
        <v>70.8</v>
      </c>
      <c r="G9" s="54">
        <f>IF(ISBLANK($G$17),"N/A",$G$17)</f>
        <v>70.599999999999994</v>
      </c>
      <c r="H9" s="54">
        <f>IF(ISBLANK($H$18),"N/A",$H$18)</f>
        <v>70.400000000000006</v>
      </c>
      <c r="I9" s="54">
        <f>IF(ISBLANK($I$19),"N/A",$I$19)</f>
        <v>70.5</v>
      </c>
      <c r="J9" s="54">
        <f>IF(ISBLANK($J$20),"N/A",$J$20)</f>
        <v>70.5</v>
      </c>
      <c r="K9" s="54">
        <f>IF(ISBLANK($K$21),"N/A",$K$21)</f>
        <v>70.7</v>
      </c>
      <c r="L9" s="54">
        <f>IF(ISBLANK($L$22),"N/A",$L$22)</f>
        <v>70.7</v>
      </c>
      <c r="M9" s="54">
        <f>IF(ISBLANK($M$23),"N/A",$M$23)</f>
        <v>70.599999999999994</v>
      </c>
      <c r="N9" s="54">
        <f>IF(ISBLANK($N$24),"N/A",$N$24)</f>
        <v>70.7</v>
      </c>
      <c r="O9" s="54">
        <f>IF(ISBLANK($O$25),"N/A",$O$25)</f>
        <v>70.7</v>
      </c>
      <c r="P9" s="54">
        <f>IF(ISBLANK($P$26),"N/A",$P$26)</f>
        <v>70.5</v>
      </c>
      <c r="Q9" s="54">
        <f>IF(ISBLANK($Q$27),"N/A",$Q$27)</f>
        <v>70.400000000000006</v>
      </c>
      <c r="R9" s="54">
        <f>IF(ISBLANK($R$28),"N/A",$R$28)</f>
        <v>70.2</v>
      </c>
      <c r="S9" s="54">
        <f>IF(ISBLANK($S$29),"N/A",$S$29)</f>
        <v>70.3</v>
      </c>
      <c r="T9" s="54">
        <f>IF(ISBLANK($T$30),"N/A",$T$30)</f>
        <v>70.3</v>
      </c>
      <c r="U9" s="54">
        <f>IF(ISBLANK($U$31),"N/A",$U$31)</f>
        <v>70.3</v>
      </c>
      <c r="V9" s="54">
        <f>IF(ISBLANK($V$32),"N/A",$V$32)</f>
        <v>70.3</v>
      </c>
      <c r="W9" s="54">
        <f>IF(ISBLANK($W$33),"N/A",$W$33)</f>
        <v>70.400000000000006</v>
      </c>
      <c r="X9" s="54">
        <f>IF(ISBLANK($X$34),"N/A",$X$34)</f>
        <v>70.5</v>
      </c>
      <c r="Y9" s="54">
        <f>IF(ISBLANK($Y$35),"N/A",$Y$35)</f>
        <v>70.599999999999994</v>
      </c>
      <c r="Z9" s="54">
        <f>IF(ISBLANK($Z$36),"N/A",$Z$36)</f>
        <v>70.7</v>
      </c>
      <c r="AA9" s="54">
        <f>IF(ISBLANK($AA$37),"N/A",$AA$37)</f>
        <v>71</v>
      </c>
      <c r="AB9" s="54">
        <f>IF(ISBLANK($AB$38),"N/A",$AB$38)</f>
        <v>71.2</v>
      </c>
      <c r="AC9" s="54">
        <f>IF(ISBLANK($AC$39),"N/A",$AC$39)</f>
        <v>71.3</v>
      </c>
      <c r="AD9" s="54">
        <f>IF(ISBLANK($AD$40),"N/A",$AD$40)</f>
        <v>71.2</v>
      </c>
      <c r="AE9" s="54">
        <f>IF(ISBLANK($AE$41),"N/A",$AE$41)</f>
        <v>71.2</v>
      </c>
      <c r="AF9" s="54">
        <f>IF(ISBLANK($AF$42),"N/A",$AF$42)</f>
        <v>71.400000000000006</v>
      </c>
      <c r="AG9" s="54">
        <f>IF(ISBLANK($AG$43),"N/A",$AG$43)</f>
        <v>71.5</v>
      </c>
      <c r="AH9" s="54">
        <f>IF(ISBLANK($AH$44),"N/A",$AH$44)</f>
        <v>71.5</v>
      </c>
      <c r="AI9" s="54">
        <f>IF(ISBLANK($AI$45),"N/A",$AI$45)</f>
        <v>71.400000000000006</v>
      </c>
      <c r="AJ9" s="54">
        <f>IF(ISBLANK($AJ$46),"N/A",$AJ$46)</f>
        <v>71.400000000000006</v>
      </c>
      <c r="AK9" s="54">
        <f>IF(ISBLANK($AK$47),"N/A",$AK$47)</f>
        <v>71.5</v>
      </c>
      <c r="AL9" s="54">
        <f>IF(ISBLANK($AL$48),"N/A",$AL$48)</f>
        <v>71.400000000000006</v>
      </c>
      <c r="AM9" s="54">
        <f>IF(ISBLANK($AM$49),"N/A",$AM$49)</f>
        <v>71.5</v>
      </c>
      <c r="AN9" s="54">
        <f>IF(ISBLANK($AN$50),"N/A",$AN$50)</f>
        <v>71.599999999999994</v>
      </c>
      <c r="AO9" s="54">
        <f>IF(ISBLANK($AO$51),"N/A",$AO$51)</f>
        <v>71.7</v>
      </c>
      <c r="AP9" s="54">
        <f>IF(ISBLANK($AP$52),"N/A",$AP$52)</f>
        <v>71.8</v>
      </c>
      <c r="AQ9" s="54">
        <f>IF(ISBLANK($AQ$53),"N/A",$AQ$53)</f>
        <v>72</v>
      </c>
      <c r="AR9" s="54">
        <f>IF(ISBLANK($AR$54),"N/A",$AR$54)</f>
        <v>72.099999999999994</v>
      </c>
      <c r="AS9" s="54">
        <f>IF(ISBLANK($AS$55),"N/A",$AS$55)</f>
        <v>72.099999999999994</v>
      </c>
      <c r="AT9" s="54">
        <f>IF(ISBLANK($AT$56),"N/A",$AT$56)</f>
        <v>72.3</v>
      </c>
      <c r="AU9" s="54">
        <f>IF(ISBLANK($AU$57),"N/A",$AU$57)</f>
        <v>72.599999999999994</v>
      </c>
      <c r="AV9" s="54">
        <f>IF(ISBLANK($AV$58),"N/A",$AV$58)</f>
        <v>72.7</v>
      </c>
      <c r="AW9" s="54">
        <f>IF(ISBLANK($AW$59),"N/A",$AW$59)</f>
        <v>72.900000000000006</v>
      </c>
      <c r="AX9" s="54">
        <f>IF(ISBLANK($AX$60),"N/A",$AX$60)</f>
        <v>73.099999999999994</v>
      </c>
      <c r="AY9" s="54">
        <f>IF(ISBLANK($AY$61),"N/A",$AY$61)</f>
        <v>73</v>
      </c>
      <c r="AZ9" s="54">
        <f>IF(ISBLANK($AZ$62),"N/A",$AZ$62)</f>
        <v>73</v>
      </c>
      <c r="BA9" s="54">
        <f>IF(ISBLANK($BA$63),"N/A",$BA$63)</f>
        <v>73</v>
      </c>
      <c r="BB9" s="54">
        <f>IF(ISBLANK($BB$64),"N/A",$BB$64)</f>
        <v>73</v>
      </c>
      <c r="BC9" s="54">
        <f>IF(ISBLANK($BC$65),"N/A",$BC$65)</f>
        <v>73</v>
      </c>
      <c r="BD9" s="54">
        <f>IF(ISBLANK($BD$66),"N/A",$BD$66)</f>
        <v>73</v>
      </c>
      <c r="BE9" s="54">
        <f>IF(ISBLANK($BE$67),"N/A",$BE$67)</f>
        <v>73.2</v>
      </c>
      <c r="BF9" s="54">
        <f>IF(ISBLANK($BF$68),"N/A",$BF$68)</f>
        <v>73.3</v>
      </c>
      <c r="BG9" s="54">
        <f>IF(ISBLANK($BG$69),"N/A",$BG$69)</f>
        <v>73.400000000000006</v>
      </c>
      <c r="BH9" s="54">
        <f>IF(ISBLANK($BH$70),"N/A",$BH$70)</f>
        <v>73.5</v>
      </c>
      <c r="BI9" s="54">
        <f>IF(ISBLANK($BI$71),"N/A",$BI$71)</f>
        <v>73.400000000000006</v>
      </c>
      <c r="BJ9" s="54">
        <f>IF(ISBLANK($BJ$72),"N/A",$BJ$72)</f>
        <v>73.3</v>
      </c>
      <c r="BK9" s="54">
        <f>IF(ISBLANK($BK$73),"N/A",$BK$73)</f>
        <v>73.400000000000006</v>
      </c>
      <c r="BL9" s="54">
        <f>IF(ISBLANK($BL$74),"N/A",$BL$74)</f>
        <v>73.5</v>
      </c>
      <c r="BM9" s="54">
        <f>IF(ISBLANK($BM$75),"N/A",$BM$75)</f>
        <v>73.599999999999994</v>
      </c>
      <c r="BN9" s="54">
        <f>IF(ISBLANK($BN$76),"N/A",$BN$76)</f>
        <v>73.7</v>
      </c>
      <c r="BO9" s="54">
        <f>IF(ISBLANK($BO$77),"N/A",$BO$77)</f>
        <v>73.900000000000006</v>
      </c>
      <c r="BP9" s="54">
        <f>IF(ISBLANK($BP$78),"N/A",$BP$78)</f>
        <v>74</v>
      </c>
      <c r="BQ9" s="54">
        <f>IF(ISBLANK($BQ$79),"N/A",$BQ$79)</f>
        <v>74.099999999999994</v>
      </c>
      <c r="BR9" s="54">
        <f>IF(ISBLANK($BR$80),"N/A",$BR$80)</f>
        <v>74.099999999999994</v>
      </c>
      <c r="BS9" s="54">
        <f>IF(ISBLANK($BS$81),"N/A",$BS$81)</f>
        <v>74.099999999999994</v>
      </c>
      <c r="BT9" s="54">
        <f>IF(ISBLANK($BT$82),"N/A",$BT$82)</f>
        <v>74.2</v>
      </c>
      <c r="BU9" s="54">
        <f>IF(ISBLANK($BU$83),"N/A",$BU$83)</f>
        <v>74.2</v>
      </c>
      <c r="BV9" s="54">
        <f>IF(ISBLANK($BV$84),"N/A",$BV$84)</f>
        <v>74.400000000000006</v>
      </c>
      <c r="BW9" s="54">
        <f>IF(ISBLANK($BW$85),"N/A",$BW$85)</f>
        <v>74.5</v>
      </c>
      <c r="BX9" s="54">
        <f>IF(ISBLANK($BX$86),"N/A",$BX$86)</f>
        <v>74.5</v>
      </c>
      <c r="BY9" s="54">
        <f>IF(ISBLANK($BY$87),"N/A",$BY$87)</f>
        <v>74.5</v>
      </c>
      <c r="BZ9" s="54">
        <f>IF(ISBLANK($BZ$88),"N/A",$BZ$88)</f>
        <v>74.5</v>
      </c>
      <c r="CA9" s="54">
        <f>IF(ISBLANK($CA$89),"N/A",$CA$89)</f>
        <v>74.400000000000006</v>
      </c>
      <c r="CB9" s="54">
        <f>IF(ISBLANK($CB$90),"N/A",$CB$90)</f>
        <v>74.5</v>
      </c>
      <c r="CC9" s="54">
        <f>IF(ISBLANK($CC$91),"N/A",$CC$91)</f>
        <v>74.599999999999994</v>
      </c>
      <c r="CD9" s="54">
        <f>IF(ISBLANK($CD$92),"N/A",$CD$92)</f>
        <v>74.599999999999994</v>
      </c>
      <c r="CE9" s="54">
        <f>IF(ISBLANK($CE$93),"N/A",$CE$93)</f>
        <v>74.599999999999994</v>
      </c>
      <c r="CF9" s="54">
        <f>IF(ISBLANK($CF$94),"N/A",$CF$94)</f>
        <v>74.8</v>
      </c>
      <c r="CG9" s="54">
        <f>IF(ISBLANK($CG$95),"N/A",$CG$95)</f>
        <v>74.8</v>
      </c>
      <c r="CH9" s="54">
        <f>IF(ISBLANK($CH$96),"N/A",$CH$96)</f>
        <v>74.900000000000006</v>
      </c>
      <c r="CI9" s="54">
        <f>IF(ISBLANK($CI$97),"N/A",$CI$97)</f>
        <v>75.099999999999994</v>
      </c>
      <c r="CJ9" s="54">
        <f>IF(ISBLANK($CJ$98),"N/A",$CJ$98)</f>
        <v>75.3</v>
      </c>
      <c r="CK9" s="54">
        <f>IF(ISBLANK($CK$99),"N/A",$CK$99)</f>
        <v>75.099999999999994</v>
      </c>
      <c r="CL9" s="54">
        <f>IF(ISBLANK($CL$100),"N/A",$CL$100)</f>
        <v>75</v>
      </c>
      <c r="CM9" s="54">
        <f>IF(ISBLANK($CM$101),"N/A",$CM$101)</f>
        <v>75.099999999999994</v>
      </c>
      <c r="CN9" s="54">
        <f>IF(ISBLANK($CN$102),"N/A",$CN$102)</f>
        <v>75.3</v>
      </c>
      <c r="CO9" s="54">
        <f>IF(ISBLANK($CO$103),"N/A",$CO$103)</f>
        <v>75.2</v>
      </c>
      <c r="CP9" s="54">
        <f>IF(ISBLANK($CP$104),"N/A",$CP$104)</f>
        <v>75.3</v>
      </c>
      <c r="CQ9" s="54">
        <f>IF(ISBLANK($CQ$105),"N/A",$CQ$105)</f>
        <v>75.400000000000006</v>
      </c>
      <c r="CR9" s="54">
        <f>IF(ISBLANK($CR$106),"N/A",$CR$106)</f>
        <v>75.599999999999994</v>
      </c>
      <c r="CS9" s="54">
        <f>IF(ISBLANK($CS$107),"N/A",$CS$107)</f>
        <v>75.599999999999994</v>
      </c>
      <c r="CT9" s="54">
        <f>IF(ISBLANK($CT$108),"N/A",$CT$108)</f>
        <v>75.7</v>
      </c>
      <c r="CU9" s="54">
        <f>IF(ISBLANK($CU$109),"N/A",$CU$109)</f>
        <v>75.599999999999994</v>
      </c>
      <c r="CV9" s="54">
        <f>IF(ISBLANK($CV$110),"N/A",$CV$110)</f>
        <v>75.5</v>
      </c>
      <c r="CW9" s="54">
        <f>IF(ISBLANK($CW$111),"N/A",$CW$111)</f>
        <v>75.5</v>
      </c>
      <c r="CX9" s="54">
        <f>IF(ISBLANK($CX$112),"N/A",$CX$112)</f>
        <v>75.5</v>
      </c>
      <c r="CY9" s="54">
        <f>IF(ISBLANK($CY$113),"N/A",$CY$113)</f>
        <v>75.7</v>
      </c>
      <c r="CZ9" s="54">
        <f>IF(ISBLANK($CZ$114),"N/A",$CZ$114)</f>
        <v>75.8</v>
      </c>
      <c r="DA9" s="54">
        <f>IF(ISBLANK($DA$115),"N/A",$DA$115)</f>
        <v>75.8</v>
      </c>
      <c r="DB9" s="54">
        <f>IF(ISBLANK($DB$116),"N/A",$DB$116)</f>
        <v>76.099999999999994</v>
      </c>
      <c r="DC9" s="54">
        <f>IF(ISBLANK($DC$117),"N/A",$DC$117)</f>
        <v>76.099999999999994</v>
      </c>
      <c r="DD9" s="54">
        <f>IF(ISBLANK($DD$118),"N/A",$DD$118)</f>
        <v>76.099999999999994</v>
      </c>
      <c r="DE9" s="54">
        <f>IF(ISBLANK($DE$119),"N/A",$DE$119)</f>
        <v>76.099999999999994</v>
      </c>
      <c r="DF9" s="54">
        <f>IF(ISBLANK($DF$120),"N/A",$DF$120)</f>
        <v>76</v>
      </c>
      <c r="DG9" s="54">
        <f>IF(ISBLANK($DG$121),"N/A",$DG$121)</f>
        <v>76.099999999999994</v>
      </c>
      <c r="DH9" s="54">
        <f>IF(ISBLANK($DH$122),"N/A",$DH$122)</f>
        <v>76.099999999999994</v>
      </c>
      <c r="DI9" s="54">
        <f>IF(ISBLANK($DI$123),"N/A",$DI$123)</f>
        <v>75.900000000000006</v>
      </c>
      <c r="DJ9" s="54">
        <f>IF(ISBLANK($DJ$124),"N/A",$DJ$124)</f>
        <v>76</v>
      </c>
      <c r="DK9" s="54">
        <f>IF(ISBLANK($DK$125),"N/A",$DK$125)</f>
        <v>76.2</v>
      </c>
      <c r="DL9" s="54">
        <f>IF(ISBLANK($DL$126),"N/A",$DL$126)</f>
        <v>76.3</v>
      </c>
      <c r="DM9" s="54">
        <f>IF(ISBLANK($DM$127),"N/A",$DM$127)</f>
        <v>76.5</v>
      </c>
      <c r="DN9" s="54">
        <f>IF(ISBLANK($DN$128),"N/A",$DN$128)</f>
        <v>76.5</v>
      </c>
      <c r="DO9" s="54">
        <f>IF(ISBLANK($DO$129),"N/A",$DO$129)</f>
        <v>76.599999999999994</v>
      </c>
      <c r="DP9" s="54">
        <f>IF(ISBLANK($DP$130),"N/A",$DP$130)</f>
        <v>76.599999999999994</v>
      </c>
      <c r="DQ9" s="57">
        <f>IF(ISBLANK($DQ$131),"N/A",$DQ$131)</f>
        <v>76.400000000000006</v>
      </c>
      <c r="DR9" s="54">
        <f>IF(ISBLANK($DR$132),"N/A",$DR$132)</f>
        <v>76.400000000000006</v>
      </c>
      <c r="DS9" s="54">
        <f>IF(ISBLANK($DS$133),"N/A",$DS$133)</f>
        <v>76.400000000000006</v>
      </c>
      <c r="DT9" s="54">
        <f>IF(ISBLANK($DT$134),"N/A",$DT$134)</f>
        <v>76.5</v>
      </c>
      <c r="DU9" s="54">
        <f>IF(ISBLANK($DU$135),"N/A",$DU$135)</f>
        <v>75.560540413295854</v>
      </c>
      <c r="DV9" s="54">
        <f>IF(ISBLANK($DV$136),"N/A",$DV$136)</f>
        <v>75.3</v>
      </c>
      <c r="DW9" s="54">
        <f>IF(ISBLANK($DW$137),"N/A",$DW$137)</f>
        <v>75.2</v>
      </c>
      <c r="DX9" s="54">
        <f>IF(ISBLANK($DX$138),"N/A",$DX$138)</f>
        <v>75.2</v>
      </c>
      <c r="DY9" s="54">
        <f>IF(ISBLANK($DY$139),"N/A",$DY$139)</f>
        <v>75</v>
      </c>
      <c r="DZ9" s="54">
        <f>IF(ISBLANK($DZ$140),"N/A",$DZ$140)</f>
        <v>75</v>
      </c>
      <c r="EA9" s="54">
        <f>IF(ISBLANK($EA$141),"N/A",$EA$141)</f>
        <v>75.099999999999994</v>
      </c>
      <c r="EB9" s="54">
        <f>IF(ISBLANK($EB$142),"N/A",$EB$142)</f>
        <v>75.2</v>
      </c>
      <c r="EC9" s="54">
        <f>IF(ISBLANK($EC$143),"N/A",$EC$143)</f>
        <v>75.2</v>
      </c>
      <c r="ED9" s="54">
        <f>IF(ISBLANK($ED$144),"N/A",$ED$144)</f>
        <v>74.804888625445315</v>
      </c>
      <c r="EE9" s="54">
        <f>IF(ISBLANK($EE$145),"N/A",$EE$145)</f>
        <v>75.072312566809956</v>
      </c>
      <c r="EF9" s="54">
        <f>IF(ISBLANK($EF$146),"N/A",$EF$146)</f>
        <v>75.221202935474935</v>
      </c>
      <c r="EG9" s="54">
        <f>IF(ISBLANK($EG$147),"N/A",$EG$147)</f>
        <v>75.304370541135796</v>
      </c>
      <c r="EH9" s="54">
        <f>IF(ISBLANK($EH$148),"N/A",$EH$148)</f>
        <v>75.426778815565996</v>
      </c>
      <c r="EI9" s="54">
        <f>IF(ISBLANK($EI$149),"N/A",$EI$149)</f>
        <v>75.461811609719291</v>
      </c>
      <c r="EJ9" s="54">
        <f>IF(ISBLANK($EJ$150),"N/A",$EJ$150)</f>
        <v>75.5</v>
      </c>
      <c r="EK9" s="54">
        <f>IF(ISBLANK($EK$151),"N/A",$EK$151)</f>
        <v>75.5</v>
      </c>
      <c r="EL9" s="54">
        <f>IF(ISBLANK($EL$152),"N/A",$EL$152)</f>
        <v>75.599999999999994</v>
      </c>
      <c r="EM9" s="54">
        <f>IF(ISBLANK($EM$153),"N/A",$EM$153)</f>
        <v>75.485512365979233</v>
      </c>
      <c r="EN9" s="54">
        <f>IF(ISBLANK($EN$154),"N/A",$EN$154)</f>
        <v>75.658527259672439</v>
      </c>
      <c r="EO9" s="54">
        <f>IF(ISBLANK($EO$155),"N/A",$EO$155)</f>
        <v>75.648992817013806</v>
      </c>
      <c r="EP9" s="54">
        <f>IF(ISBLANK($EP$156),"N/A",$EP$156)</f>
        <v>75.866474785436594</v>
      </c>
      <c r="EQ9" s="54">
        <f>IF(ISBLANK($EQ$157),"N/A",$EQ$157)</f>
        <v>75.518216130142292</v>
      </c>
      <c r="ER9" s="54">
        <f>IF(ISBLANK($ER$158),"N/A",$ER$158)</f>
        <v>75.424200108727874</v>
      </c>
      <c r="ES9" s="54">
        <f>IF(ISBLANK($ES$159),"N/A",$ES$159)</f>
        <v>75.5</v>
      </c>
      <c r="ET9" s="54">
        <f>IF(ISBLANK($ET$160),"N/A",$ET$160)</f>
        <v>75.5</v>
      </c>
      <c r="EU9" s="54">
        <f>IF(ISBLANK($EU$161),"N/A",$EU$161)</f>
        <v>75.590936946393299</v>
      </c>
      <c r="EV9" s="54">
        <f>IF(ISBLANK($EV$162),"N/A",$EV$162)</f>
        <v>75.599999999999994</v>
      </c>
      <c r="EW9" s="54">
        <f>IF(ISBLANK($EW$163),"N/A",$EW$163)</f>
        <v>75.630705096071978</v>
      </c>
      <c r="EX9" s="54">
        <f>IF(ISBLANK($EX$164),"N/A",$EX$164)</f>
        <v>75.729704068694843</v>
      </c>
      <c r="EY9" s="54">
        <f>IF(ISBLANK($EY$165),"N/A",$EY$165)</f>
        <v>75.809139324324988</v>
      </c>
      <c r="EZ9" s="54">
        <f>IF(ISBLANK($EZ$166),"N/A",$EZ$166)</f>
        <v>75.876896123823229</v>
      </c>
      <c r="FA9" s="54">
        <f>IF(ISBLANK($FA$167),"N/A",$FA$167)</f>
        <v>75.97214972559577</v>
      </c>
      <c r="FB9" s="54">
        <f>IF(ISBLANK($FB$168),"N/A",$FB$168)</f>
        <v>75.973187052034973</v>
      </c>
      <c r="FC9" s="54">
        <f>IF(ISBLANK($FC$169),"N/A",$FC$169)</f>
        <v>75.729762820525607</v>
      </c>
      <c r="FD9" s="54">
        <f>IF(ISBLANK($FD$170),"N/A",$FD$170)</f>
        <v>75.48366816492188</v>
      </c>
      <c r="FE9" s="54">
        <f>IF(ISBLANK($FE$171),"N/A",$FE$171)</f>
        <v>75.270660956270717</v>
      </c>
      <c r="FF9" s="54">
        <f>IF(ISBLANK($FF$172),"N/A",$FF$172)</f>
        <v>75.44365216851719</v>
      </c>
      <c r="FG9" s="54">
        <f>IF(ISBLANK($FG$173),"N/A",$FG$173)</f>
        <v>75.571135927463047</v>
      </c>
      <c r="FH9" s="54">
        <f>IF(ISBLANK($FH$174),"N/A",$FH$174)</f>
        <v>75.687509686140444</v>
      </c>
      <c r="FI9" s="54">
        <f>IF(ISBLANK($FI$175),"N/A",$FI$175)</f>
        <v>75.008565237431483</v>
      </c>
      <c r="FJ9" s="54">
        <f>IF(ISBLANK($FJ$176),"N/A",$FJ$176)</f>
        <v>74.998780527386373</v>
      </c>
      <c r="FK9" s="54">
        <f>IF(ISBLANK($FK$177),"N/A",$FK$177)</f>
        <v>74.48788745193859</v>
      </c>
      <c r="FL9" s="54">
        <f>IF(ISBLANK($FL$178),"N/A",$FL$178)</f>
        <v>74.451315607234932</v>
      </c>
      <c r="FM9" s="54">
        <f>IF(ISBLANK($FM$179),"N/A",$FM$179)</f>
        <v>74.298008082043182</v>
      </c>
      <c r="FN9" s="54">
        <f>IF(ISBLANK($FN$180),"N/A",$FN$180)</f>
        <v>74.361418750306527</v>
      </c>
      <c r="FO9" s="54">
        <f>IF(ISBLANK($FO$181),"N/A",$FO$181)</f>
        <v>74.517671939513392</v>
      </c>
      <c r="FP9" s="54">
        <f>IF(ISBLANK($FP$182),"N/A",$FP$182)</f>
        <v>74.785861327691222</v>
      </c>
      <c r="FQ9" s="54">
        <f>IF(ISBLANK($FQ$183),"N/A",$FQ$183)</f>
        <v>75.005738181652305</v>
      </c>
      <c r="FR9" s="54">
        <f>IF(ISBLANK($FR$184),"N/A",$FR$184)</f>
        <v>74.811054593512594</v>
      </c>
      <c r="FS9" s="54">
        <f>IF(ISBLANK($FS$185),"N/A",$FS$185)</f>
        <v>74.889152678481949</v>
      </c>
      <c r="FT9" s="54">
        <f>IF(ISBLANK($FT$186),"N/A",$FT$186)</f>
        <v>74.841084069870902</v>
      </c>
      <c r="FU9" s="54">
        <f>IF(ISBLANK($FU$187),"N/A",$FU$187)</f>
        <v>74.938223133424088</v>
      </c>
      <c r="FV9" s="54">
        <f>IF(ISBLANK($FV$188),"N/A",$FV$188)</f>
        <v>75.006017765513917</v>
      </c>
      <c r="FW9" s="54">
        <f>IF(ISBLANK($FW$189),"N/A",$FW$189)</f>
        <v>75.066049868007099</v>
      </c>
      <c r="FX9" s="54">
        <f>IF(ISBLANK($FX$190),"N/A",$FX$190)</f>
        <v>74.999445427577271</v>
      </c>
      <c r="FY9" s="54">
        <f>IF(ISBLANK($FY$191),"N/A",$FY$191)</f>
        <v>75.057705153172918</v>
      </c>
      <c r="FZ9" s="54">
        <f>IF(ISBLANK($FZ$192),"N/A",$FZ$192)</f>
        <v>75.241221231307421</v>
      </c>
      <c r="GA9" s="54">
        <f>IF(ISBLANK($GA$193),"N/A",$GA$193)</f>
        <v>75.268460915089989</v>
      </c>
      <c r="GB9" s="54">
        <f>IF(ISBLANK($GB$194),"N/A",$GB$194)</f>
        <v>75.174093498404631</v>
      </c>
      <c r="GC9" s="54">
        <f>IF(ISBLANK($GC$195),"N/A",$GC$195)</f>
        <v>75.063593417860758</v>
      </c>
      <c r="GD9" s="54">
        <f>IF(ISBLANK($GD$196),"N/A",$GD$196)</f>
        <v>75.041594544953</v>
      </c>
      <c r="GE9" s="54">
        <f>IF(ISBLANK($GE$197),"N/A",$GE$197)</f>
        <v>74.915830656196405</v>
      </c>
      <c r="GF9" s="54">
        <f>IF(ISBLANK($GF$198),"N/A",$GF$198)</f>
        <v>75.092991600423687</v>
      </c>
      <c r="GG9" s="79">
        <f>IF(ISBLANK($GG$199),"N/A",$GG$199)</f>
        <v>74.959732814126554</v>
      </c>
    </row>
    <row r="10" spans="1:189" ht="12.75" customHeight="1" thickBot="1" x14ac:dyDescent="0.25">
      <c r="B10" s="38" t="s">
        <v>252</v>
      </c>
      <c r="C10" s="58">
        <f>IF(ISBLANK($C$25),"N/A",$C$25)</f>
        <v>70.5</v>
      </c>
      <c r="D10" s="91">
        <f>IF(ISBLANK($D$26),"N/A",$D$26)</f>
        <v>70.7</v>
      </c>
      <c r="E10" s="91">
        <f>IF(ISBLANK($E$27),"N/A",$E$27)</f>
        <v>70.7</v>
      </c>
      <c r="F10" s="91">
        <f>IF(ISBLANK($F$28),"N/A",$F$28)</f>
        <v>70.8</v>
      </c>
      <c r="G10" s="91">
        <f>IF(ISBLANK($G$29),"N/A",$G$29)</f>
        <v>70.599999999999994</v>
      </c>
      <c r="H10" s="91">
        <f>IF(ISBLANK($H$30),"N/A",$H$30)</f>
        <v>70.400000000000006</v>
      </c>
      <c r="I10" s="91">
        <f>IF(ISBLANK($I$31),"N/A",$I$31)</f>
        <v>70.5</v>
      </c>
      <c r="J10" s="91">
        <f>IF(ISBLANK($J$32),"N/A",$J$32)</f>
        <v>70.5</v>
      </c>
      <c r="K10" s="91">
        <f>IF(ISBLANK($K$33),"N/A",$K$33)</f>
        <v>70.7</v>
      </c>
      <c r="L10" s="91">
        <f>IF(ISBLANK($L$34),"N/A",$L$34)</f>
        <v>70.7</v>
      </c>
      <c r="M10" s="91">
        <f>IF(ISBLANK($M$35),"N/A",$M$35)</f>
        <v>70.599999999999994</v>
      </c>
      <c r="N10" s="91">
        <f>IF(ISBLANK($N$36),"N/A",$N$36)</f>
        <v>70.7</v>
      </c>
      <c r="O10" s="91">
        <f>IF(ISBLANK($O$37),"N/A",$O$37)</f>
        <v>70.599999999999994</v>
      </c>
      <c r="P10" s="91">
        <f>IF(ISBLANK($P$38),"N/A",$P$38)</f>
        <v>70.400000000000006</v>
      </c>
      <c r="Q10" s="91">
        <f>IF(ISBLANK($Q$39),"N/A",$Q$39)</f>
        <v>70.3</v>
      </c>
      <c r="R10" s="91">
        <f>IF(ISBLANK($R$40),"N/A",$R$40)</f>
        <v>70.2</v>
      </c>
      <c r="S10" s="91">
        <f>IF(ISBLANK($S$41),"N/A",$S$41)</f>
        <v>70.3</v>
      </c>
      <c r="T10" s="91">
        <f>IF(ISBLANK($T$42),"N/A",$T$42)</f>
        <v>70.3</v>
      </c>
      <c r="U10" s="91">
        <f>IF(ISBLANK($U$43),"N/A",$U$43)</f>
        <v>70.400000000000006</v>
      </c>
      <c r="V10" s="91">
        <f>IF(ISBLANK($V$44),"N/A",$V$44)</f>
        <v>70.400000000000006</v>
      </c>
      <c r="W10" s="91">
        <f>IF(ISBLANK($W$45),"N/A",$W$45)</f>
        <v>70.5</v>
      </c>
      <c r="X10" s="91">
        <f>IF(ISBLANK($X$46),"N/A",$X$46)</f>
        <v>70.599999999999994</v>
      </c>
      <c r="Y10" s="91">
        <f>IF(ISBLANK($Y$47),"N/A",$Y$47)</f>
        <v>70.7</v>
      </c>
      <c r="Z10" s="91">
        <f>IF(ISBLANK($Z$48),"N/A",$Z$48)</f>
        <v>70.8</v>
      </c>
      <c r="AA10" s="91">
        <f>IF(ISBLANK($AA$49),"N/A",$AA$49)</f>
        <v>71</v>
      </c>
      <c r="AB10" s="91">
        <f>IF(ISBLANK($AB$50),"N/A",$AB$50)</f>
        <v>71.2</v>
      </c>
      <c r="AC10" s="91">
        <f>IF(ISBLANK($AC$51),"N/A",$AC$51)</f>
        <v>71.3</v>
      </c>
      <c r="AD10" s="91">
        <f>IF(ISBLANK($AD$52),"N/A",$AD$52)</f>
        <v>71.2</v>
      </c>
      <c r="AE10" s="91">
        <f>IF(ISBLANK($AE$53),"N/A",$AE$53)</f>
        <v>71.2</v>
      </c>
      <c r="AF10" s="91">
        <f>IF(ISBLANK($AF$54),"N/A",$AF$54)</f>
        <v>71.5</v>
      </c>
      <c r="AG10" s="91">
        <f>IF(ISBLANK($AG$55),"N/A",$AG$55)</f>
        <v>71.599999999999994</v>
      </c>
      <c r="AH10" s="91">
        <f>IF(ISBLANK($AH$56),"N/A",$AH$56)</f>
        <v>71.5</v>
      </c>
      <c r="AI10" s="91">
        <f>IF(ISBLANK($AI$57),"N/A",$AI$57)</f>
        <v>71.400000000000006</v>
      </c>
      <c r="AJ10" s="91">
        <f>IF(ISBLANK($AJ$58),"N/A",$AJ$58)</f>
        <v>71.400000000000006</v>
      </c>
      <c r="AK10" s="91">
        <f>IF(ISBLANK($AK$59),"N/A",$AK$59)</f>
        <v>71.5</v>
      </c>
      <c r="AL10" s="91">
        <f>IF(ISBLANK($AL$60),"N/A",$AL$60)</f>
        <v>71.400000000000006</v>
      </c>
      <c r="AM10" s="91">
        <f>IF(ISBLANK($AM$61),"N/A",$AM$61)</f>
        <v>71.5</v>
      </c>
      <c r="AN10" s="91">
        <f>IF(ISBLANK($AN$62),"N/A",$AN$62)</f>
        <v>71.599999999999994</v>
      </c>
      <c r="AO10" s="91">
        <f>IF(ISBLANK($AO$63),"N/A",$AO$63)</f>
        <v>71.5</v>
      </c>
      <c r="AP10" s="91">
        <f>IF(ISBLANK($AP$64),"N/A",$AP$64)</f>
        <v>71.599999999999994</v>
      </c>
      <c r="AQ10" s="91">
        <f>IF(ISBLANK($AQ$65),"N/A",$AQ$65)</f>
        <v>71.8</v>
      </c>
      <c r="AR10" s="91">
        <f>IF(ISBLANK($AR$66),"N/A",$AR$66)</f>
        <v>72</v>
      </c>
      <c r="AS10" s="91">
        <f>IF(ISBLANK($AS$67),"N/A",$AS$67)</f>
        <v>72</v>
      </c>
      <c r="AT10" s="91">
        <f>IF(ISBLANK($AT$68),"N/A",$AT$68)</f>
        <v>72.099999999999994</v>
      </c>
      <c r="AU10" s="91">
        <f>IF(ISBLANK($AU$69),"N/A",$AU$69)</f>
        <v>72.400000000000006</v>
      </c>
      <c r="AV10" s="91">
        <f>IF(ISBLANK($AV$70),"N/A",$AV$70)</f>
        <v>72.5</v>
      </c>
      <c r="AW10" s="91">
        <f>IF(ISBLANK($AW$71),"N/A",$AW$71)</f>
        <v>72.7</v>
      </c>
      <c r="AX10" s="91">
        <f>IF(ISBLANK($AX$72),"N/A",$AX$72)</f>
        <v>72.900000000000006</v>
      </c>
      <c r="AY10" s="91">
        <f>IF(ISBLANK($AY$73),"N/A",$AY$73)</f>
        <v>72.8</v>
      </c>
      <c r="AZ10" s="91">
        <f>IF(ISBLANK($AZ$74),"N/A",$AZ$74)</f>
        <v>72.8</v>
      </c>
      <c r="BA10" s="91">
        <f>IF(ISBLANK($BA$75),"N/A",$BA$75)</f>
        <v>73</v>
      </c>
      <c r="BB10" s="91">
        <f>IF(ISBLANK($BB$76),"N/A",$BB$76)</f>
        <v>73</v>
      </c>
      <c r="BC10" s="91">
        <f>IF(ISBLANK($BC$77),"N/A",$BC$77)</f>
        <v>73</v>
      </c>
      <c r="BD10" s="91">
        <f>IF(ISBLANK($BD$78),"N/A",$BD$78)</f>
        <v>73</v>
      </c>
      <c r="BE10" s="91">
        <f>IF(ISBLANK($BE$79),"N/A",$BE$79)</f>
        <v>73.2</v>
      </c>
      <c r="BF10" s="91">
        <f>IF(ISBLANK($BF$80),"N/A",$BF$80)</f>
        <v>73.3</v>
      </c>
      <c r="BG10" s="91">
        <f>IF(ISBLANK($BG$81),"N/A",$BG$81)</f>
        <v>73.400000000000006</v>
      </c>
      <c r="BH10" s="91">
        <f>IF(ISBLANK($BH$82),"N/A",$BH$82)</f>
        <v>73.5</v>
      </c>
      <c r="BI10" s="91">
        <f>IF(ISBLANK($BI$83),"N/A",$BI$83)</f>
        <v>73.400000000000006</v>
      </c>
      <c r="BJ10" s="91">
        <f>IF(ISBLANK($BJ$84),"N/A",$BJ$84)</f>
        <v>73.400000000000006</v>
      </c>
      <c r="BK10" s="91">
        <f>IF(ISBLANK($BK$85),"N/A",$BK$85)</f>
        <v>73.400000000000006</v>
      </c>
      <c r="BL10" s="91">
        <f>IF(ISBLANK($BL$86),"N/A",$BL$86)</f>
        <v>73.5</v>
      </c>
      <c r="BM10" s="91">
        <f>IF(ISBLANK($BM$87),"N/A",$BM$87)</f>
        <v>73.599999999999994</v>
      </c>
      <c r="BN10" s="91">
        <f>IF(ISBLANK($BN$88),"N/A",$BN$88)</f>
        <v>73.8</v>
      </c>
      <c r="BO10" s="91">
        <f>IF(ISBLANK($BO$89),"N/A",$BO$89)</f>
        <v>73.900000000000006</v>
      </c>
      <c r="BP10" s="91">
        <f>IF(ISBLANK($BP$90),"N/A",$BP$90)</f>
        <v>74</v>
      </c>
      <c r="BQ10" s="91">
        <f>IF(ISBLANK($BQ$91),"N/A",$BQ$91)</f>
        <v>74.099999999999994</v>
      </c>
      <c r="BR10" s="91">
        <f>IF(ISBLANK($BR$92),"N/A",$BR$92)</f>
        <v>74.099999999999994</v>
      </c>
      <c r="BS10" s="91">
        <f>IF(ISBLANK($BS$93),"N/A",$BS$93)</f>
        <v>74.099999999999994</v>
      </c>
      <c r="BT10" s="91">
        <f>IF(ISBLANK($BT$94),"N/A",$BT$94)</f>
        <v>74.2</v>
      </c>
      <c r="BU10" s="91">
        <f>IF(ISBLANK($BU$95),"N/A",$BU$95)</f>
        <v>74.2</v>
      </c>
      <c r="BV10" s="91">
        <f>IF(ISBLANK($BV$96),"N/A",$BV$96)</f>
        <v>74.400000000000006</v>
      </c>
      <c r="BW10" s="91">
        <f>IF(ISBLANK($BW$97),"N/A",$BW$97)</f>
        <v>74.400000000000006</v>
      </c>
      <c r="BX10" s="91">
        <f>IF(ISBLANK($BX$98),"N/A",$BX$98)</f>
        <v>74.5</v>
      </c>
      <c r="BY10" s="91">
        <f>IF(ISBLANK($BY$99),"N/A",$BY$99)</f>
        <v>74.5</v>
      </c>
      <c r="BZ10" s="91">
        <f>IF(ISBLANK($BZ$100),"N/A",$BZ$100)</f>
        <v>74.400000000000006</v>
      </c>
      <c r="CA10" s="91">
        <f>IF(ISBLANK($CA$101),"N/A",$CA$101)</f>
        <v>74.400000000000006</v>
      </c>
      <c r="CB10" s="91">
        <f>IF(ISBLANK($CB$102),"N/A",$CB$102)</f>
        <v>74.5</v>
      </c>
      <c r="CC10" s="91">
        <f>IF(ISBLANK($CC$103),"N/A",$CC$103)</f>
        <v>74.599999999999994</v>
      </c>
      <c r="CD10" s="91">
        <f>IF(ISBLANK($CD$104),"N/A",$CD$104)</f>
        <v>74.599999999999994</v>
      </c>
      <c r="CE10" s="91">
        <f>IF(ISBLANK($CE$105),"N/A",$CE$105)</f>
        <v>74.599999999999994</v>
      </c>
      <c r="CF10" s="91">
        <f>IF(ISBLANK($CF$106),"N/A",$CF$106)</f>
        <v>74.8</v>
      </c>
      <c r="CG10" s="91">
        <f>IF(ISBLANK($CG$107),"N/A",$CG$107)</f>
        <v>74.8</v>
      </c>
      <c r="CH10" s="91">
        <f>IF(ISBLANK($CH$108),"N/A",$CH$108)</f>
        <v>74.900000000000006</v>
      </c>
      <c r="CI10" s="91">
        <f>IF(ISBLANK($CI$109),"N/A",$CI$109)</f>
        <v>75.099999999999994</v>
      </c>
      <c r="CJ10" s="91">
        <f>IF(ISBLANK($CJ$110),"N/A",$CJ$110)</f>
        <v>75.3</v>
      </c>
      <c r="CK10" s="91">
        <f>IF(ISBLANK($CK$111),"N/A",$CK$111)</f>
        <v>75.099999999999994</v>
      </c>
      <c r="CL10" s="91">
        <f>IF(ISBLANK($CL$112),"N/A",$CL$112)</f>
        <v>75</v>
      </c>
      <c r="CM10" s="91">
        <f>IF(ISBLANK($CM$113),"N/A",$CM$113)</f>
        <v>75.099999999999994</v>
      </c>
      <c r="CN10" s="91">
        <f>IF(ISBLANK($CN$114),"N/A",$CN$114)</f>
        <v>75.3</v>
      </c>
      <c r="CO10" s="91">
        <f>IF(ISBLANK($CO$115),"N/A",$CO$115)</f>
        <v>75.2</v>
      </c>
      <c r="CP10" s="91">
        <f>IF(ISBLANK($CP$116),"N/A",$CP$116)</f>
        <v>75.3</v>
      </c>
      <c r="CQ10" s="91">
        <f>IF(ISBLANK($CQ$117),"N/A",$CQ$117)</f>
        <v>75.400000000000006</v>
      </c>
      <c r="CR10" s="91">
        <f>IF(ISBLANK($CR$118),"N/A",$CR$118)</f>
        <v>75.599999999999994</v>
      </c>
      <c r="CS10" s="91">
        <f>IF(ISBLANK($CS$119),"N/A",$CS$119)</f>
        <v>75.599999999999994</v>
      </c>
      <c r="CT10" s="91">
        <f>IF(ISBLANK($CT$120),"N/A",$CT$120)</f>
        <v>75.599999999999994</v>
      </c>
      <c r="CU10" s="91">
        <f>IF(ISBLANK($CU$121),"N/A",$CU$121)</f>
        <v>75.5</v>
      </c>
      <c r="CV10" s="91">
        <f>IF(ISBLANK($CV$122),"N/A",$CV$122)</f>
        <v>75.5</v>
      </c>
      <c r="CW10" s="91">
        <f>IF(ISBLANK($CW$123),"N/A",$CW$123)</f>
        <v>75.599999999999994</v>
      </c>
      <c r="CX10" s="91">
        <f>IF(ISBLANK($CX$124),"N/A",$CX$124)</f>
        <v>75.599999999999994</v>
      </c>
      <c r="CY10" s="91">
        <f>IF(ISBLANK($CY$125),"N/A",$CY$125)</f>
        <v>75.7</v>
      </c>
      <c r="CZ10" s="91">
        <f>IF(ISBLANK($CZ$126),"N/A",$CZ$126)</f>
        <v>75.8</v>
      </c>
      <c r="DA10" s="91">
        <f>IF(ISBLANK($DA$127),"N/A",$DA$127)</f>
        <v>75.8</v>
      </c>
      <c r="DB10" s="91">
        <f>IF(ISBLANK($DB$128),"N/A",$DB$128)</f>
        <v>76.099999999999994</v>
      </c>
      <c r="DC10" s="91">
        <f>IF(ISBLANK($DC$129),"N/A",$DC$129)</f>
        <v>76.099999999999994</v>
      </c>
      <c r="DD10" s="91">
        <f>IF(ISBLANK($DD$130),"N/A",$DD$130)</f>
        <v>76.099999999999994</v>
      </c>
      <c r="DE10" s="91">
        <f>IF(ISBLANK($DE$131),"N/A",$DE$131)</f>
        <v>76.099999999999994</v>
      </c>
      <c r="DF10" s="91">
        <f>IF(ISBLANK($DF$132),"N/A",$DF$132)</f>
        <v>75.8</v>
      </c>
      <c r="DG10" s="91">
        <f>IF(ISBLANK($DG$133),"N/A",$DG$133)</f>
        <v>76.099999999999994</v>
      </c>
      <c r="DH10" s="91">
        <f>IF(ISBLANK($DH$134),"N/A",$DH$134)</f>
        <v>76</v>
      </c>
      <c r="DI10" s="91">
        <f>IF(ISBLANK($DI$135),"N/A",$DI$135)</f>
        <v>75.900000000000006</v>
      </c>
      <c r="DJ10" s="91">
        <f>IF(ISBLANK($DJ$136),"N/A",$DJ$136)</f>
        <v>76</v>
      </c>
      <c r="DK10" s="91">
        <f>IF(ISBLANK($DK$137),"N/A",$DK$137)</f>
        <v>76.2</v>
      </c>
      <c r="DL10" s="91">
        <f>IF(ISBLANK($DL$138),"N/A",$DL$138)</f>
        <v>76.3</v>
      </c>
      <c r="DM10" s="91">
        <f>IF(ISBLANK($DM$139),"N/A",$DM$139)</f>
        <v>76.5</v>
      </c>
      <c r="DN10" s="91">
        <f>IF(ISBLANK($DN$140),"N/A",$DN$140)</f>
        <v>76.5</v>
      </c>
      <c r="DO10" s="91">
        <f>IF(ISBLANK($DO$141),"N/A",$DO$141)</f>
        <v>76.599999999999994</v>
      </c>
      <c r="DP10" s="91">
        <f>IF(ISBLANK($DP$142),"N/A",$DP$142)</f>
        <v>76.340151606737336</v>
      </c>
      <c r="DQ10" s="92">
        <f>IF(ISBLANK($DQ$143),"N/A",$DQ$143)</f>
        <v>76.023623325676269</v>
      </c>
      <c r="DR10" s="91">
        <f>IF(ISBLANK($DR$144),"N/A",$DR$144)</f>
        <v>75.841800029272491</v>
      </c>
      <c r="DS10" s="91">
        <f>IF(ISBLANK($DS$145),"N/A",$DS$145)</f>
        <v>75.748394873159526</v>
      </c>
      <c r="DT10" s="91">
        <f>IF(ISBLANK($DT$146),"N/A",$DT$146)</f>
        <v>75.625159512623981</v>
      </c>
      <c r="DU10" s="91">
        <f>IF(ISBLANK($DU$147),"N/A",$DU$147)</f>
        <v>75.37042605160768</v>
      </c>
      <c r="DV10" s="91">
        <f>IF(ISBLANK($DV$148),"N/A",$DV$148)</f>
        <v>75.032893557475006</v>
      </c>
      <c r="DW10" s="91">
        <f>IF(ISBLANK($DW$149),"N/A",$DW$149)</f>
        <v>74.935643921654574</v>
      </c>
      <c r="DX10" s="91">
        <f>IF(ISBLANK($DX$150),"N/A",$DX$150)</f>
        <v>74.948703090707326</v>
      </c>
      <c r="DY10" s="91">
        <f>IF(ISBLANK($DY$151),"N/A",$DY$151)</f>
        <v>74.653900168755683</v>
      </c>
      <c r="DZ10" s="91">
        <f>IF(ISBLANK($DZ$152),"N/A",$DZ$152)</f>
        <v>74.610039835289143</v>
      </c>
      <c r="EA10" s="91">
        <f>IF(ISBLANK($EA$153),"N/A",$EA$153)</f>
        <v>74.720603037952714</v>
      </c>
      <c r="EB10" s="91">
        <f>IF(ISBLANK($EB$154),"N/A",$EB$154)</f>
        <v>74.724822795561209</v>
      </c>
      <c r="EC10" s="91">
        <f>IF(ISBLANK($EC$155),"N/A",$EC$155)</f>
        <v>74.692215176965391</v>
      </c>
      <c r="ED10" s="91">
        <f>IF(ISBLANK($ED$156),"N/A",$ED$156)</f>
        <v>74.750852404419049</v>
      </c>
      <c r="EE10" s="91">
        <f>IF(ISBLANK($EE$157),"N/A",$EE$157)</f>
        <v>75.019872463169762</v>
      </c>
      <c r="EF10" s="91">
        <f>IF(ISBLANK($EF$158),"N/A",$EF$158)</f>
        <v>75.142336390490669</v>
      </c>
      <c r="EG10" s="91">
        <f>IF(ISBLANK($EG$159),"N/A",$EG$159)</f>
        <v>75.242012313790454</v>
      </c>
      <c r="EH10" s="91">
        <f>IF(ISBLANK($EH$160),"N/A",$EH$160)</f>
        <v>75.336737738508361</v>
      </c>
      <c r="EI10" s="91">
        <f>IF(ISBLANK($EI$161),"N/A",$EI$161)</f>
        <v>75.385207923827323</v>
      </c>
      <c r="EJ10" s="91">
        <f>IF(ISBLANK($EJ$162),"N/A",$EJ$162)</f>
        <v>75.417536609317878</v>
      </c>
      <c r="EK10" s="91">
        <f>IF(ISBLANK($EK$163),"N/A",$EK$163)</f>
        <v>75.469458847652803</v>
      </c>
      <c r="EL10" s="91">
        <f>IF(ISBLANK($EL$164),"N/A",$EL$164)</f>
        <v>75.431988378732541</v>
      </c>
      <c r="EM10" s="91">
        <f>IF(ISBLANK($EM$165),"N/A",$EM$165)</f>
        <v>75.465305750384204</v>
      </c>
      <c r="EN10" s="91">
        <f>IF(ISBLANK($EN$166),"N/A",$EN$166)</f>
        <v>75.626683571744096</v>
      </c>
      <c r="EO10" s="91">
        <f>IF(ISBLANK($EO$167),"N/A",$EO$167)</f>
        <v>75.648992817013806</v>
      </c>
      <c r="EP10" s="91">
        <f>IF(ISBLANK($EP$168),"N/A",$EP$168)</f>
        <v>75.866474785436637</v>
      </c>
      <c r="EQ10" s="91">
        <f>IF(ISBLANK($EQ$169),"N/A",$EQ$169)</f>
        <v>75.518216130142292</v>
      </c>
      <c r="ER10" s="91">
        <f>IF(ISBLANK($ER$170),"N/A",$ER$170)</f>
        <v>75.424200108727874</v>
      </c>
      <c r="ES10" s="91">
        <f>IF(ISBLANK($ES$171),"N/A",$ES$171)</f>
        <v>75.5</v>
      </c>
      <c r="ET10" s="91">
        <f>IF(ISBLANK($ET$172),"N/A",$ET$172)</f>
        <v>75.5</v>
      </c>
      <c r="EU10" s="91">
        <f>IF(ISBLANK($EU$173),"N/A",$EU$173)</f>
        <v>75.590936946393299</v>
      </c>
      <c r="EV10" s="91">
        <f>IF(ISBLANK($EV$174),"N/A",$EV$174)</f>
        <v>75.599999999999994</v>
      </c>
      <c r="EW10" s="91">
        <f>IF(ISBLANK($EW$175),"N/A",$EW$175)</f>
        <v>75.186090118403058</v>
      </c>
      <c r="EX10" s="91">
        <f>IF(ISBLANK($EX$176),"N/A",$EX$176)</f>
        <v>75.243637062923654</v>
      </c>
      <c r="EY10" s="91">
        <f>IF(ISBLANK($EY$177),"N/A",$EY$177)</f>
        <v>75.238481346871339</v>
      </c>
      <c r="EZ10" s="91">
        <f>IF(ISBLANK($EZ$178),"N/A",$EZ$178)</f>
        <v>75.278703155886859</v>
      </c>
      <c r="FA10" s="91">
        <f>IF(ISBLANK($FA$179),"N/A",$FA$179)</f>
        <v>75.430690127966372</v>
      </c>
      <c r="FB10" s="91">
        <f>IF(ISBLANK($FB$180),"N/A",$FB$180)</f>
        <v>75.460292846986491</v>
      </c>
      <c r="FC10" s="91">
        <f>IF(ISBLANK($FC$181),"N/A",$FC$181)</f>
        <v>75.169187769647309</v>
      </c>
      <c r="FD10" s="91">
        <f>IF(ISBLANK($FD$182),"N/A",$FD$182)</f>
        <v>74.911923036272327</v>
      </c>
      <c r="FE10" s="91">
        <f>IF(ISBLANK($FE$183),"N/A",$FE$183)</f>
        <v>74.744984698606416</v>
      </c>
      <c r="FF10" s="91">
        <f>IF(ISBLANK($FF$184),"N/A",$FF$184)</f>
        <v>74.84646884495379</v>
      </c>
      <c r="FG10" s="91">
        <f>IF(ISBLANK($FG$185),"N/A",$FG$185)</f>
        <v>74.86939463786932</v>
      </c>
      <c r="FH10" s="91">
        <f>IF(ISBLANK($FH$186),"N/A",$FH$186)</f>
        <v>74.85616426701057</v>
      </c>
      <c r="FI10" s="91">
        <f>IF(ISBLANK($FI$187),"N/A",$FI$187)</f>
        <v>74.849990215909997</v>
      </c>
      <c r="FJ10" s="91">
        <f>IF(ISBLANK($FJ$188),"N/A",$FJ$188)</f>
        <v>74.659177279638797</v>
      </c>
      <c r="FK10" s="91">
        <f>IF(ISBLANK($FK$189),"N/A",$FK$189)</f>
        <v>74.55901190200197</v>
      </c>
      <c r="FL10" s="91">
        <f>IF(ISBLANK($FL$190),"N/A",$FL$190)</f>
        <v>74.495675414989066</v>
      </c>
      <c r="FM10" s="91">
        <f>IF(ISBLANK($FM$191),"N/A",$FM$191)</f>
        <v>74.396208533706854</v>
      </c>
      <c r="FN10" s="91">
        <f>IF(ISBLANK($FN$192),"N/A",$FN$192)</f>
        <v>74.407764323915487</v>
      </c>
      <c r="FO10" s="91">
        <f>IF(ISBLANK($FO$193),"N/A",$FO$193)</f>
        <v>74.574397057150151</v>
      </c>
      <c r="FP10" s="91">
        <f>IF(ISBLANK($FP$194),"N/A",$FP$194)</f>
        <v>74.722902674145047</v>
      </c>
      <c r="FQ10" s="91">
        <f>IF(ISBLANK($FQ$195),"N/A",$FQ$195)</f>
        <v>74.985703831661851</v>
      </c>
      <c r="FR10" s="91">
        <f>IF(ISBLANK($FR$196),"N/A",$FR$196)</f>
        <v>74.937975580477485</v>
      </c>
      <c r="FS10" s="91">
        <f>IF(ISBLANK($FS$197),"N/A",$FS$197)</f>
        <v>74.902472586787169</v>
      </c>
      <c r="FT10" s="91">
        <f>IF(ISBLANK($FT$198),"N/A",$FT$198)</f>
        <v>74.850934796288655</v>
      </c>
      <c r="FU10" s="91">
        <f>IF(ISBLANK($FU$199),"N/A",$FU$199)</f>
        <v>74.956007115185059</v>
      </c>
      <c r="FV10" s="91" t="s">
        <v>300</v>
      </c>
      <c r="FW10" s="91" t="str">
        <f>IF(ISBLANK($FW$201),"N/A",$FW$201)</f>
        <v>N/A</v>
      </c>
      <c r="FX10" s="91" t="str">
        <f>IF(ISBLANK($FX$202),"N/A",$FX$202)</f>
        <v>N/A</v>
      </c>
      <c r="FY10" s="91" t="str">
        <f>IF(ISBLANK($FY$203),"N/A",$FY$203)</f>
        <v>N/A</v>
      </c>
      <c r="FZ10" s="91" t="str">
        <f>IF(ISBLANK($FZ$204),"N/A",$FZ$204)</f>
        <v>N/A</v>
      </c>
      <c r="GA10" s="91" t="str">
        <f>IF(ISBLANK($GA$205),"N/A",$GA$205)</f>
        <v>N/A</v>
      </c>
      <c r="GB10" s="91" t="str">
        <f>IF(ISBLANK($GB$206),"N/A",$GB$206)</f>
        <v>N/A</v>
      </c>
      <c r="GC10" s="91" t="str">
        <f>IF(ISBLANK($GC$207),"N/A",$GC$207)</f>
        <v>N/A</v>
      </c>
      <c r="GD10" s="91" t="str">
        <f>IF(ISBLANK($GD$208),"N/A",$GD$208)</f>
        <v>N/A</v>
      </c>
      <c r="GE10" s="91" t="str">
        <f>IF(ISBLANK($GE$209),"N/A",$GE$209)</f>
        <v>N/A</v>
      </c>
      <c r="GF10" s="91" t="str">
        <f>IF(ISBLANK($GF$210),"N/A",$GF$210)</f>
        <v>N/A</v>
      </c>
      <c r="GG10" s="93" t="str">
        <f>IF(ISBLANK($GG$211),"N/A",$GG$211)</f>
        <v>N/A</v>
      </c>
    </row>
    <row r="11" spans="1:189" ht="13.5" hidden="1" thickBot="1" x14ac:dyDescent="0.25">
      <c r="B11" s="37" t="s">
        <v>23</v>
      </c>
      <c r="C11" s="60"/>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c r="BN11" s="60"/>
      <c r="BO11" s="60"/>
      <c r="BP11" s="60"/>
      <c r="BQ11" s="60"/>
      <c r="BR11" s="60"/>
      <c r="BS11" s="60"/>
      <c r="BT11" s="60"/>
      <c r="BU11" s="60"/>
      <c r="BV11" s="60"/>
      <c r="BW11" s="60"/>
      <c r="BX11" s="60"/>
      <c r="BY11" s="60"/>
      <c r="BZ11" s="60"/>
      <c r="CA11" s="60"/>
      <c r="CB11" s="60"/>
      <c r="CC11" s="60"/>
      <c r="CD11" s="60"/>
      <c r="CE11" s="60"/>
      <c r="CF11" s="60"/>
      <c r="CG11" s="60"/>
      <c r="CH11" s="60"/>
      <c r="CI11" s="60"/>
      <c r="CJ11" s="60"/>
      <c r="CK11" s="60"/>
      <c r="CL11" s="60"/>
      <c r="CM11" s="60"/>
      <c r="CN11" s="60"/>
      <c r="CO11" s="60"/>
      <c r="CP11" s="60"/>
      <c r="CQ11" s="60"/>
      <c r="CR11" s="60"/>
      <c r="CS11" s="60"/>
      <c r="CT11" s="60"/>
      <c r="CU11" s="60"/>
      <c r="CV11" s="60"/>
      <c r="CW11" s="60"/>
      <c r="CX11" s="60"/>
      <c r="CY11" s="60"/>
      <c r="CZ11" s="60"/>
      <c r="DA11" s="60"/>
      <c r="DB11" s="60"/>
      <c r="DC11" s="60"/>
      <c r="DD11" s="60"/>
      <c r="DE11" s="60"/>
      <c r="DF11" s="60"/>
      <c r="DG11" s="60"/>
      <c r="DH11" s="60"/>
      <c r="DI11" s="60"/>
      <c r="DJ11" s="60"/>
      <c r="DK11" s="60"/>
      <c r="DL11" s="60"/>
      <c r="DM11" s="60"/>
      <c r="DN11" s="60"/>
      <c r="DO11" s="60"/>
      <c r="DP11" s="60"/>
      <c r="DQ11" s="60"/>
      <c r="DR11" s="60"/>
      <c r="DS11" s="60"/>
      <c r="DT11" s="60"/>
      <c r="DU11" s="60"/>
      <c r="DV11" s="60"/>
      <c r="DW11" s="60"/>
      <c r="DX11" s="60"/>
      <c r="DY11" s="60"/>
      <c r="DZ11" s="60"/>
      <c r="EA11" s="60"/>
      <c r="EB11" s="60"/>
      <c r="EC11" s="60"/>
      <c r="ED11" s="60"/>
      <c r="EE11" s="60"/>
      <c r="EF11" s="60"/>
      <c r="EG11" s="60"/>
      <c r="EH11" s="60"/>
      <c r="EI11" s="60"/>
      <c r="EJ11" s="60"/>
      <c r="EK11" s="60"/>
      <c r="EL11" s="60"/>
      <c r="EM11" s="60"/>
      <c r="EN11" s="60"/>
      <c r="EO11" s="60"/>
      <c r="EP11" s="60"/>
      <c r="EQ11" s="60"/>
      <c r="ER11" s="60"/>
      <c r="ES11" s="60"/>
      <c r="ET11" s="60"/>
      <c r="EU11" s="60"/>
      <c r="EV11" s="60"/>
      <c r="EW11" s="60"/>
      <c r="EX11" s="60"/>
      <c r="EY11" s="60"/>
      <c r="EZ11" s="60"/>
      <c r="FA11" s="60"/>
      <c r="FB11" s="60"/>
      <c r="FC11" s="60"/>
      <c r="FD11" s="60"/>
      <c r="FE11" s="60"/>
      <c r="FF11" s="60"/>
      <c r="FG11" s="60"/>
      <c r="FH11" s="60"/>
      <c r="FI11" s="60"/>
      <c r="FJ11" s="60"/>
      <c r="FK11" s="60"/>
      <c r="FL11" s="60"/>
      <c r="FM11" s="60"/>
      <c r="FN11" s="60"/>
      <c r="FO11" s="60"/>
      <c r="FP11" s="60"/>
      <c r="FQ11" s="60"/>
      <c r="FR11" s="60"/>
      <c r="FS11" s="60"/>
      <c r="FT11" s="60"/>
      <c r="FU11" s="60"/>
      <c r="FV11" s="60"/>
      <c r="FW11" s="60"/>
      <c r="FX11" s="60"/>
      <c r="FY11" s="60"/>
      <c r="FZ11" s="60"/>
      <c r="GA11" s="60"/>
      <c r="GB11" s="60"/>
      <c r="GC11" s="60"/>
      <c r="GD11" s="60"/>
      <c r="GE11" s="60"/>
      <c r="GF11" s="60"/>
      <c r="GG11" s="81"/>
    </row>
    <row r="12" spans="1:189" ht="13.5" hidden="1" thickBot="1" x14ac:dyDescent="0.25">
      <c r="B12" s="37" t="s">
        <v>24</v>
      </c>
      <c r="C12" s="98"/>
      <c r="D12" s="98"/>
      <c r="E12" s="98"/>
      <c r="F12" s="98"/>
      <c r="G12" s="98"/>
      <c r="H12" s="98"/>
      <c r="I12" s="98"/>
      <c r="J12" s="98"/>
      <c r="K12" s="98"/>
      <c r="L12" s="98"/>
      <c r="M12" s="98"/>
      <c r="N12" s="98"/>
      <c r="O12" s="98"/>
      <c r="P12" s="98"/>
      <c r="Q12" s="98"/>
      <c r="R12" s="98"/>
      <c r="S12" s="98"/>
      <c r="T12" s="98"/>
      <c r="U12" s="98"/>
      <c r="V12" s="98"/>
      <c r="W12" s="98"/>
      <c r="X12" s="98"/>
      <c r="Y12" s="98"/>
      <c r="Z12" s="98"/>
      <c r="AA12" s="98"/>
      <c r="AB12" s="98"/>
      <c r="AC12" s="98"/>
      <c r="AD12" s="98"/>
      <c r="AE12" s="98"/>
      <c r="AF12" s="98"/>
      <c r="AG12" s="98"/>
      <c r="AH12" s="98"/>
      <c r="AI12" s="98"/>
      <c r="AJ12" s="98"/>
      <c r="AK12" s="98"/>
      <c r="AL12" s="98"/>
      <c r="AM12" s="98"/>
      <c r="AN12" s="98"/>
      <c r="AO12" s="98"/>
      <c r="AP12" s="98"/>
      <c r="AQ12" s="98"/>
      <c r="AR12" s="98"/>
      <c r="AS12" s="98"/>
      <c r="AT12" s="98"/>
      <c r="AU12" s="98"/>
      <c r="AV12" s="98"/>
      <c r="AW12" s="98"/>
      <c r="AX12" s="98"/>
      <c r="AY12" s="98"/>
      <c r="AZ12" s="98"/>
      <c r="BA12" s="98"/>
      <c r="BB12" s="98"/>
      <c r="BC12" s="98"/>
      <c r="BD12" s="98"/>
      <c r="BE12" s="98"/>
      <c r="BF12" s="98"/>
      <c r="BG12" s="98"/>
      <c r="BH12" s="98"/>
      <c r="BI12" s="98"/>
      <c r="BJ12" s="98"/>
      <c r="BK12" s="98"/>
      <c r="BL12" s="98"/>
      <c r="BM12" s="98"/>
      <c r="BN12" s="98"/>
      <c r="BO12" s="98"/>
      <c r="BP12" s="98"/>
      <c r="BQ12" s="98"/>
      <c r="BR12" s="98"/>
      <c r="BS12" s="98"/>
      <c r="BT12" s="98"/>
      <c r="BU12" s="98"/>
      <c r="BV12" s="98"/>
      <c r="BW12" s="98"/>
      <c r="BX12" s="98"/>
      <c r="BY12" s="98"/>
      <c r="BZ12" s="98"/>
      <c r="CA12" s="98"/>
      <c r="CB12" s="98"/>
      <c r="CC12" s="98"/>
      <c r="CD12" s="98"/>
      <c r="CE12" s="98"/>
      <c r="CF12" s="98"/>
      <c r="CG12" s="98"/>
      <c r="CH12" s="98"/>
      <c r="CI12" s="98"/>
      <c r="CJ12" s="98"/>
      <c r="CK12" s="98"/>
      <c r="CL12" s="98"/>
      <c r="CM12" s="98"/>
      <c r="CN12" s="98"/>
      <c r="CO12" s="98"/>
      <c r="CP12" s="98"/>
      <c r="CQ12" s="98"/>
      <c r="CR12" s="98"/>
      <c r="CS12" s="98"/>
      <c r="CT12" s="98"/>
      <c r="CU12" s="98"/>
      <c r="CV12" s="98"/>
      <c r="CW12" s="98"/>
      <c r="CX12" s="98"/>
      <c r="CY12" s="98"/>
      <c r="CZ12" s="98"/>
      <c r="DA12" s="98"/>
      <c r="DB12" s="98"/>
      <c r="DC12" s="98"/>
      <c r="DD12" s="98"/>
      <c r="DE12" s="98"/>
      <c r="DF12" s="98"/>
      <c r="DG12" s="98"/>
      <c r="DH12" s="98"/>
      <c r="DI12" s="98"/>
      <c r="DJ12" s="98"/>
      <c r="DK12" s="98"/>
      <c r="DL12" s="98"/>
      <c r="DM12" s="98"/>
      <c r="DN12" s="98"/>
      <c r="DO12" s="98"/>
      <c r="DP12" s="98"/>
      <c r="DQ12" s="98"/>
      <c r="DR12" s="98"/>
      <c r="DS12" s="98"/>
      <c r="DT12" s="98"/>
      <c r="DU12" s="98"/>
      <c r="DV12" s="98"/>
      <c r="DW12" s="98"/>
      <c r="DX12" s="98"/>
      <c r="DY12" s="98"/>
      <c r="DZ12" s="98"/>
      <c r="EA12" s="98"/>
      <c r="EB12" s="98"/>
      <c r="EC12" s="98"/>
      <c r="ED12" s="98"/>
      <c r="EE12" s="98"/>
      <c r="EF12" s="98"/>
      <c r="EG12" s="98"/>
      <c r="EH12" s="98"/>
      <c r="EI12" s="98"/>
      <c r="EJ12" s="98"/>
      <c r="EK12" s="98"/>
      <c r="EL12" s="98"/>
      <c r="EM12" s="98"/>
      <c r="EN12" s="98"/>
      <c r="EO12" s="98"/>
      <c r="EP12" s="98"/>
      <c r="EQ12" s="98"/>
      <c r="ER12" s="60"/>
      <c r="ES12" s="60"/>
      <c r="ET12" s="60"/>
      <c r="EU12" s="60"/>
      <c r="EV12" s="60"/>
      <c r="EW12" s="60"/>
      <c r="EX12" s="60"/>
      <c r="EY12" s="60"/>
      <c r="EZ12" s="60"/>
      <c r="FA12" s="60"/>
      <c r="FB12" s="60"/>
      <c r="FC12" s="60"/>
      <c r="FD12" s="60"/>
      <c r="FE12" s="60"/>
      <c r="FF12" s="60"/>
      <c r="FG12" s="60"/>
      <c r="FH12" s="60"/>
      <c r="FI12" s="60"/>
      <c r="FJ12" s="60"/>
      <c r="FK12" s="60"/>
      <c r="FL12" s="60"/>
      <c r="FM12" s="60"/>
      <c r="FN12" s="60"/>
      <c r="FO12" s="60"/>
      <c r="FP12" s="60"/>
      <c r="FQ12" s="60"/>
      <c r="FR12" s="60"/>
      <c r="FS12" s="60"/>
      <c r="FT12" s="60"/>
      <c r="FU12" s="60"/>
      <c r="FV12" s="60"/>
      <c r="FW12" s="60"/>
      <c r="FX12" s="60"/>
      <c r="FY12" s="60"/>
      <c r="FZ12" s="60"/>
      <c r="GA12" s="60"/>
      <c r="GB12" s="60"/>
      <c r="GC12" s="60"/>
      <c r="GD12" s="60"/>
      <c r="GE12" s="60"/>
      <c r="GF12" s="60"/>
      <c r="GG12" s="81"/>
    </row>
    <row r="13" spans="1:189" ht="13.5" thickBot="1" x14ac:dyDescent="0.25">
      <c r="B13" s="96">
        <v>40391</v>
      </c>
      <c r="C13" s="99">
        <v>70.5</v>
      </c>
      <c r="D13" s="100"/>
      <c r="E13" s="100"/>
      <c r="F13" s="100"/>
      <c r="G13" s="100"/>
      <c r="H13" s="100"/>
      <c r="I13" s="100"/>
      <c r="J13" s="100"/>
      <c r="K13" s="100"/>
      <c r="L13" s="100"/>
      <c r="M13" s="100"/>
      <c r="N13" s="100"/>
      <c r="O13" s="100"/>
      <c r="P13" s="100"/>
      <c r="Q13" s="100"/>
      <c r="R13" s="100"/>
      <c r="S13" s="100"/>
      <c r="T13" s="100"/>
      <c r="U13" s="100"/>
      <c r="V13" s="100"/>
      <c r="W13" s="100"/>
      <c r="X13" s="100"/>
      <c r="Y13" s="100"/>
      <c r="Z13" s="100"/>
      <c r="AA13" s="100"/>
      <c r="AB13" s="100"/>
      <c r="AC13" s="100"/>
      <c r="AD13" s="100"/>
      <c r="AE13" s="100"/>
      <c r="AF13" s="100"/>
      <c r="AG13" s="100"/>
      <c r="AH13" s="100"/>
      <c r="AI13" s="100"/>
      <c r="AJ13" s="100"/>
      <c r="AK13" s="100"/>
      <c r="AL13" s="100"/>
      <c r="AM13" s="100"/>
      <c r="AN13" s="100"/>
      <c r="AO13" s="100"/>
      <c r="AP13" s="100"/>
      <c r="AQ13" s="100"/>
      <c r="AR13" s="100"/>
      <c r="AS13" s="100"/>
      <c r="AT13" s="100"/>
      <c r="AU13" s="100"/>
      <c r="AV13" s="100"/>
      <c r="AW13" s="100"/>
      <c r="AX13" s="100"/>
      <c r="AY13" s="100"/>
      <c r="AZ13" s="100"/>
      <c r="BA13" s="100"/>
      <c r="BB13" s="100"/>
      <c r="BC13" s="100"/>
      <c r="BD13" s="100"/>
      <c r="BE13" s="100"/>
      <c r="BF13" s="100"/>
      <c r="BG13" s="100"/>
      <c r="BH13" s="100"/>
      <c r="BI13" s="100"/>
      <c r="BJ13" s="100"/>
      <c r="BK13" s="100"/>
      <c r="BL13" s="100"/>
      <c r="BM13" s="100"/>
      <c r="BN13" s="100"/>
      <c r="BO13" s="100"/>
      <c r="BP13" s="100"/>
      <c r="BQ13" s="100"/>
      <c r="BR13" s="100"/>
      <c r="BS13" s="100"/>
      <c r="BT13" s="100"/>
      <c r="BU13" s="100"/>
      <c r="BV13" s="100"/>
      <c r="BW13" s="100"/>
      <c r="BX13" s="100"/>
      <c r="BY13" s="100"/>
      <c r="BZ13" s="100"/>
      <c r="CA13" s="100"/>
      <c r="CB13" s="100"/>
      <c r="CC13" s="100"/>
      <c r="CD13" s="100"/>
      <c r="CE13" s="100"/>
      <c r="CF13" s="100"/>
      <c r="CG13" s="100"/>
      <c r="CH13" s="100"/>
      <c r="CI13" s="100"/>
      <c r="CJ13" s="100"/>
      <c r="CK13" s="100"/>
      <c r="CL13" s="100"/>
      <c r="CM13" s="100"/>
      <c r="CN13" s="100"/>
      <c r="CO13" s="100"/>
      <c r="CP13" s="100"/>
      <c r="CQ13" s="100"/>
      <c r="CR13" s="100"/>
      <c r="CS13" s="100"/>
      <c r="CT13" s="100"/>
      <c r="CU13" s="100"/>
      <c r="CV13" s="100"/>
      <c r="CW13" s="100"/>
      <c r="CX13" s="100"/>
      <c r="CY13" s="100"/>
      <c r="CZ13" s="100"/>
      <c r="DA13" s="100"/>
      <c r="DB13" s="100"/>
      <c r="DC13" s="100"/>
      <c r="DD13" s="100"/>
      <c r="DE13" s="100"/>
      <c r="DF13" s="100"/>
      <c r="DG13" s="100"/>
      <c r="DH13" s="100"/>
      <c r="DI13" s="100"/>
      <c r="DJ13" s="100"/>
      <c r="DK13" s="100"/>
      <c r="DL13" s="100"/>
      <c r="DM13" s="100"/>
      <c r="DN13" s="100"/>
      <c r="DO13" s="100"/>
      <c r="DP13" s="100"/>
      <c r="DQ13" s="100"/>
      <c r="DR13" s="100"/>
      <c r="DS13" s="100"/>
      <c r="DT13" s="100"/>
      <c r="DU13" s="100"/>
      <c r="DV13" s="100"/>
      <c r="DW13" s="100"/>
      <c r="DX13" s="100"/>
      <c r="DY13" s="100"/>
      <c r="DZ13" s="100"/>
      <c r="EA13" s="100"/>
      <c r="EB13" s="100"/>
      <c r="EC13" s="100"/>
      <c r="ED13" s="100"/>
      <c r="EE13" s="100"/>
      <c r="EF13" s="100"/>
      <c r="EG13" s="100"/>
      <c r="EH13" s="100"/>
      <c r="EI13" s="100"/>
      <c r="EJ13" s="100"/>
      <c r="EK13" s="100"/>
      <c r="EL13" s="100"/>
      <c r="EM13" s="100"/>
      <c r="EN13" s="100"/>
      <c r="EO13" s="100"/>
      <c r="EP13" s="100"/>
      <c r="EQ13" s="106"/>
      <c r="ER13" s="114"/>
      <c r="ES13" s="114"/>
      <c r="ET13" s="114"/>
      <c r="EU13" s="114"/>
      <c r="EV13" s="114"/>
      <c r="EW13" s="114"/>
      <c r="EX13" s="114"/>
      <c r="EY13" s="114"/>
      <c r="EZ13" s="114"/>
      <c r="FA13" s="114"/>
      <c r="FB13" s="114"/>
      <c r="FC13" s="114"/>
      <c r="FD13" s="114"/>
      <c r="FE13" s="114"/>
      <c r="FF13" s="114"/>
      <c r="FG13" s="114"/>
      <c r="FH13" s="114"/>
      <c r="FI13" s="114"/>
      <c r="FJ13" s="114"/>
      <c r="FK13" s="114"/>
      <c r="FL13" s="114"/>
      <c r="FM13" s="114"/>
      <c r="FN13" s="114"/>
      <c r="FO13" s="114"/>
      <c r="FP13" s="114"/>
      <c r="FQ13" s="114"/>
      <c r="FR13" s="114"/>
      <c r="FS13" s="114"/>
      <c r="FT13" s="114"/>
      <c r="FU13" s="114"/>
      <c r="FV13" s="114"/>
      <c r="FW13" s="114"/>
      <c r="FX13" s="114"/>
      <c r="FY13" s="114"/>
      <c r="FZ13" s="114"/>
      <c r="GA13" s="114"/>
      <c r="GB13" s="114"/>
      <c r="GC13" s="114"/>
      <c r="GD13" s="114"/>
      <c r="GE13" s="114"/>
      <c r="GF13" s="114"/>
      <c r="GG13" s="157"/>
    </row>
    <row r="14" spans="1:189" x14ac:dyDescent="0.2">
      <c r="B14" s="96">
        <v>40422</v>
      </c>
      <c r="C14" s="100">
        <v>70.5</v>
      </c>
      <c r="D14" s="99">
        <v>70.7</v>
      </c>
      <c r="E14" s="100"/>
      <c r="F14" s="100"/>
      <c r="G14" s="100"/>
      <c r="H14" s="100"/>
      <c r="I14" s="100"/>
      <c r="J14" s="100"/>
      <c r="K14" s="100"/>
      <c r="L14" s="100"/>
      <c r="M14" s="100"/>
      <c r="N14" s="100"/>
      <c r="O14" s="100"/>
      <c r="P14" s="100"/>
      <c r="Q14" s="100"/>
      <c r="R14" s="100"/>
      <c r="S14" s="100"/>
      <c r="T14" s="100"/>
      <c r="U14" s="100"/>
      <c r="V14" s="100"/>
      <c r="W14" s="100"/>
      <c r="X14" s="100"/>
      <c r="Y14" s="100"/>
      <c r="Z14" s="100"/>
      <c r="AA14" s="100"/>
      <c r="AB14" s="100"/>
      <c r="AC14" s="100"/>
      <c r="AD14" s="100"/>
      <c r="AE14" s="100"/>
      <c r="AF14" s="100"/>
      <c r="AG14" s="100"/>
      <c r="AH14" s="100"/>
      <c r="AI14" s="100"/>
      <c r="AJ14" s="100"/>
      <c r="AK14" s="100"/>
      <c r="AL14" s="100"/>
      <c r="AM14" s="100"/>
      <c r="AN14" s="100"/>
      <c r="AO14" s="100"/>
      <c r="AP14" s="100"/>
      <c r="AQ14" s="100"/>
      <c r="AR14" s="100"/>
      <c r="AS14" s="100"/>
      <c r="AT14" s="100"/>
      <c r="AU14" s="100"/>
      <c r="AV14" s="100"/>
      <c r="AW14" s="100"/>
      <c r="AX14" s="100"/>
      <c r="AY14" s="100"/>
      <c r="AZ14" s="100"/>
      <c r="BA14" s="100"/>
      <c r="BB14" s="100"/>
      <c r="BC14" s="100"/>
      <c r="BD14" s="100"/>
      <c r="BE14" s="100"/>
      <c r="BF14" s="100"/>
      <c r="BG14" s="100"/>
      <c r="BH14" s="100"/>
      <c r="BI14" s="100"/>
      <c r="BJ14" s="100"/>
      <c r="BK14" s="100"/>
      <c r="BL14" s="100"/>
      <c r="BM14" s="100"/>
      <c r="BN14" s="100"/>
      <c r="BO14" s="100"/>
      <c r="BP14" s="100"/>
      <c r="BQ14" s="100"/>
      <c r="BR14" s="100"/>
      <c r="BS14" s="100"/>
      <c r="BT14" s="100"/>
      <c r="BU14" s="100"/>
      <c r="BV14" s="100"/>
      <c r="BW14" s="100"/>
      <c r="BX14" s="100"/>
      <c r="BY14" s="100"/>
      <c r="BZ14" s="100"/>
      <c r="CA14" s="100"/>
      <c r="CB14" s="100"/>
      <c r="CC14" s="100"/>
      <c r="CD14" s="100"/>
      <c r="CE14" s="100"/>
      <c r="CF14" s="100"/>
      <c r="CG14" s="100"/>
      <c r="CH14" s="100"/>
      <c r="CI14" s="100"/>
      <c r="CJ14" s="100"/>
      <c r="CK14" s="100"/>
      <c r="CL14" s="100"/>
      <c r="CM14" s="100"/>
      <c r="CN14" s="100"/>
      <c r="CO14" s="100"/>
      <c r="CP14" s="100"/>
      <c r="CQ14" s="100"/>
      <c r="CR14" s="100"/>
      <c r="CS14" s="100"/>
      <c r="CT14" s="100"/>
      <c r="CU14" s="100"/>
      <c r="CV14" s="100"/>
      <c r="CW14" s="100"/>
      <c r="CX14" s="100"/>
      <c r="CY14" s="100"/>
      <c r="CZ14" s="100"/>
      <c r="DA14" s="100"/>
      <c r="DB14" s="100"/>
      <c r="DC14" s="100"/>
      <c r="DD14" s="100"/>
      <c r="DE14" s="100"/>
      <c r="DF14" s="100"/>
      <c r="DG14" s="100"/>
      <c r="DH14" s="100"/>
      <c r="DI14" s="100"/>
      <c r="DJ14" s="100"/>
      <c r="DK14" s="100"/>
      <c r="DL14" s="100"/>
      <c r="DM14" s="100"/>
      <c r="DN14" s="100"/>
      <c r="DO14" s="100"/>
      <c r="DP14" s="100"/>
      <c r="DQ14" s="100"/>
      <c r="DR14" s="100"/>
      <c r="DS14" s="100"/>
      <c r="DT14" s="100"/>
      <c r="DU14" s="100"/>
      <c r="DV14" s="100"/>
      <c r="DW14" s="100"/>
      <c r="DX14" s="100"/>
      <c r="DY14" s="100"/>
      <c r="DZ14" s="100"/>
      <c r="EA14" s="100"/>
      <c r="EB14" s="100"/>
      <c r="EC14" s="100"/>
      <c r="ED14" s="100"/>
      <c r="EE14" s="100"/>
      <c r="EF14" s="100"/>
      <c r="EG14" s="100"/>
      <c r="EH14" s="100"/>
      <c r="EI14" s="100"/>
      <c r="EJ14" s="100"/>
      <c r="EK14" s="100"/>
      <c r="EL14" s="100"/>
      <c r="EM14" s="100"/>
      <c r="EN14" s="100"/>
      <c r="EO14" s="100"/>
      <c r="EP14" s="100"/>
      <c r="EQ14" s="106"/>
      <c r="ER14" s="115"/>
      <c r="ES14" s="115"/>
      <c r="ET14" s="115"/>
      <c r="EU14" s="115"/>
      <c r="EV14" s="115"/>
      <c r="EW14" s="115"/>
      <c r="EX14" s="115"/>
      <c r="EY14" s="115"/>
      <c r="EZ14" s="115"/>
      <c r="FA14" s="115"/>
      <c r="FB14" s="115"/>
      <c r="FC14" s="115"/>
      <c r="FD14" s="115"/>
      <c r="FE14" s="115"/>
      <c r="FF14" s="115"/>
      <c r="FG14" s="115"/>
      <c r="FH14" s="115"/>
      <c r="FI14" s="115"/>
      <c r="FJ14" s="115"/>
      <c r="FK14" s="115"/>
      <c r="FL14" s="115"/>
      <c r="FM14" s="115"/>
      <c r="FN14" s="115"/>
      <c r="FO14" s="115"/>
      <c r="FP14" s="115"/>
      <c r="FQ14" s="115"/>
      <c r="FR14" s="115"/>
      <c r="FS14" s="115"/>
      <c r="FT14" s="115"/>
      <c r="FU14" s="115"/>
      <c r="FV14" s="115"/>
      <c r="FW14" s="115"/>
      <c r="FX14" s="115"/>
      <c r="FY14" s="115"/>
      <c r="FZ14" s="115"/>
      <c r="GA14" s="115"/>
      <c r="GB14" s="115"/>
      <c r="GC14" s="115"/>
      <c r="GD14" s="115"/>
      <c r="GE14" s="115"/>
      <c r="GF14" s="115"/>
      <c r="GG14" s="158"/>
    </row>
    <row r="15" spans="1:189" x14ac:dyDescent="0.2">
      <c r="B15" s="97">
        <v>40452</v>
      </c>
      <c r="C15" s="100">
        <v>70.5</v>
      </c>
      <c r="D15" s="101">
        <v>70.7</v>
      </c>
      <c r="E15" s="99">
        <v>70.7</v>
      </c>
      <c r="F15" s="100"/>
      <c r="G15" s="100"/>
      <c r="H15" s="100"/>
      <c r="I15" s="100"/>
      <c r="J15" s="100"/>
      <c r="K15" s="100"/>
      <c r="L15" s="100"/>
      <c r="M15" s="100"/>
      <c r="N15" s="100"/>
      <c r="O15" s="100"/>
      <c r="P15" s="100"/>
      <c r="Q15" s="100"/>
      <c r="R15" s="100"/>
      <c r="S15" s="100"/>
      <c r="T15" s="100"/>
      <c r="U15" s="100"/>
      <c r="V15" s="100"/>
      <c r="W15" s="100"/>
      <c r="X15" s="100"/>
      <c r="Y15" s="100"/>
      <c r="Z15" s="100"/>
      <c r="AA15" s="100"/>
      <c r="AB15" s="100"/>
      <c r="AC15" s="100"/>
      <c r="AD15" s="100"/>
      <c r="AE15" s="100"/>
      <c r="AF15" s="100"/>
      <c r="AG15" s="100"/>
      <c r="AH15" s="100"/>
      <c r="AI15" s="100"/>
      <c r="AJ15" s="100"/>
      <c r="AK15" s="100"/>
      <c r="AL15" s="100"/>
      <c r="AM15" s="100"/>
      <c r="AN15" s="100"/>
      <c r="AO15" s="100"/>
      <c r="AP15" s="100"/>
      <c r="AQ15" s="100"/>
      <c r="AR15" s="100"/>
      <c r="AS15" s="100"/>
      <c r="AT15" s="100"/>
      <c r="AU15" s="100"/>
      <c r="AV15" s="100"/>
      <c r="AW15" s="100"/>
      <c r="AX15" s="100"/>
      <c r="AY15" s="100"/>
      <c r="AZ15" s="100"/>
      <c r="BA15" s="100"/>
      <c r="BB15" s="100"/>
      <c r="BC15" s="100"/>
      <c r="BD15" s="100"/>
      <c r="BE15" s="100"/>
      <c r="BF15" s="100"/>
      <c r="BG15" s="100"/>
      <c r="BH15" s="100"/>
      <c r="BI15" s="100"/>
      <c r="BJ15" s="100"/>
      <c r="BK15" s="100"/>
      <c r="BL15" s="100"/>
      <c r="BM15" s="100"/>
      <c r="BN15" s="100"/>
      <c r="BO15" s="100"/>
      <c r="BP15" s="100"/>
      <c r="BQ15" s="100"/>
      <c r="BR15" s="100"/>
      <c r="BS15" s="100"/>
      <c r="BT15" s="100"/>
      <c r="BU15" s="100"/>
      <c r="BV15" s="100"/>
      <c r="BW15" s="100"/>
      <c r="BX15" s="100"/>
      <c r="BY15" s="100"/>
      <c r="BZ15" s="100"/>
      <c r="CA15" s="100"/>
      <c r="CB15" s="100"/>
      <c r="CC15" s="100"/>
      <c r="CD15" s="100"/>
      <c r="CE15" s="100"/>
      <c r="CF15" s="100"/>
      <c r="CG15" s="100"/>
      <c r="CH15" s="100"/>
      <c r="CI15" s="100"/>
      <c r="CJ15" s="100"/>
      <c r="CK15" s="100"/>
      <c r="CL15" s="100"/>
      <c r="CM15" s="100"/>
      <c r="CN15" s="100"/>
      <c r="CO15" s="100"/>
      <c r="CP15" s="100"/>
      <c r="CQ15" s="100"/>
      <c r="CR15" s="100"/>
      <c r="CS15" s="100"/>
      <c r="CT15" s="100"/>
      <c r="CU15" s="100"/>
      <c r="CV15" s="100"/>
      <c r="CW15" s="100"/>
      <c r="CX15" s="100"/>
      <c r="CY15" s="100"/>
      <c r="CZ15" s="100"/>
      <c r="DA15" s="100"/>
      <c r="DB15" s="100"/>
      <c r="DC15" s="100"/>
      <c r="DD15" s="100"/>
      <c r="DE15" s="100"/>
      <c r="DF15" s="100"/>
      <c r="DG15" s="100"/>
      <c r="DH15" s="100"/>
      <c r="DI15" s="100"/>
      <c r="DJ15" s="100"/>
      <c r="DK15" s="100"/>
      <c r="DL15" s="100"/>
      <c r="DM15" s="100"/>
      <c r="DN15" s="100"/>
      <c r="DO15" s="100"/>
      <c r="DP15" s="100"/>
      <c r="DQ15" s="100"/>
      <c r="DR15" s="100"/>
      <c r="DS15" s="100"/>
      <c r="DT15" s="100"/>
      <c r="DU15" s="100"/>
      <c r="DV15" s="100"/>
      <c r="DW15" s="100"/>
      <c r="DX15" s="100"/>
      <c r="DY15" s="100"/>
      <c r="DZ15" s="100"/>
      <c r="EA15" s="100"/>
      <c r="EB15" s="100"/>
      <c r="EC15" s="100"/>
      <c r="ED15" s="100"/>
      <c r="EE15" s="100"/>
      <c r="EF15" s="100"/>
      <c r="EG15" s="100"/>
      <c r="EH15" s="100"/>
      <c r="EI15" s="100"/>
      <c r="EJ15" s="100"/>
      <c r="EK15" s="100"/>
      <c r="EL15" s="100"/>
      <c r="EM15" s="100"/>
      <c r="EN15" s="100"/>
      <c r="EO15" s="100"/>
      <c r="EP15" s="100"/>
      <c r="EQ15" s="106"/>
      <c r="ER15" s="106"/>
      <c r="ES15" s="106"/>
      <c r="ET15" s="106"/>
      <c r="EU15" s="106"/>
      <c r="EV15" s="106"/>
      <c r="EW15" s="106"/>
      <c r="EX15" s="106"/>
      <c r="EY15" s="106"/>
      <c r="EZ15" s="106"/>
      <c r="FA15" s="106"/>
      <c r="FB15" s="106"/>
      <c r="FC15" s="106"/>
      <c r="FD15" s="106"/>
      <c r="FE15" s="106"/>
      <c r="FF15" s="106"/>
      <c r="FG15" s="106"/>
      <c r="FH15" s="106"/>
      <c r="FI15" s="106"/>
      <c r="FJ15" s="106"/>
      <c r="FK15" s="106"/>
      <c r="FL15" s="106"/>
      <c r="FM15" s="106"/>
      <c r="FN15" s="106"/>
      <c r="FO15" s="106"/>
      <c r="FP15" s="106"/>
      <c r="FQ15" s="106"/>
      <c r="FR15" s="106"/>
      <c r="FS15" s="106"/>
      <c r="FT15" s="106"/>
      <c r="FU15" s="106"/>
      <c r="FV15" s="106"/>
      <c r="FW15" s="106"/>
      <c r="FX15" s="106"/>
      <c r="FY15" s="106"/>
      <c r="FZ15" s="106"/>
      <c r="GA15" s="106"/>
      <c r="GB15" s="106"/>
      <c r="GC15" s="106"/>
      <c r="GD15" s="106"/>
      <c r="GE15" s="106"/>
      <c r="GF15" s="106"/>
      <c r="GG15" s="159"/>
    </row>
    <row r="16" spans="1:189" x14ac:dyDescent="0.2">
      <c r="B16" s="97">
        <v>40483</v>
      </c>
      <c r="C16" s="100">
        <v>70.5</v>
      </c>
      <c r="D16" s="101">
        <v>70.7</v>
      </c>
      <c r="E16" s="101">
        <v>70.7</v>
      </c>
      <c r="F16" s="99">
        <v>70.8</v>
      </c>
      <c r="G16" s="100"/>
      <c r="H16" s="100"/>
      <c r="I16" s="100"/>
      <c r="J16" s="100"/>
      <c r="K16" s="100"/>
      <c r="L16" s="100"/>
      <c r="M16" s="100"/>
      <c r="N16" s="100"/>
      <c r="O16" s="100"/>
      <c r="P16" s="100"/>
      <c r="Q16" s="100"/>
      <c r="R16" s="100"/>
      <c r="S16" s="100"/>
      <c r="T16" s="100"/>
      <c r="U16" s="100"/>
      <c r="V16" s="100"/>
      <c r="W16" s="100"/>
      <c r="X16" s="100"/>
      <c r="Y16" s="100"/>
      <c r="Z16" s="100"/>
      <c r="AA16" s="100"/>
      <c r="AB16" s="100"/>
      <c r="AC16" s="100"/>
      <c r="AD16" s="100"/>
      <c r="AE16" s="100"/>
      <c r="AF16" s="100"/>
      <c r="AG16" s="100"/>
      <c r="AH16" s="100"/>
      <c r="AI16" s="100"/>
      <c r="AJ16" s="100"/>
      <c r="AK16" s="100"/>
      <c r="AL16" s="100"/>
      <c r="AM16" s="100"/>
      <c r="AN16" s="100"/>
      <c r="AO16" s="100"/>
      <c r="AP16" s="100"/>
      <c r="AQ16" s="100"/>
      <c r="AR16" s="100"/>
      <c r="AS16" s="100"/>
      <c r="AT16" s="100"/>
      <c r="AU16" s="100"/>
      <c r="AV16" s="100"/>
      <c r="AW16" s="100"/>
      <c r="AX16" s="100"/>
      <c r="AY16" s="100"/>
      <c r="AZ16" s="100"/>
      <c r="BA16" s="100"/>
      <c r="BB16" s="100"/>
      <c r="BC16" s="100"/>
      <c r="BD16" s="100"/>
      <c r="BE16" s="100"/>
      <c r="BF16" s="100"/>
      <c r="BG16" s="100"/>
      <c r="BH16" s="100"/>
      <c r="BI16" s="100"/>
      <c r="BJ16" s="100"/>
      <c r="BK16" s="100"/>
      <c r="BL16" s="100"/>
      <c r="BM16" s="100"/>
      <c r="BN16" s="100"/>
      <c r="BO16" s="100"/>
      <c r="BP16" s="100"/>
      <c r="BQ16" s="100"/>
      <c r="BR16" s="100"/>
      <c r="BS16" s="100"/>
      <c r="BT16" s="100"/>
      <c r="BU16" s="100"/>
      <c r="BV16" s="100"/>
      <c r="BW16" s="100"/>
      <c r="BX16" s="100"/>
      <c r="BY16" s="100"/>
      <c r="BZ16" s="100"/>
      <c r="CA16" s="100"/>
      <c r="CB16" s="100"/>
      <c r="CC16" s="100"/>
      <c r="CD16" s="100"/>
      <c r="CE16" s="100"/>
      <c r="CF16" s="100"/>
      <c r="CG16" s="100"/>
      <c r="CH16" s="100"/>
      <c r="CI16" s="100"/>
      <c r="CJ16" s="100"/>
      <c r="CK16" s="100"/>
      <c r="CL16" s="100"/>
      <c r="CM16" s="100"/>
      <c r="CN16" s="100"/>
      <c r="CO16" s="100"/>
      <c r="CP16" s="100"/>
      <c r="CQ16" s="100"/>
      <c r="CR16" s="100"/>
      <c r="CS16" s="100"/>
      <c r="CT16" s="100"/>
      <c r="CU16" s="100"/>
      <c r="CV16" s="100"/>
      <c r="CW16" s="100"/>
      <c r="CX16" s="100"/>
      <c r="CY16" s="100"/>
      <c r="CZ16" s="100"/>
      <c r="DA16" s="100"/>
      <c r="DB16" s="100"/>
      <c r="DC16" s="100"/>
      <c r="DD16" s="100"/>
      <c r="DE16" s="100"/>
      <c r="DF16" s="100"/>
      <c r="DG16" s="100"/>
      <c r="DH16" s="100"/>
      <c r="DI16" s="100"/>
      <c r="DJ16" s="100"/>
      <c r="DK16" s="100"/>
      <c r="DL16" s="100"/>
      <c r="DM16" s="100"/>
      <c r="DN16" s="100"/>
      <c r="DO16" s="100"/>
      <c r="DP16" s="100"/>
      <c r="DQ16" s="100"/>
      <c r="DR16" s="100"/>
      <c r="DS16" s="100"/>
      <c r="DT16" s="100"/>
      <c r="DU16" s="100"/>
      <c r="DV16" s="100"/>
      <c r="DW16" s="100"/>
      <c r="DX16" s="100"/>
      <c r="DY16" s="100"/>
      <c r="DZ16" s="100"/>
      <c r="EA16" s="100"/>
      <c r="EB16" s="100"/>
      <c r="EC16" s="100"/>
      <c r="ED16" s="100"/>
      <c r="EE16" s="100"/>
      <c r="EF16" s="100"/>
      <c r="EG16" s="100"/>
      <c r="EH16" s="100"/>
      <c r="EI16" s="100"/>
      <c r="EJ16" s="100"/>
      <c r="EK16" s="100"/>
      <c r="EL16" s="100"/>
      <c r="EM16" s="100"/>
      <c r="EN16" s="100"/>
      <c r="EO16" s="100"/>
      <c r="EP16" s="100"/>
      <c r="EQ16" s="106"/>
      <c r="ER16" s="106"/>
      <c r="ES16" s="106"/>
      <c r="ET16" s="106"/>
      <c r="EU16" s="106"/>
      <c r="EV16" s="106"/>
      <c r="EW16" s="106"/>
      <c r="EX16" s="106"/>
      <c r="EY16" s="106"/>
      <c r="EZ16" s="106"/>
      <c r="FA16" s="106"/>
      <c r="FB16" s="106"/>
      <c r="FC16" s="106"/>
      <c r="FD16" s="106"/>
      <c r="FE16" s="106"/>
      <c r="FF16" s="106"/>
      <c r="FG16" s="106"/>
      <c r="FH16" s="106"/>
      <c r="FI16" s="106"/>
      <c r="FJ16" s="106"/>
      <c r="FK16" s="106"/>
      <c r="FL16" s="106"/>
      <c r="FM16" s="106"/>
      <c r="FN16" s="106"/>
      <c r="FO16" s="106"/>
      <c r="FP16" s="106"/>
      <c r="FQ16" s="106"/>
      <c r="FR16" s="106"/>
      <c r="FS16" s="106"/>
      <c r="FT16" s="106"/>
      <c r="FU16" s="106"/>
      <c r="FV16" s="106"/>
      <c r="FW16" s="106"/>
      <c r="FX16" s="106"/>
      <c r="FY16" s="106"/>
      <c r="FZ16" s="106"/>
      <c r="GA16" s="106"/>
      <c r="GB16" s="106"/>
      <c r="GC16" s="106"/>
      <c r="GD16" s="106"/>
      <c r="GE16" s="106"/>
      <c r="GF16" s="106"/>
      <c r="GG16" s="159"/>
    </row>
    <row r="17" spans="2:189" x14ac:dyDescent="0.2">
      <c r="B17" s="97">
        <v>40513</v>
      </c>
      <c r="C17" s="100">
        <v>70.5</v>
      </c>
      <c r="D17" s="101">
        <v>70.7</v>
      </c>
      <c r="E17" s="101">
        <v>70.7</v>
      </c>
      <c r="F17" s="101">
        <v>70.8</v>
      </c>
      <c r="G17" s="99">
        <v>70.599999999999994</v>
      </c>
      <c r="H17" s="100"/>
      <c r="I17" s="100"/>
      <c r="J17" s="100"/>
      <c r="K17" s="100"/>
      <c r="L17" s="100"/>
      <c r="M17" s="100"/>
      <c r="N17" s="100"/>
      <c r="O17" s="100"/>
      <c r="P17" s="100"/>
      <c r="Q17" s="100"/>
      <c r="R17" s="100"/>
      <c r="S17" s="100"/>
      <c r="T17" s="100"/>
      <c r="U17" s="100"/>
      <c r="V17" s="100"/>
      <c r="W17" s="100"/>
      <c r="X17" s="100"/>
      <c r="Y17" s="100"/>
      <c r="Z17" s="100"/>
      <c r="AA17" s="100"/>
      <c r="AB17" s="100"/>
      <c r="AC17" s="100"/>
      <c r="AD17" s="100"/>
      <c r="AE17" s="100"/>
      <c r="AF17" s="100"/>
      <c r="AG17" s="100"/>
      <c r="AH17" s="100"/>
      <c r="AI17" s="100"/>
      <c r="AJ17" s="100"/>
      <c r="AK17" s="100"/>
      <c r="AL17" s="100"/>
      <c r="AM17" s="100"/>
      <c r="AN17" s="100"/>
      <c r="AO17" s="100"/>
      <c r="AP17" s="100"/>
      <c r="AQ17" s="100"/>
      <c r="AR17" s="100"/>
      <c r="AS17" s="100"/>
      <c r="AT17" s="100"/>
      <c r="AU17" s="100"/>
      <c r="AV17" s="100"/>
      <c r="AW17" s="100"/>
      <c r="AX17" s="100"/>
      <c r="AY17" s="100"/>
      <c r="AZ17" s="100"/>
      <c r="BA17" s="100"/>
      <c r="BB17" s="100"/>
      <c r="BC17" s="100"/>
      <c r="BD17" s="100"/>
      <c r="BE17" s="100"/>
      <c r="BF17" s="100"/>
      <c r="BG17" s="100"/>
      <c r="BH17" s="100"/>
      <c r="BI17" s="100"/>
      <c r="BJ17" s="100"/>
      <c r="BK17" s="100"/>
      <c r="BL17" s="100"/>
      <c r="BM17" s="100"/>
      <c r="BN17" s="100"/>
      <c r="BO17" s="100"/>
      <c r="BP17" s="100"/>
      <c r="BQ17" s="100"/>
      <c r="BR17" s="100"/>
      <c r="BS17" s="100"/>
      <c r="BT17" s="100"/>
      <c r="BU17" s="100"/>
      <c r="BV17" s="100"/>
      <c r="BW17" s="100"/>
      <c r="BX17" s="100"/>
      <c r="BY17" s="100"/>
      <c r="BZ17" s="100"/>
      <c r="CA17" s="100"/>
      <c r="CB17" s="100"/>
      <c r="CC17" s="100"/>
      <c r="CD17" s="100"/>
      <c r="CE17" s="100"/>
      <c r="CF17" s="100"/>
      <c r="CG17" s="100"/>
      <c r="CH17" s="100"/>
      <c r="CI17" s="100"/>
      <c r="CJ17" s="100"/>
      <c r="CK17" s="100"/>
      <c r="CL17" s="100"/>
      <c r="CM17" s="100"/>
      <c r="CN17" s="100"/>
      <c r="CO17" s="100"/>
      <c r="CP17" s="100"/>
      <c r="CQ17" s="100"/>
      <c r="CR17" s="100"/>
      <c r="CS17" s="100"/>
      <c r="CT17" s="100"/>
      <c r="CU17" s="100"/>
      <c r="CV17" s="100"/>
      <c r="CW17" s="100"/>
      <c r="CX17" s="100"/>
      <c r="CY17" s="100"/>
      <c r="CZ17" s="100"/>
      <c r="DA17" s="100"/>
      <c r="DB17" s="100"/>
      <c r="DC17" s="100"/>
      <c r="DD17" s="100"/>
      <c r="DE17" s="100"/>
      <c r="DF17" s="100"/>
      <c r="DG17" s="100"/>
      <c r="DH17" s="100"/>
      <c r="DI17" s="100"/>
      <c r="DJ17" s="100"/>
      <c r="DK17" s="100"/>
      <c r="DL17" s="100"/>
      <c r="DM17" s="100"/>
      <c r="DN17" s="100"/>
      <c r="DO17" s="100"/>
      <c r="DP17" s="100"/>
      <c r="DQ17" s="100"/>
      <c r="DR17" s="100"/>
      <c r="DS17" s="100"/>
      <c r="DT17" s="100"/>
      <c r="DU17" s="100"/>
      <c r="DV17" s="100"/>
      <c r="DW17" s="100"/>
      <c r="DX17" s="100"/>
      <c r="DY17" s="100"/>
      <c r="DZ17" s="100"/>
      <c r="EA17" s="100"/>
      <c r="EB17" s="100"/>
      <c r="EC17" s="100"/>
      <c r="ED17" s="100"/>
      <c r="EE17" s="100"/>
      <c r="EF17" s="100"/>
      <c r="EG17" s="100"/>
      <c r="EH17" s="100"/>
      <c r="EI17" s="100"/>
      <c r="EJ17" s="100"/>
      <c r="EK17" s="100"/>
      <c r="EL17" s="100"/>
      <c r="EM17" s="100"/>
      <c r="EN17" s="100"/>
      <c r="EO17" s="100"/>
      <c r="EP17" s="100"/>
      <c r="EQ17" s="106"/>
      <c r="ER17" s="106"/>
      <c r="ES17" s="106"/>
      <c r="ET17" s="106"/>
      <c r="EU17" s="106"/>
      <c r="EV17" s="106"/>
      <c r="EW17" s="106"/>
      <c r="EX17" s="106"/>
      <c r="EY17" s="106"/>
      <c r="EZ17" s="106"/>
      <c r="FA17" s="106"/>
      <c r="FB17" s="106"/>
      <c r="FC17" s="106"/>
      <c r="FD17" s="106"/>
      <c r="FE17" s="106"/>
      <c r="FF17" s="106"/>
      <c r="FG17" s="106"/>
      <c r="FH17" s="106"/>
      <c r="FI17" s="106"/>
      <c r="FJ17" s="106"/>
      <c r="FK17" s="106"/>
      <c r="FL17" s="106"/>
      <c r="FM17" s="106"/>
      <c r="FN17" s="106"/>
      <c r="FO17" s="106"/>
      <c r="FP17" s="106"/>
      <c r="FQ17" s="106"/>
      <c r="FR17" s="106"/>
      <c r="FS17" s="106"/>
      <c r="FT17" s="106"/>
      <c r="FU17" s="106"/>
      <c r="FV17" s="106"/>
      <c r="FW17" s="106"/>
      <c r="FX17" s="106"/>
      <c r="FY17" s="106"/>
      <c r="FZ17" s="106"/>
      <c r="GA17" s="106"/>
      <c r="GB17" s="106"/>
      <c r="GC17" s="106"/>
      <c r="GD17" s="106"/>
      <c r="GE17" s="106"/>
      <c r="GF17" s="106"/>
      <c r="GG17" s="159"/>
    </row>
    <row r="18" spans="2:189" x14ac:dyDescent="0.2">
      <c r="B18" s="97">
        <v>40544</v>
      </c>
      <c r="C18" s="100">
        <v>70.5</v>
      </c>
      <c r="D18" s="101">
        <v>70.7</v>
      </c>
      <c r="E18" s="101">
        <v>70.7</v>
      </c>
      <c r="F18" s="101">
        <v>70.8</v>
      </c>
      <c r="G18" s="100">
        <v>70.599999999999994</v>
      </c>
      <c r="H18" s="99">
        <v>70.400000000000006</v>
      </c>
      <c r="I18" s="100"/>
      <c r="J18" s="100"/>
      <c r="K18" s="100"/>
      <c r="L18" s="100"/>
      <c r="M18" s="100"/>
      <c r="N18" s="100"/>
      <c r="O18" s="100"/>
      <c r="P18" s="100"/>
      <c r="Q18" s="100"/>
      <c r="R18" s="100"/>
      <c r="S18" s="100"/>
      <c r="T18" s="100"/>
      <c r="U18" s="100"/>
      <c r="V18" s="100"/>
      <c r="W18" s="100"/>
      <c r="X18" s="100"/>
      <c r="Y18" s="100"/>
      <c r="Z18" s="100"/>
      <c r="AA18" s="100"/>
      <c r="AB18" s="100"/>
      <c r="AC18" s="100"/>
      <c r="AD18" s="100"/>
      <c r="AE18" s="100"/>
      <c r="AF18" s="100"/>
      <c r="AG18" s="100"/>
      <c r="AH18" s="100"/>
      <c r="AI18" s="100"/>
      <c r="AJ18" s="100"/>
      <c r="AK18" s="100"/>
      <c r="AL18" s="100"/>
      <c r="AM18" s="100"/>
      <c r="AN18" s="100"/>
      <c r="AO18" s="100"/>
      <c r="AP18" s="100"/>
      <c r="AQ18" s="100"/>
      <c r="AR18" s="100"/>
      <c r="AS18" s="100"/>
      <c r="AT18" s="100"/>
      <c r="AU18" s="100"/>
      <c r="AV18" s="100"/>
      <c r="AW18" s="100"/>
      <c r="AX18" s="100"/>
      <c r="AY18" s="100"/>
      <c r="AZ18" s="100"/>
      <c r="BA18" s="100"/>
      <c r="BB18" s="100"/>
      <c r="BC18" s="100"/>
      <c r="BD18" s="100"/>
      <c r="BE18" s="100"/>
      <c r="BF18" s="100"/>
      <c r="BG18" s="100"/>
      <c r="BH18" s="100"/>
      <c r="BI18" s="100"/>
      <c r="BJ18" s="100"/>
      <c r="BK18" s="100"/>
      <c r="BL18" s="100"/>
      <c r="BM18" s="100"/>
      <c r="BN18" s="100"/>
      <c r="BO18" s="100"/>
      <c r="BP18" s="100"/>
      <c r="BQ18" s="100"/>
      <c r="BR18" s="100"/>
      <c r="BS18" s="100"/>
      <c r="BT18" s="100"/>
      <c r="BU18" s="100"/>
      <c r="BV18" s="100"/>
      <c r="BW18" s="100"/>
      <c r="BX18" s="100"/>
      <c r="BY18" s="100"/>
      <c r="BZ18" s="100"/>
      <c r="CA18" s="100"/>
      <c r="CB18" s="100"/>
      <c r="CC18" s="100"/>
      <c r="CD18" s="100"/>
      <c r="CE18" s="100"/>
      <c r="CF18" s="100"/>
      <c r="CG18" s="100"/>
      <c r="CH18" s="100"/>
      <c r="CI18" s="100"/>
      <c r="CJ18" s="100"/>
      <c r="CK18" s="100"/>
      <c r="CL18" s="100"/>
      <c r="CM18" s="100"/>
      <c r="CN18" s="100"/>
      <c r="CO18" s="100"/>
      <c r="CP18" s="100"/>
      <c r="CQ18" s="100"/>
      <c r="CR18" s="100"/>
      <c r="CS18" s="100"/>
      <c r="CT18" s="100"/>
      <c r="CU18" s="100"/>
      <c r="CV18" s="100"/>
      <c r="CW18" s="100"/>
      <c r="CX18" s="100"/>
      <c r="CY18" s="100"/>
      <c r="CZ18" s="100"/>
      <c r="DA18" s="100"/>
      <c r="DB18" s="100"/>
      <c r="DC18" s="100"/>
      <c r="DD18" s="100"/>
      <c r="DE18" s="100"/>
      <c r="DF18" s="100"/>
      <c r="DG18" s="100"/>
      <c r="DH18" s="100"/>
      <c r="DI18" s="100"/>
      <c r="DJ18" s="100"/>
      <c r="DK18" s="100"/>
      <c r="DL18" s="100"/>
      <c r="DM18" s="100"/>
      <c r="DN18" s="100"/>
      <c r="DO18" s="100"/>
      <c r="DP18" s="100"/>
      <c r="DQ18" s="100"/>
      <c r="DR18" s="100"/>
      <c r="DS18" s="100"/>
      <c r="DT18" s="100"/>
      <c r="DU18" s="100"/>
      <c r="DV18" s="100"/>
      <c r="DW18" s="100"/>
      <c r="DX18" s="100"/>
      <c r="DY18" s="100"/>
      <c r="DZ18" s="100"/>
      <c r="EA18" s="100"/>
      <c r="EB18" s="100"/>
      <c r="EC18" s="100"/>
      <c r="ED18" s="100"/>
      <c r="EE18" s="100"/>
      <c r="EF18" s="100"/>
      <c r="EG18" s="100"/>
      <c r="EH18" s="100"/>
      <c r="EI18" s="100"/>
      <c r="EJ18" s="100"/>
      <c r="EK18" s="100"/>
      <c r="EL18" s="100"/>
      <c r="EM18" s="100"/>
      <c r="EN18" s="100"/>
      <c r="EO18" s="100"/>
      <c r="EP18" s="100"/>
      <c r="EQ18" s="106"/>
      <c r="ER18" s="106"/>
      <c r="ES18" s="106"/>
      <c r="ET18" s="106"/>
      <c r="EU18" s="106"/>
      <c r="EV18" s="106"/>
      <c r="EW18" s="106"/>
      <c r="EX18" s="106"/>
      <c r="EY18" s="106"/>
      <c r="EZ18" s="106"/>
      <c r="FA18" s="106"/>
      <c r="FB18" s="106"/>
      <c r="FC18" s="106"/>
      <c r="FD18" s="106"/>
      <c r="FE18" s="106"/>
      <c r="FF18" s="106"/>
      <c r="FG18" s="106"/>
      <c r="FH18" s="106"/>
      <c r="FI18" s="106"/>
      <c r="FJ18" s="106"/>
      <c r="FK18" s="106"/>
      <c r="FL18" s="106"/>
      <c r="FM18" s="106"/>
      <c r="FN18" s="106"/>
      <c r="FO18" s="106"/>
      <c r="FP18" s="106"/>
      <c r="FQ18" s="106"/>
      <c r="FR18" s="106"/>
      <c r="FS18" s="106"/>
      <c r="FT18" s="106"/>
      <c r="FU18" s="106"/>
      <c r="FV18" s="106"/>
      <c r="FW18" s="106"/>
      <c r="FX18" s="106"/>
      <c r="FY18" s="106"/>
      <c r="FZ18" s="106"/>
      <c r="GA18" s="106"/>
      <c r="GB18" s="106"/>
      <c r="GC18" s="106"/>
      <c r="GD18" s="106"/>
      <c r="GE18" s="106"/>
      <c r="GF18" s="106"/>
      <c r="GG18" s="159"/>
    </row>
    <row r="19" spans="2:189" x14ac:dyDescent="0.2">
      <c r="B19" s="97">
        <v>40575</v>
      </c>
      <c r="C19" s="100">
        <v>70.5</v>
      </c>
      <c r="D19" s="101">
        <v>70.7</v>
      </c>
      <c r="E19" s="101">
        <v>70.7</v>
      </c>
      <c r="F19" s="101">
        <v>70.8</v>
      </c>
      <c r="G19" s="100">
        <v>70.599999999999994</v>
      </c>
      <c r="H19" s="100">
        <v>70.400000000000006</v>
      </c>
      <c r="I19" s="102">
        <v>70.5</v>
      </c>
      <c r="J19" s="100"/>
      <c r="K19" s="100"/>
      <c r="L19" s="100"/>
      <c r="M19" s="100"/>
      <c r="N19" s="100"/>
      <c r="O19" s="100"/>
      <c r="P19" s="100"/>
      <c r="Q19" s="100"/>
      <c r="R19" s="100"/>
      <c r="S19" s="100"/>
      <c r="T19" s="100"/>
      <c r="U19" s="100"/>
      <c r="V19" s="100"/>
      <c r="W19" s="100"/>
      <c r="X19" s="100"/>
      <c r="Y19" s="100"/>
      <c r="Z19" s="100"/>
      <c r="AA19" s="100"/>
      <c r="AB19" s="100"/>
      <c r="AC19" s="100"/>
      <c r="AD19" s="100"/>
      <c r="AE19" s="100"/>
      <c r="AF19" s="100"/>
      <c r="AG19" s="100"/>
      <c r="AH19" s="100"/>
      <c r="AI19" s="100"/>
      <c r="AJ19" s="100"/>
      <c r="AK19" s="100"/>
      <c r="AL19" s="100"/>
      <c r="AM19" s="100"/>
      <c r="AN19" s="100"/>
      <c r="AO19" s="100"/>
      <c r="AP19" s="100"/>
      <c r="AQ19" s="100"/>
      <c r="AR19" s="100"/>
      <c r="AS19" s="100"/>
      <c r="AT19" s="100"/>
      <c r="AU19" s="100"/>
      <c r="AV19" s="100"/>
      <c r="AW19" s="100"/>
      <c r="AX19" s="100"/>
      <c r="AY19" s="100"/>
      <c r="AZ19" s="100"/>
      <c r="BA19" s="100"/>
      <c r="BB19" s="100"/>
      <c r="BC19" s="100"/>
      <c r="BD19" s="100"/>
      <c r="BE19" s="100"/>
      <c r="BF19" s="100"/>
      <c r="BG19" s="100"/>
      <c r="BH19" s="100"/>
      <c r="BI19" s="100"/>
      <c r="BJ19" s="100"/>
      <c r="BK19" s="100"/>
      <c r="BL19" s="100"/>
      <c r="BM19" s="100"/>
      <c r="BN19" s="100"/>
      <c r="BO19" s="100"/>
      <c r="BP19" s="100"/>
      <c r="BQ19" s="100"/>
      <c r="BR19" s="100"/>
      <c r="BS19" s="100"/>
      <c r="BT19" s="100"/>
      <c r="BU19" s="100"/>
      <c r="BV19" s="100"/>
      <c r="BW19" s="100"/>
      <c r="BX19" s="100"/>
      <c r="BY19" s="100"/>
      <c r="BZ19" s="100"/>
      <c r="CA19" s="100"/>
      <c r="CB19" s="100"/>
      <c r="CC19" s="100"/>
      <c r="CD19" s="100"/>
      <c r="CE19" s="100"/>
      <c r="CF19" s="100"/>
      <c r="CG19" s="100"/>
      <c r="CH19" s="100"/>
      <c r="CI19" s="100"/>
      <c r="CJ19" s="100"/>
      <c r="CK19" s="100"/>
      <c r="CL19" s="100"/>
      <c r="CM19" s="100"/>
      <c r="CN19" s="100"/>
      <c r="CO19" s="100"/>
      <c r="CP19" s="100"/>
      <c r="CQ19" s="100"/>
      <c r="CR19" s="100"/>
      <c r="CS19" s="100"/>
      <c r="CT19" s="100"/>
      <c r="CU19" s="100"/>
      <c r="CV19" s="100"/>
      <c r="CW19" s="100"/>
      <c r="CX19" s="100"/>
      <c r="CY19" s="100"/>
      <c r="CZ19" s="100"/>
      <c r="DA19" s="100"/>
      <c r="DB19" s="100"/>
      <c r="DC19" s="100"/>
      <c r="DD19" s="100"/>
      <c r="DE19" s="100"/>
      <c r="DF19" s="100"/>
      <c r="DG19" s="100"/>
      <c r="DH19" s="100"/>
      <c r="DI19" s="100"/>
      <c r="DJ19" s="100"/>
      <c r="DK19" s="100"/>
      <c r="DL19" s="100"/>
      <c r="DM19" s="100"/>
      <c r="DN19" s="100"/>
      <c r="DO19" s="100"/>
      <c r="DP19" s="100"/>
      <c r="DQ19" s="100"/>
      <c r="DR19" s="100"/>
      <c r="DS19" s="100"/>
      <c r="DT19" s="100"/>
      <c r="DU19" s="100"/>
      <c r="DV19" s="100"/>
      <c r="DW19" s="100"/>
      <c r="DX19" s="100"/>
      <c r="DY19" s="100"/>
      <c r="DZ19" s="100"/>
      <c r="EA19" s="100"/>
      <c r="EB19" s="100"/>
      <c r="EC19" s="100"/>
      <c r="ED19" s="100"/>
      <c r="EE19" s="100"/>
      <c r="EF19" s="100"/>
      <c r="EG19" s="100"/>
      <c r="EH19" s="100"/>
      <c r="EI19" s="100"/>
      <c r="EJ19" s="100"/>
      <c r="EK19" s="100"/>
      <c r="EL19" s="100"/>
      <c r="EM19" s="100"/>
      <c r="EN19" s="100"/>
      <c r="EO19" s="100"/>
      <c r="EP19" s="100"/>
      <c r="EQ19" s="106"/>
      <c r="ER19" s="106"/>
      <c r="ES19" s="106"/>
      <c r="ET19" s="106"/>
      <c r="EU19" s="106"/>
      <c r="EV19" s="106"/>
      <c r="EW19" s="106"/>
      <c r="EX19" s="106"/>
      <c r="EY19" s="106"/>
      <c r="EZ19" s="106"/>
      <c r="FA19" s="106"/>
      <c r="FB19" s="106"/>
      <c r="FC19" s="106"/>
      <c r="FD19" s="106"/>
      <c r="FE19" s="106"/>
      <c r="FF19" s="106"/>
      <c r="FG19" s="106"/>
      <c r="FH19" s="106"/>
      <c r="FI19" s="106"/>
      <c r="FJ19" s="106"/>
      <c r="FK19" s="106"/>
      <c r="FL19" s="106"/>
      <c r="FM19" s="106"/>
      <c r="FN19" s="106"/>
      <c r="FO19" s="106"/>
      <c r="FP19" s="106"/>
      <c r="FQ19" s="106"/>
      <c r="FR19" s="106"/>
      <c r="FS19" s="106"/>
      <c r="FT19" s="106"/>
      <c r="FU19" s="106"/>
      <c r="FV19" s="106"/>
      <c r="FW19" s="106"/>
      <c r="FX19" s="106"/>
      <c r="FY19" s="106"/>
      <c r="FZ19" s="106"/>
      <c r="GA19" s="106"/>
      <c r="GB19" s="106"/>
      <c r="GC19" s="106"/>
      <c r="GD19" s="106"/>
      <c r="GE19" s="106"/>
      <c r="GF19" s="106"/>
      <c r="GG19" s="159"/>
    </row>
    <row r="20" spans="2:189" x14ac:dyDescent="0.2">
      <c r="B20" s="97">
        <v>40603</v>
      </c>
      <c r="C20" s="100">
        <v>70.5</v>
      </c>
      <c r="D20" s="101">
        <v>70.7</v>
      </c>
      <c r="E20" s="101">
        <v>70.7</v>
      </c>
      <c r="F20" s="101">
        <v>70.8</v>
      </c>
      <c r="G20" s="100">
        <v>70.599999999999994</v>
      </c>
      <c r="H20" s="100">
        <v>70.400000000000006</v>
      </c>
      <c r="I20" s="100">
        <v>70.5</v>
      </c>
      <c r="J20" s="102">
        <v>70.5</v>
      </c>
      <c r="K20" s="100"/>
      <c r="L20" s="100"/>
      <c r="M20" s="100"/>
      <c r="N20" s="100"/>
      <c r="O20" s="100"/>
      <c r="P20" s="100"/>
      <c r="Q20" s="100"/>
      <c r="R20" s="100"/>
      <c r="S20" s="100"/>
      <c r="T20" s="100"/>
      <c r="U20" s="100"/>
      <c r="V20" s="100"/>
      <c r="W20" s="100"/>
      <c r="X20" s="100"/>
      <c r="Y20" s="100"/>
      <c r="Z20" s="100"/>
      <c r="AA20" s="100"/>
      <c r="AB20" s="100"/>
      <c r="AC20" s="100"/>
      <c r="AD20" s="100"/>
      <c r="AE20" s="100"/>
      <c r="AF20" s="100"/>
      <c r="AG20" s="100"/>
      <c r="AH20" s="100"/>
      <c r="AI20" s="100"/>
      <c r="AJ20" s="100"/>
      <c r="AK20" s="100"/>
      <c r="AL20" s="100"/>
      <c r="AM20" s="100"/>
      <c r="AN20" s="100"/>
      <c r="AO20" s="100"/>
      <c r="AP20" s="100"/>
      <c r="AQ20" s="100"/>
      <c r="AR20" s="100"/>
      <c r="AS20" s="100"/>
      <c r="AT20" s="100"/>
      <c r="AU20" s="100"/>
      <c r="AV20" s="100"/>
      <c r="AW20" s="100"/>
      <c r="AX20" s="100"/>
      <c r="AY20" s="100"/>
      <c r="AZ20" s="100"/>
      <c r="BA20" s="100"/>
      <c r="BB20" s="100"/>
      <c r="BC20" s="100"/>
      <c r="BD20" s="100"/>
      <c r="BE20" s="100"/>
      <c r="BF20" s="100"/>
      <c r="BG20" s="100"/>
      <c r="BH20" s="100"/>
      <c r="BI20" s="100"/>
      <c r="BJ20" s="100"/>
      <c r="BK20" s="100"/>
      <c r="BL20" s="100"/>
      <c r="BM20" s="100"/>
      <c r="BN20" s="100"/>
      <c r="BO20" s="100"/>
      <c r="BP20" s="100"/>
      <c r="BQ20" s="100"/>
      <c r="BR20" s="100"/>
      <c r="BS20" s="100"/>
      <c r="BT20" s="100"/>
      <c r="BU20" s="100"/>
      <c r="BV20" s="100"/>
      <c r="BW20" s="100"/>
      <c r="BX20" s="100"/>
      <c r="BY20" s="100"/>
      <c r="BZ20" s="100"/>
      <c r="CA20" s="100"/>
      <c r="CB20" s="100"/>
      <c r="CC20" s="100"/>
      <c r="CD20" s="100"/>
      <c r="CE20" s="100"/>
      <c r="CF20" s="100"/>
      <c r="CG20" s="100"/>
      <c r="CH20" s="100"/>
      <c r="CI20" s="100"/>
      <c r="CJ20" s="100"/>
      <c r="CK20" s="100"/>
      <c r="CL20" s="100"/>
      <c r="CM20" s="100"/>
      <c r="CN20" s="100"/>
      <c r="CO20" s="100"/>
      <c r="CP20" s="100"/>
      <c r="CQ20" s="100"/>
      <c r="CR20" s="100"/>
      <c r="CS20" s="100"/>
      <c r="CT20" s="100"/>
      <c r="CU20" s="100"/>
      <c r="CV20" s="100"/>
      <c r="CW20" s="100"/>
      <c r="CX20" s="100"/>
      <c r="CY20" s="100"/>
      <c r="CZ20" s="100"/>
      <c r="DA20" s="100"/>
      <c r="DB20" s="100"/>
      <c r="DC20" s="100"/>
      <c r="DD20" s="100"/>
      <c r="DE20" s="100"/>
      <c r="DF20" s="100"/>
      <c r="DG20" s="100"/>
      <c r="DH20" s="100"/>
      <c r="DI20" s="100"/>
      <c r="DJ20" s="100"/>
      <c r="DK20" s="100"/>
      <c r="DL20" s="100"/>
      <c r="DM20" s="100"/>
      <c r="DN20" s="100"/>
      <c r="DO20" s="100"/>
      <c r="DP20" s="100"/>
      <c r="DQ20" s="100"/>
      <c r="DR20" s="100"/>
      <c r="DS20" s="100"/>
      <c r="DT20" s="100"/>
      <c r="DU20" s="100"/>
      <c r="DV20" s="100"/>
      <c r="DW20" s="100"/>
      <c r="DX20" s="100"/>
      <c r="DY20" s="100"/>
      <c r="DZ20" s="100"/>
      <c r="EA20" s="100"/>
      <c r="EB20" s="100"/>
      <c r="EC20" s="100"/>
      <c r="ED20" s="100"/>
      <c r="EE20" s="100"/>
      <c r="EF20" s="100"/>
      <c r="EG20" s="100"/>
      <c r="EH20" s="100"/>
      <c r="EI20" s="100"/>
      <c r="EJ20" s="100"/>
      <c r="EK20" s="100"/>
      <c r="EL20" s="100"/>
      <c r="EM20" s="100"/>
      <c r="EN20" s="100"/>
      <c r="EO20" s="100"/>
      <c r="EP20" s="100"/>
      <c r="EQ20" s="106"/>
      <c r="ER20" s="106"/>
      <c r="ES20" s="106"/>
      <c r="ET20" s="106"/>
      <c r="EU20" s="106"/>
      <c r="EV20" s="106"/>
      <c r="EW20" s="106"/>
      <c r="EX20" s="106"/>
      <c r="EY20" s="106"/>
      <c r="EZ20" s="106"/>
      <c r="FA20" s="106"/>
      <c r="FB20" s="106"/>
      <c r="FC20" s="106"/>
      <c r="FD20" s="106"/>
      <c r="FE20" s="106"/>
      <c r="FF20" s="106"/>
      <c r="FG20" s="106"/>
      <c r="FH20" s="106"/>
      <c r="FI20" s="106"/>
      <c r="FJ20" s="106"/>
      <c r="FK20" s="106"/>
      <c r="FL20" s="106"/>
      <c r="FM20" s="106"/>
      <c r="FN20" s="106"/>
      <c r="FO20" s="106"/>
      <c r="FP20" s="106"/>
      <c r="FQ20" s="106"/>
      <c r="FR20" s="106"/>
      <c r="FS20" s="106"/>
      <c r="FT20" s="106"/>
      <c r="FU20" s="106"/>
      <c r="FV20" s="106"/>
      <c r="FW20" s="106"/>
      <c r="FX20" s="106"/>
      <c r="FY20" s="106"/>
      <c r="FZ20" s="106"/>
      <c r="GA20" s="106"/>
      <c r="GB20" s="106"/>
      <c r="GC20" s="106"/>
      <c r="GD20" s="106"/>
      <c r="GE20" s="106"/>
      <c r="GF20" s="106"/>
      <c r="GG20" s="159"/>
    </row>
    <row r="21" spans="2:189" x14ac:dyDescent="0.2">
      <c r="B21" s="97">
        <v>40634</v>
      </c>
      <c r="C21" s="100">
        <v>70.5</v>
      </c>
      <c r="D21" s="101">
        <v>70.7</v>
      </c>
      <c r="E21" s="101">
        <v>70.7</v>
      </c>
      <c r="F21" s="101">
        <v>70.8</v>
      </c>
      <c r="G21" s="100">
        <v>70.599999999999994</v>
      </c>
      <c r="H21" s="100">
        <v>70.400000000000006</v>
      </c>
      <c r="I21" s="100">
        <v>70.5</v>
      </c>
      <c r="J21" s="100">
        <v>70.5</v>
      </c>
      <c r="K21" s="102">
        <v>70.7</v>
      </c>
      <c r="L21" s="100"/>
      <c r="M21" s="100"/>
      <c r="N21" s="100"/>
      <c r="O21" s="100"/>
      <c r="P21" s="100"/>
      <c r="Q21" s="100"/>
      <c r="R21" s="100"/>
      <c r="S21" s="100"/>
      <c r="T21" s="100"/>
      <c r="U21" s="100"/>
      <c r="V21" s="100"/>
      <c r="W21" s="100"/>
      <c r="X21" s="100"/>
      <c r="Y21" s="100"/>
      <c r="Z21" s="100"/>
      <c r="AA21" s="100"/>
      <c r="AB21" s="100"/>
      <c r="AC21" s="100"/>
      <c r="AD21" s="100"/>
      <c r="AE21" s="100"/>
      <c r="AF21" s="100"/>
      <c r="AG21" s="100"/>
      <c r="AH21" s="100"/>
      <c r="AI21" s="100"/>
      <c r="AJ21" s="100"/>
      <c r="AK21" s="100"/>
      <c r="AL21" s="100"/>
      <c r="AM21" s="100"/>
      <c r="AN21" s="100"/>
      <c r="AO21" s="100"/>
      <c r="AP21" s="100"/>
      <c r="AQ21" s="100"/>
      <c r="AR21" s="100"/>
      <c r="AS21" s="100"/>
      <c r="AT21" s="100"/>
      <c r="AU21" s="100"/>
      <c r="AV21" s="100"/>
      <c r="AW21" s="100"/>
      <c r="AX21" s="100"/>
      <c r="AY21" s="100"/>
      <c r="AZ21" s="100"/>
      <c r="BA21" s="100"/>
      <c r="BB21" s="100"/>
      <c r="BC21" s="100"/>
      <c r="BD21" s="100"/>
      <c r="BE21" s="100"/>
      <c r="BF21" s="100"/>
      <c r="BG21" s="100"/>
      <c r="BH21" s="100"/>
      <c r="BI21" s="100"/>
      <c r="BJ21" s="100"/>
      <c r="BK21" s="100"/>
      <c r="BL21" s="100"/>
      <c r="BM21" s="100"/>
      <c r="BN21" s="100"/>
      <c r="BO21" s="100"/>
      <c r="BP21" s="100"/>
      <c r="BQ21" s="100"/>
      <c r="BR21" s="100"/>
      <c r="BS21" s="100"/>
      <c r="BT21" s="100"/>
      <c r="BU21" s="100"/>
      <c r="BV21" s="100"/>
      <c r="BW21" s="100"/>
      <c r="BX21" s="100"/>
      <c r="BY21" s="100"/>
      <c r="BZ21" s="100"/>
      <c r="CA21" s="100"/>
      <c r="CB21" s="100"/>
      <c r="CC21" s="100"/>
      <c r="CD21" s="100"/>
      <c r="CE21" s="100"/>
      <c r="CF21" s="100"/>
      <c r="CG21" s="100"/>
      <c r="CH21" s="100"/>
      <c r="CI21" s="100"/>
      <c r="CJ21" s="100"/>
      <c r="CK21" s="100"/>
      <c r="CL21" s="100"/>
      <c r="CM21" s="100"/>
      <c r="CN21" s="100"/>
      <c r="CO21" s="100"/>
      <c r="CP21" s="100"/>
      <c r="CQ21" s="100"/>
      <c r="CR21" s="100"/>
      <c r="CS21" s="100"/>
      <c r="CT21" s="100"/>
      <c r="CU21" s="100"/>
      <c r="CV21" s="100"/>
      <c r="CW21" s="100"/>
      <c r="CX21" s="100"/>
      <c r="CY21" s="100"/>
      <c r="CZ21" s="100"/>
      <c r="DA21" s="100"/>
      <c r="DB21" s="100"/>
      <c r="DC21" s="100"/>
      <c r="DD21" s="100"/>
      <c r="DE21" s="100"/>
      <c r="DF21" s="100"/>
      <c r="DG21" s="100"/>
      <c r="DH21" s="100"/>
      <c r="DI21" s="100"/>
      <c r="DJ21" s="100"/>
      <c r="DK21" s="100"/>
      <c r="DL21" s="100"/>
      <c r="DM21" s="100"/>
      <c r="DN21" s="100"/>
      <c r="DO21" s="100"/>
      <c r="DP21" s="100"/>
      <c r="DQ21" s="100"/>
      <c r="DR21" s="100"/>
      <c r="DS21" s="100"/>
      <c r="DT21" s="100"/>
      <c r="DU21" s="100"/>
      <c r="DV21" s="100"/>
      <c r="DW21" s="100"/>
      <c r="DX21" s="100"/>
      <c r="DY21" s="100"/>
      <c r="DZ21" s="100"/>
      <c r="EA21" s="100"/>
      <c r="EB21" s="100"/>
      <c r="EC21" s="100"/>
      <c r="ED21" s="100"/>
      <c r="EE21" s="100"/>
      <c r="EF21" s="100"/>
      <c r="EG21" s="100"/>
      <c r="EH21" s="100"/>
      <c r="EI21" s="100"/>
      <c r="EJ21" s="100"/>
      <c r="EK21" s="100"/>
      <c r="EL21" s="100"/>
      <c r="EM21" s="100"/>
      <c r="EN21" s="100"/>
      <c r="EO21" s="100"/>
      <c r="EP21" s="100"/>
      <c r="EQ21" s="106"/>
      <c r="ER21" s="106"/>
      <c r="ES21" s="106"/>
      <c r="ET21" s="106"/>
      <c r="EU21" s="106"/>
      <c r="EV21" s="106"/>
      <c r="EW21" s="106"/>
      <c r="EX21" s="106"/>
      <c r="EY21" s="106"/>
      <c r="EZ21" s="106"/>
      <c r="FA21" s="106"/>
      <c r="FB21" s="106"/>
      <c r="FC21" s="106"/>
      <c r="FD21" s="106"/>
      <c r="FE21" s="106"/>
      <c r="FF21" s="106"/>
      <c r="FG21" s="106"/>
      <c r="FH21" s="106"/>
      <c r="FI21" s="106"/>
      <c r="FJ21" s="106"/>
      <c r="FK21" s="106"/>
      <c r="FL21" s="106"/>
      <c r="FM21" s="106"/>
      <c r="FN21" s="106"/>
      <c r="FO21" s="106"/>
      <c r="FP21" s="106"/>
      <c r="FQ21" s="106"/>
      <c r="FR21" s="106"/>
      <c r="FS21" s="106"/>
      <c r="FT21" s="106"/>
      <c r="FU21" s="106"/>
      <c r="FV21" s="106"/>
      <c r="FW21" s="106"/>
      <c r="FX21" s="106"/>
      <c r="FY21" s="106"/>
      <c r="FZ21" s="106"/>
      <c r="GA21" s="106"/>
      <c r="GB21" s="106"/>
      <c r="GC21" s="106"/>
      <c r="GD21" s="106"/>
      <c r="GE21" s="106"/>
      <c r="GF21" s="106"/>
      <c r="GG21" s="159"/>
    </row>
    <row r="22" spans="2:189" x14ac:dyDescent="0.2">
      <c r="B22" s="97">
        <v>40664</v>
      </c>
      <c r="C22" s="100">
        <v>70.5</v>
      </c>
      <c r="D22" s="101">
        <v>70.7</v>
      </c>
      <c r="E22" s="101">
        <v>70.7</v>
      </c>
      <c r="F22" s="101">
        <v>70.8</v>
      </c>
      <c r="G22" s="100">
        <v>70.599999999999994</v>
      </c>
      <c r="H22" s="100">
        <v>70.400000000000006</v>
      </c>
      <c r="I22" s="100">
        <v>70.5</v>
      </c>
      <c r="J22" s="100">
        <v>70.5</v>
      </c>
      <c r="K22" s="100">
        <v>70.7</v>
      </c>
      <c r="L22" s="102">
        <v>70.7</v>
      </c>
      <c r="M22" s="100"/>
      <c r="N22" s="100"/>
      <c r="O22" s="100"/>
      <c r="P22" s="100"/>
      <c r="Q22" s="100"/>
      <c r="R22" s="100"/>
      <c r="S22" s="100"/>
      <c r="T22" s="100"/>
      <c r="U22" s="100"/>
      <c r="V22" s="100"/>
      <c r="W22" s="100"/>
      <c r="X22" s="100"/>
      <c r="Y22" s="100"/>
      <c r="Z22" s="100"/>
      <c r="AA22" s="100"/>
      <c r="AB22" s="100"/>
      <c r="AC22" s="100"/>
      <c r="AD22" s="100"/>
      <c r="AE22" s="100"/>
      <c r="AF22" s="100"/>
      <c r="AG22" s="100"/>
      <c r="AH22" s="100"/>
      <c r="AI22" s="100"/>
      <c r="AJ22" s="100"/>
      <c r="AK22" s="100"/>
      <c r="AL22" s="100"/>
      <c r="AM22" s="100"/>
      <c r="AN22" s="100"/>
      <c r="AO22" s="100"/>
      <c r="AP22" s="100"/>
      <c r="AQ22" s="100"/>
      <c r="AR22" s="100"/>
      <c r="AS22" s="100"/>
      <c r="AT22" s="100"/>
      <c r="AU22" s="100"/>
      <c r="AV22" s="100"/>
      <c r="AW22" s="100"/>
      <c r="AX22" s="100"/>
      <c r="AY22" s="100"/>
      <c r="AZ22" s="100"/>
      <c r="BA22" s="100"/>
      <c r="BB22" s="100"/>
      <c r="BC22" s="100"/>
      <c r="BD22" s="100"/>
      <c r="BE22" s="100"/>
      <c r="BF22" s="100"/>
      <c r="BG22" s="100"/>
      <c r="BH22" s="100"/>
      <c r="BI22" s="100"/>
      <c r="BJ22" s="100"/>
      <c r="BK22" s="100"/>
      <c r="BL22" s="100"/>
      <c r="BM22" s="100"/>
      <c r="BN22" s="100"/>
      <c r="BO22" s="100"/>
      <c r="BP22" s="100"/>
      <c r="BQ22" s="100"/>
      <c r="BR22" s="100"/>
      <c r="BS22" s="100"/>
      <c r="BT22" s="100"/>
      <c r="BU22" s="100"/>
      <c r="BV22" s="100"/>
      <c r="BW22" s="100"/>
      <c r="BX22" s="100"/>
      <c r="BY22" s="100"/>
      <c r="BZ22" s="100"/>
      <c r="CA22" s="100"/>
      <c r="CB22" s="100"/>
      <c r="CC22" s="100"/>
      <c r="CD22" s="100"/>
      <c r="CE22" s="100"/>
      <c r="CF22" s="100"/>
      <c r="CG22" s="100"/>
      <c r="CH22" s="100"/>
      <c r="CI22" s="100"/>
      <c r="CJ22" s="100"/>
      <c r="CK22" s="100"/>
      <c r="CL22" s="100"/>
      <c r="CM22" s="100"/>
      <c r="CN22" s="100"/>
      <c r="CO22" s="100"/>
      <c r="CP22" s="100"/>
      <c r="CQ22" s="100"/>
      <c r="CR22" s="100"/>
      <c r="CS22" s="100"/>
      <c r="CT22" s="100"/>
      <c r="CU22" s="100"/>
      <c r="CV22" s="100"/>
      <c r="CW22" s="100"/>
      <c r="CX22" s="100"/>
      <c r="CY22" s="100"/>
      <c r="CZ22" s="100"/>
      <c r="DA22" s="100"/>
      <c r="DB22" s="100"/>
      <c r="DC22" s="100"/>
      <c r="DD22" s="100"/>
      <c r="DE22" s="100"/>
      <c r="DF22" s="100"/>
      <c r="DG22" s="100"/>
      <c r="DH22" s="100"/>
      <c r="DI22" s="100"/>
      <c r="DJ22" s="100"/>
      <c r="DK22" s="100"/>
      <c r="DL22" s="100"/>
      <c r="DM22" s="100"/>
      <c r="DN22" s="100"/>
      <c r="DO22" s="100"/>
      <c r="DP22" s="100"/>
      <c r="DQ22" s="100"/>
      <c r="DR22" s="100"/>
      <c r="DS22" s="100"/>
      <c r="DT22" s="100"/>
      <c r="DU22" s="100"/>
      <c r="DV22" s="100"/>
      <c r="DW22" s="100"/>
      <c r="DX22" s="100"/>
      <c r="DY22" s="100"/>
      <c r="DZ22" s="100"/>
      <c r="EA22" s="100"/>
      <c r="EB22" s="100"/>
      <c r="EC22" s="100"/>
      <c r="ED22" s="100"/>
      <c r="EE22" s="100"/>
      <c r="EF22" s="100"/>
      <c r="EG22" s="100"/>
      <c r="EH22" s="100"/>
      <c r="EI22" s="100"/>
      <c r="EJ22" s="100"/>
      <c r="EK22" s="100"/>
      <c r="EL22" s="100"/>
      <c r="EM22" s="100"/>
      <c r="EN22" s="100"/>
      <c r="EO22" s="100"/>
      <c r="EP22" s="100"/>
      <c r="EQ22" s="106"/>
      <c r="ER22" s="106"/>
      <c r="ES22" s="106"/>
      <c r="ET22" s="106"/>
      <c r="EU22" s="106"/>
      <c r="EV22" s="106"/>
      <c r="EW22" s="106"/>
      <c r="EX22" s="106"/>
      <c r="EY22" s="106"/>
      <c r="EZ22" s="106"/>
      <c r="FA22" s="106"/>
      <c r="FB22" s="106"/>
      <c r="FC22" s="106"/>
      <c r="FD22" s="106"/>
      <c r="FE22" s="106"/>
      <c r="FF22" s="106"/>
      <c r="FG22" s="106"/>
      <c r="FH22" s="106"/>
      <c r="FI22" s="106"/>
      <c r="FJ22" s="106"/>
      <c r="FK22" s="106"/>
      <c r="FL22" s="106"/>
      <c r="FM22" s="106"/>
      <c r="FN22" s="106"/>
      <c r="FO22" s="106"/>
      <c r="FP22" s="106"/>
      <c r="FQ22" s="106"/>
      <c r="FR22" s="106"/>
      <c r="FS22" s="106"/>
      <c r="FT22" s="106"/>
      <c r="FU22" s="106"/>
      <c r="FV22" s="106"/>
      <c r="FW22" s="106"/>
      <c r="FX22" s="106"/>
      <c r="FY22" s="106"/>
      <c r="FZ22" s="106"/>
      <c r="GA22" s="106"/>
      <c r="GB22" s="106"/>
      <c r="GC22" s="106"/>
      <c r="GD22" s="106"/>
      <c r="GE22" s="106"/>
      <c r="GF22" s="106"/>
      <c r="GG22" s="159"/>
    </row>
    <row r="23" spans="2:189" x14ac:dyDescent="0.2">
      <c r="B23" s="97">
        <v>40695</v>
      </c>
      <c r="C23" s="100">
        <v>70.5</v>
      </c>
      <c r="D23" s="101">
        <v>70.7</v>
      </c>
      <c r="E23" s="101">
        <v>70.7</v>
      </c>
      <c r="F23" s="101">
        <v>70.8</v>
      </c>
      <c r="G23" s="100">
        <v>70.599999999999994</v>
      </c>
      <c r="H23" s="100">
        <v>70.400000000000006</v>
      </c>
      <c r="I23" s="100">
        <v>70.5</v>
      </c>
      <c r="J23" s="100">
        <v>70.5</v>
      </c>
      <c r="K23" s="100">
        <v>70.7</v>
      </c>
      <c r="L23" s="100">
        <v>70.7</v>
      </c>
      <c r="M23" s="102">
        <v>70.599999999999994</v>
      </c>
      <c r="N23" s="100"/>
      <c r="O23" s="100"/>
      <c r="P23" s="100"/>
      <c r="Q23" s="100"/>
      <c r="R23" s="100"/>
      <c r="S23" s="100"/>
      <c r="T23" s="100"/>
      <c r="U23" s="100"/>
      <c r="V23" s="100"/>
      <c r="W23" s="100"/>
      <c r="X23" s="100"/>
      <c r="Y23" s="100"/>
      <c r="Z23" s="100"/>
      <c r="AA23" s="100"/>
      <c r="AB23" s="100"/>
      <c r="AC23" s="100"/>
      <c r="AD23" s="100"/>
      <c r="AE23" s="100"/>
      <c r="AF23" s="100"/>
      <c r="AG23" s="100"/>
      <c r="AH23" s="100"/>
      <c r="AI23" s="100"/>
      <c r="AJ23" s="100"/>
      <c r="AK23" s="100"/>
      <c r="AL23" s="100"/>
      <c r="AM23" s="100"/>
      <c r="AN23" s="100"/>
      <c r="AO23" s="100"/>
      <c r="AP23" s="100"/>
      <c r="AQ23" s="100"/>
      <c r="AR23" s="100"/>
      <c r="AS23" s="100"/>
      <c r="AT23" s="100"/>
      <c r="AU23" s="100"/>
      <c r="AV23" s="100"/>
      <c r="AW23" s="100"/>
      <c r="AX23" s="100"/>
      <c r="AY23" s="100"/>
      <c r="AZ23" s="100"/>
      <c r="BA23" s="100"/>
      <c r="BB23" s="100"/>
      <c r="BC23" s="100"/>
      <c r="BD23" s="100"/>
      <c r="BE23" s="100"/>
      <c r="BF23" s="100"/>
      <c r="BG23" s="100"/>
      <c r="BH23" s="100"/>
      <c r="BI23" s="100"/>
      <c r="BJ23" s="100"/>
      <c r="BK23" s="100"/>
      <c r="BL23" s="100"/>
      <c r="BM23" s="100"/>
      <c r="BN23" s="100"/>
      <c r="BO23" s="100"/>
      <c r="BP23" s="100"/>
      <c r="BQ23" s="100"/>
      <c r="BR23" s="100"/>
      <c r="BS23" s="100"/>
      <c r="BT23" s="100"/>
      <c r="BU23" s="100"/>
      <c r="BV23" s="100"/>
      <c r="BW23" s="100"/>
      <c r="BX23" s="100"/>
      <c r="BY23" s="100"/>
      <c r="BZ23" s="100"/>
      <c r="CA23" s="100"/>
      <c r="CB23" s="100"/>
      <c r="CC23" s="100"/>
      <c r="CD23" s="100"/>
      <c r="CE23" s="100"/>
      <c r="CF23" s="100"/>
      <c r="CG23" s="100"/>
      <c r="CH23" s="100"/>
      <c r="CI23" s="100"/>
      <c r="CJ23" s="100"/>
      <c r="CK23" s="100"/>
      <c r="CL23" s="100"/>
      <c r="CM23" s="100"/>
      <c r="CN23" s="100"/>
      <c r="CO23" s="100"/>
      <c r="CP23" s="100"/>
      <c r="CQ23" s="100"/>
      <c r="CR23" s="100"/>
      <c r="CS23" s="100"/>
      <c r="CT23" s="100"/>
      <c r="CU23" s="100"/>
      <c r="CV23" s="100"/>
      <c r="CW23" s="100"/>
      <c r="CX23" s="100"/>
      <c r="CY23" s="100"/>
      <c r="CZ23" s="100"/>
      <c r="DA23" s="100"/>
      <c r="DB23" s="100"/>
      <c r="DC23" s="100"/>
      <c r="DD23" s="100"/>
      <c r="DE23" s="100"/>
      <c r="DF23" s="100"/>
      <c r="DG23" s="100"/>
      <c r="DH23" s="100"/>
      <c r="DI23" s="100"/>
      <c r="DJ23" s="100"/>
      <c r="DK23" s="100"/>
      <c r="DL23" s="100"/>
      <c r="DM23" s="100"/>
      <c r="DN23" s="100"/>
      <c r="DO23" s="100"/>
      <c r="DP23" s="100"/>
      <c r="DQ23" s="100"/>
      <c r="DR23" s="100"/>
      <c r="DS23" s="100"/>
      <c r="DT23" s="100"/>
      <c r="DU23" s="100"/>
      <c r="DV23" s="100"/>
      <c r="DW23" s="100"/>
      <c r="DX23" s="100"/>
      <c r="DY23" s="100"/>
      <c r="DZ23" s="100"/>
      <c r="EA23" s="100"/>
      <c r="EB23" s="100"/>
      <c r="EC23" s="100"/>
      <c r="ED23" s="100"/>
      <c r="EE23" s="100"/>
      <c r="EF23" s="100"/>
      <c r="EG23" s="100"/>
      <c r="EH23" s="100"/>
      <c r="EI23" s="100"/>
      <c r="EJ23" s="100"/>
      <c r="EK23" s="100"/>
      <c r="EL23" s="100"/>
      <c r="EM23" s="100"/>
      <c r="EN23" s="100"/>
      <c r="EO23" s="100"/>
      <c r="EP23" s="100"/>
      <c r="EQ23" s="106"/>
      <c r="ER23" s="106"/>
      <c r="ES23" s="106"/>
      <c r="ET23" s="106"/>
      <c r="EU23" s="106"/>
      <c r="EV23" s="106"/>
      <c r="EW23" s="106"/>
      <c r="EX23" s="106"/>
      <c r="EY23" s="106"/>
      <c r="EZ23" s="106"/>
      <c r="FA23" s="106"/>
      <c r="FB23" s="106"/>
      <c r="FC23" s="106"/>
      <c r="FD23" s="106"/>
      <c r="FE23" s="106"/>
      <c r="FF23" s="106"/>
      <c r="FG23" s="106"/>
      <c r="FH23" s="106"/>
      <c r="FI23" s="106"/>
      <c r="FJ23" s="106"/>
      <c r="FK23" s="106"/>
      <c r="FL23" s="106"/>
      <c r="FM23" s="106"/>
      <c r="FN23" s="106"/>
      <c r="FO23" s="106"/>
      <c r="FP23" s="106"/>
      <c r="FQ23" s="106"/>
      <c r="FR23" s="106"/>
      <c r="FS23" s="106"/>
      <c r="FT23" s="106"/>
      <c r="FU23" s="106"/>
      <c r="FV23" s="106"/>
      <c r="FW23" s="106"/>
      <c r="FX23" s="106"/>
      <c r="FY23" s="106"/>
      <c r="FZ23" s="106"/>
      <c r="GA23" s="106"/>
      <c r="GB23" s="106"/>
      <c r="GC23" s="106"/>
      <c r="GD23" s="106"/>
      <c r="GE23" s="106"/>
      <c r="GF23" s="106"/>
      <c r="GG23" s="159"/>
    </row>
    <row r="24" spans="2:189" x14ac:dyDescent="0.2">
      <c r="B24" s="97">
        <v>40725</v>
      </c>
      <c r="C24" s="100">
        <v>70.5</v>
      </c>
      <c r="D24" s="101">
        <v>70.7</v>
      </c>
      <c r="E24" s="101">
        <v>70.7</v>
      </c>
      <c r="F24" s="101">
        <v>70.8</v>
      </c>
      <c r="G24" s="100">
        <v>70.599999999999994</v>
      </c>
      <c r="H24" s="100">
        <v>70.400000000000006</v>
      </c>
      <c r="I24" s="100">
        <v>70.5</v>
      </c>
      <c r="J24" s="100">
        <v>70.5</v>
      </c>
      <c r="K24" s="100">
        <v>70.7</v>
      </c>
      <c r="L24" s="100">
        <v>70.7</v>
      </c>
      <c r="M24" s="100">
        <v>70.599999999999994</v>
      </c>
      <c r="N24" s="102">
        <v>70.7</v>
      </c>
      <c r="O24" s="100"/>
      <c r="P24" s="100"/>
      <c r="Q24" s="100"/>
      <c r="R24" s="100"/>
      <c r="S24" s="100"/>
      <c r="T24" s="100"/>
      <c r="U24" s="100"/>
      <c r="V24" s="100"/>
      <c r="W24" s="100"/>
      <c r="X24" s="100"/>
      <c r="Y24" s="100"/>
      <c r="Z24" s="100"/>
      <c r="AA24" s="100"/>
      <c r="AB24" s="100"/>
      <c r="AC24" s="100"/>
      <c r="AD24" s="100"/>
      <c r="AE24" s="100"/>
      <c r="AF24" s="100"/>
      <c r="AG24" s="100"/>
      <c r="AH24" s="100"/>
      <c r="AI24" s="100"/>
      <c r="AJ24" s="100"/>
      <c r="AK24" s="100"/>
      <c r="AL24" s="100"/>
      <c r="AM24" s="100"/>
      <c r="AN24" s="100"/>
      <c r="AO24" s="100"/>
      <c r="AP24" s="100"/>
      <c r="AQ24" s="100"/>
      <c r="AR24" s="100"/>
      <c r="AS24" s="100"/>
      <c r="AT24" s="100"/>
      <c r="AU24" s="100"/>
      <c r="AV24" s="100"/>
      <c r="AW24" s="100"/>
      <c r="AX24" s="100"/>
      <c r="AY24" s="100"/>
      <c r="AZ24" s="100"/>
      <c r="BA24" s="100"/>
      <c r="BB24" s="100"/>
      <c r="BC24" s="100"/>
      <c r="BD24" s="100"/>
      <c r="BE24" s="100"/>
      <c r="BF24" s="100"/>
      <c r="BG24" s="100"/>
      <c r="BH24" s="100"/>
      <c r="BI24" s="100"/>
      <c r="BJ24" s="100"/>
      <c r="BK24" s="100"/>
      <c r="BL24" s="100"/>
      <c r="BM24" s="100"/>
      <c r="BN24" s="100"/>
      <c r="BO24" s="100"/>
      <c r="BP24" s="100"/>
      <c r="BQ24" s="100"/>
      <c r="BR24" s="100"/>
      <c r="BS24" s="100"/>
      <c r="BT24" s="100"/>
      <c r="BU24" s="100"/>
      <c r="BV24" s="100"/>
      <c r="BW24" s="100"/>
      <c r="BX24" s="100"/>
      <c r="BY24" s="100"/>
      <c r="BZ24" s="100"/>
      <c r="CA24" s="100"/>
      <c r="CB24" s="100"/>
      <c r="CC24" s="100"/>
      <c r="CD24" s="100"/>
      <c r="CE24" s="100"/>
      <c r="CF24" s="100"/>
      <c r="CG24" s="100"/>
      <c r="CH24" s="100"/>
      <c r="CI24" s="100"/>
      <c r="CJ24" s="100"/>
      <c r="CK24" s="100"/>
      <c r="CL24" s="100"/>
      <c r="CM24" s="100"/>
      <c r="CN24" s="100"/>
      <c r="CO24" s="100"/>
      <c r="CP24" s="100"/>
      <c r="CQ24" s="100"/>
      <c r="CR24" s="100"/>
      <c r="CS24" s="100"/>
      <c r="CT24" s="100"/>
      <c r="CU24" s="100"/>
      <c r="CV24" s="100"/>
      <c r="CW24" s="100"/>
      <c r="CX24" s="100"/>
      <c r="CY24" s="100"/>
      <c r="CZ24" s="100"/>
      <c r="DA24" s="100"/>
      <c r="DB24" s="100"/>
      <c r="DC24" s="100"/>
      <c r="DD24" s="100"/>
      <c r="DE24" s="100"/>
      <c r="DF24" s="100"/>
      <c r="DG24" s="100"/>
      <c r="DH24" s="100"/>
      <c r="DI24" s="100"/>
      <c r="DJ24" s="100"/>
      <c r="DK24" s="100"/>
      <c r="DL24" s="100"/>
      <c r="DM24" s="100"/>
      <c r="DN24" s="100"/>
      <c r="DO24" s="100"/>
      <c r="DP24" s="100"/>
      <c r="DQ24" s="100"/>
      <c r="DR24" s="100"/>
      <c r="DS24" s="100"/>
      <c r="DT24" s="100"/>
      <c r="DU24" s="100"/>
      <c r="DV24" s="100"/>
      <c r="DW24" s="100"/>
      <c r="DX24" s="100"/>
      <c r="DY24" s="100"/>
      <c r="DZ24" s="100"/>
      <c r="EA24" s="100"/>
      <c r="EB24" s="100"/>
      <c r="EC24" s="100"/>
      <c r="ED24" s="100"/>
      <c r="EE24" s="100"/>
      <c r="EF24" s="100"/>
      <c r="EG24" s="100"/>
      <c r="EH24" s="100"/>
      <c r="EI24" s="100"/>
      <c r="EJ24" s="100"/>
      <c r="EK24" s="100"/>
      <c r="EL24" s="100"/>
      <c r="EM24" s="100"/>
      <c r="EN24" s="100"/>
      <c r="EO24" s="100"/>
      <c r="EP24" s="100"/>
      <c r="EQ24" s="106"/>
      <c r="ER24" s="106"/>
      <c r="ES24" s="106"/>
      <c r="ET24" s="106"/>
      <c r="EU24" s="106"/>
      <c r="EV24" s="106"/>
      <c r="EW24" s="106"/>
      <c r="EX24" s="106"/>
      <c r="EY24" s="106"/>
      <c r="EZ24" s="106"/>
      <c r="FA24" s="106"/>
      <c r="FB24" s="106"/>
      <c r="FC24" s="106"/>
      <c r="FD24" s="106"/>
      <c r="FE24" s="106"/>
      <c r="FF24" s="106"/>
      <c r="FG24" s="106"/>
      <c r="FH24" s="106"/>
      <c r="FI24" s="106"/>
      <c r="FJ24" s="106"/>
      <c r="FK24" s="106"/>
      <c r="FL24" s="106"/>
      <c r="FM24" s="106"/>
      <c r="FN24" s="106"/>
      <c r="FO24" s="106"/>
      <c r="FP24" s="106"/>
      <c r="FQ24" s="106"/>
      <c r="FR24" s="106"/>
      <c r="FS24" s="106"/>
      <c r="FT24" s="106"/>
      <c r="FU24" s="106"/>
      <c r="FV24" s="106"/>
      <c r="FW24" s="106"/>
      <c r="FX24" s="106"/>
      <c r="FY24" s="106"/>
      <c r="FZ24" s="106"/>
      <c r="GA24" s="106"/>
      <c r="GB24" s="106"/>
      <c r="GC24" s="106"/>
      <c r="GD24" s="106"/>
      <c r="GE24" s="106"/>
      <c r="GF24" s="106"/>
      <c r="GG24" s="159"/>
    </row>
    <row r="25" spans="2:189" x14ac:dyDescent="0.2">
      <c r="B25" s="97">
        <v>40756</v>
      </c>
      <c r="C25" s="103">
        <v>70.5</v>
      </c>
      <c r="D25" s="101">
        <v>70.7</v>
      </c>
      <c r="E25" s="101">
        <v>70.7</v>
      </c>
      <c r="F25" s="101">
        <v>70.8</v>
      </c>
      <c r="G25" s="100">
        <v>70.599999999999994</v>
      </c>
      <c r="H25" s="100">
        <v>70.400000000000006</v>
      </c>
      <c r="I25" s="100">
        <v>70.5</v>
      </c>
      <c r="J25" s="100">
        <v>70.5</v>
      </c>
      <c r="K25" s="100">
        <v>70.7</v>
      </c>
      <c r="L25" s="100">
        <v>70.7</v>
      </c>
      <c r="M25" s="100">
        <v>70.599999999999994</v>
      </c>
      <c r="N25" s="100">
        <v>70.7</v>
      </c>
      <c r="O25" s="102">
        <v>70.7</v>
      </c>
      <c r="P25" s="100"/>
      <c r="Q25" s="100"/>
      <c r="R25" s="100"/>
      <c r="S25" s="100"/>
      <c r="T25" s="100"/>
      <c r="U25" s="100"/>
      <c r="V25" s="100"/>
      <c r="W25" s="100"/>
      <c r="X25" s="100"/>
      <c r="Y25" s="100"/>
      <c r="Z25" s="100"/>
      <c r="AA25" s="100"/>
      <c r="AB25" s="100"/>
      <c r="AC25" s="100"/>
      <c r="AD25" s="100"/>
      <c r="AE25" s="100"/>
      <c r="AF25" s="100"/>
      <c r="AG25" s="100"/>
      <c r="AH25" s="100"/>
      <c r="AI25" s="100"/>
      <c r="AJ25" s="100"/>
      <c r="AK25" s="100"/>
      <c r="AL25" s="100"/>
      <c r="AM25" s="100"/>
      <c r="AN25" s="100"/>
      <c r="AO25" s="100"/>
      <c r="AP25" s="100"/>
      <c r="AQ25" s="100"/>
      <c r="AR25" s="100"/>
      <c r="AS25" s="100"/>
      <c r="AT25" s="100"/>
      <c r="AU25" s="100"/>
      <c r="AV25" s="100"/>
      <c r="AW25" s="100"/>
      <c r="AX25" s="100"/>
      <c r="AY25" s="100"/>
      <c r="AZ25" s="100"/>
      <c r="BA25" s="100"/>
      <c r="BB25" s="100"/>
      <c r="BC25" s="100"/>
      <c r="BD25" s="100"/>
      <c r="BE25" s="100"/>
      <c r="BF25" s="100"/>
      <c r="BG25" s="100"/>
      <c r="BH25" s="100"/>
      <c r="BI25" s="100"/>
      <c r="BJ25" s="100"/>
      <c r="BK25" s="100"/>
      <c r="BL25" s="100"/>
      <c r="BM25" s="100"/>
      <c r="BN25" s="100"/>
      <c r="BO25" s="100"/>
      <c r="BP25" s="100"/>
      <c r="BQ25" s="100"/>
      <c r="BR25" s="100"/>
      <c r="BS25" s="100"/>
      <c r="BT25" s="100"/>
      <c r="BU25" s="100"/>
      <c r="BV25" s="100"/>
      <c r="BW25" s="100"/>
      <c r="BX25" s="100"/>
      <c r="BY25" s="100"/>
      <c r="BZ25" s="100"/>
      <c r="CA25" s="100"/>
      <c r="CB25" s="100"/>
      <c r="CC25" s="100"/>
      <c r="CD25" s="100"/>
      <c r="CE25" s="100"/>
      <c r="CF25" s="100"/>
      <c r="CG25" s="100"/>
      <c r="CH25" s="100"/>
      <c r="CI25" s="100"/>
      <c r="CJ25" s="100"/>
      <c r="CK25" s="100"/>
      <c r="CL25" s="100"/>
      <c r="CM25" s="100"/>
      <c r="CN25" s="100"/>
      <c r="CO25" s="100"/>
      <c r="CP25" s="100"/>
      <c r="CQ25" s="100"/>
      <c r="CR25" s="100"/>
      <c r="CS25" s="100"/>
      <c r="CT25" s="100"/>
      <c r="CU25" s="100"/>
      <c r="CV25" s="100"/>
      <c r="CW25" s="100"/>
      <c r="CX25" s="100"/>
      <c r="CY25" s="100"/>
      <c r="CZ25" s="100"/>
      <c r="DA25" s="100"/>
      <c r="DB25" s="100"/>
      <c r="DC25" s="100"/>
      <c r="DD25" s="100"/>
      <c r="DE25" s="100"/>
      <c r="DF25" s="100"/>
      <c r="DG25" s="100"/>
      <c r="DH25" s="100"/>
      <c r="DI25" s="100"/>
      <c r="DJ25" s="100"/>
      <c r="DK25" s="100"/>
      <c r="DL25" s="100"/>
      <c r="DM25" s="100"/>
      <c r="DN25" s="100"/>
      <c r="DO25" s="100"/>
      <c r="DP25" s="100"/>
      <c r="DQ25" s="100"/>
      <c r="DR25" s="100"/>
      <c r="DS25" s="100"/>
      <c r="DT25" s="100"/>
      <c r="DU25" s="100"/>
      <c r="DV25" s="100"/>
      <c r="DW25" s="100"/>
      <c r="DX25" s="100"/>
      <c r="DY25" s="100"/>
      <c r="DZ25" s="100"/>
      <c r="EA25" s="100"/>
      <c r="EB25" s="100"/>
      <c r="EC25" s="100"/>
      <c r="ED25" s="100"/>
      <c r="EE25" s="100"/>
      <c r="EF25" s="100"/>
      <c r="EG25" s="100"/>
      <c r="EH25" s="100"/>
      <c r="EI25" s="100"/>
      <c r="EJ25" s="100"/>
      <c r="EK25" s="100"/>
      <c r="EL25" s="100"/>
      <c r="EM25" s="100"/>
      <c r="EN25" s="100"/>
      <c r="EO25" s="100"/>
      <c r="EP25" s="100"/>
      <c r="EQ25" s="106"/>
      <c r="ER25" s="106"/>
      <c r="ES25" s="106"/>
      <c r="ET25" s="106"/>
      <c r="EU25" s="106"/>
      <c r="EV25" s="106"/>
      <c r="EW25" s="106"/>
      <c r="EX25" s="106"/>
      <c r="EY25" s="106"/>
      <c r="EZ25" s="106"/>
      <c r="FA25" s="106"/>
      <c r="FB25" s="106"/>
      <c r="FC25" s="106"/>
      <c r="FD25" s="106"/>
      <c r="FE25" s="106"/>
      <c r="FF25" s="106"/>
      <c r="FG25" s="106"/>
      <c r="FH25" s="106"/>
      <c r="FI25" s="106"/>
      <c r="FJ25" s="106"/>
      <c r="FK25" s="106"/>
      <c r="FL25" s="106"/>
      <c r="FM25" s="106"/>
      <c r="FN25" s="106"/>
      <c r="FO25" s="106"/>
      <c r="FP25" s="106"/>
      <c r="FQ25" s="106"/>
      <c r="FR25" s="106"/>
      <c r="FS25" s="106"/>
      <c r="FT25" s="106"/>
      <c r="FU25" s="106"/>
      <c r="FV25" s="106"/>
      <c r="FW25" s="106"/>
      <c r="FX25" s="106"/>
      <c r="FY25" s="106"/>
      <c r="FZ25" s="106"/>
      <c r="GA25" s="106"/>
      <c r="GB25" s="106"/>
      <c r="GC25" s="106"/>
      <c r="GD25" s="106"/>
      <c r="GE25" s="106"/>
      <c r="GF25" s="106"/>
      <c r="GG25" s="159"/>
    </row>
    <row r="26" spans="2:189" x14ac:dyDescent="0.2">
      <c r="B26" s="97">
        <v>40787</v>
      </c>
      <c r="C26" s="100">
        <v>70.5</v>
      </c>
      <c r="D26" s="104">
        <v>70.7</v>
      </c>
      <c r="E26" s="101">
        <v>70.7</v>
      </c>
      <c r="F26" s="101">
        <v>70.8</v>
      </c>
      <c r="G26" s="100">
        <v>70.599999999999994</v>
      </c>
      <c r="H26" s="100">
        <v>70.400000000000006</v>
      </c>
      <c r="I26" s="100">
        <v>70.5</v>
      </c>
      <c r="J26" s="100">
        <v>70.5</v>
      </c>
      <c r="K26" s="100">
        <v>70.7</v>
      </c>
      <c r="L26" s="100">
        <v>70.7</v>
      </c>
      <c r="M26" s="100">
        <v>70.599999999999994</v>
      </c>
      <c r="N26" s="100">
        <v>70.7</v>
      </c>
      <c r="O26" s="100">
        <v>70.7</v>
      </c>
      <c r="P26" s="102">
        <v>70.5</v>
      </c>
      <c r="Q26" s="100"/>
      <c r="R26" s="100"/>
      <c r="S26" s="100"/>
      <c r="T26" s="100"/>
      <c r="U26" s="100"/>
      <c r="V26" s="100"/>
      <c r="W26" s="100"/>
      <c r="X26" s="100"/>
      <c r="Y26" s="100"/>
      <c r="Z26" s="100"/>
      <c r="AA26" s="100"/>
      <c r="AB26" s="100"/>
      <c r="AC26" s="100"/>
      <c r="AD26" s="100"/>
      <c r="AE26" s="100"/>
      <c r="AF26" s="100"/>
      <c r="AG26" s="100"/>
      <c r="AH26" s="100"/>
      <c r="AI26" s="100"/>
      <c r="AJ26" s="100"/>
      <c r="AK26" s="100"/>
      <c r="AL26" s="100"/>
      <c r="AM26" s="100"/>
      <c r="AN26" s="100"/>
      <c r="AO26" s="100"/>
      <c r="AP26" s="100"/>
      <c r="AQ26" s="100"/>
      <c r="AR26" s="100"/>
      <c r="AS26" s="100"/>
      <c r="AT26" s="100"/>
      <c r="AU26" s="100"/>
      <c r="AV26" s="100"/>
      <c r="AW26" s="100"/>
      <c r="AX26" s="100"/>
      <c r="AY26" s="100"/>
      <c r="AZ26" s="100"/>
      <c r="BA26" s="100"/>
      <c r="BB26" s="100"/>
      <c r="BC26" s="100"/>
      <c r="BD26" s="100"/>
      <c r="BE26" s="100"/>
      <c r="BF26" s="100"/>
      <c r="BG26" s="100"/>
      <c r="BH26" s="100"/>
      <c r="BI26" s="100"/>
      <c r="BJ26" s="100"/>
      <c r="BK26" s="100"/>
      <c r="BL26" s="100"/>
      <c r="BM26" s="100"/>
      <c r="BN26" s="100"/>
      <c r="BO26" s="100"/>
      <c r="BP26" s="100"/>
      <c r="BQ26" s="100"/>
      <c r="BR26" s="100"/>
      <c r="BS26" s="100"/>
      <c r="BT26" s="100"/>
      <c r="BU26" s="100"/>
      <c r="BV26" s="100"/>
      <c r="BW26" s="100"/>
      <c r="BX26" s="100"/>
      <c r="BY26" s="100"/>
      <c r="BZ26" s="100"/>
      <c r="CA26" s="100"/>
      <c r="CB26" s="100"/>
      <c r="CC26" s="100"/>
      <c r="CD26" s="100"/>
      <c r="CE26" s="100"/>
      <c r="CF26" s="100"/>
      <c r="CG26" s="100"/>
      <c r="CH26" s="100"/>
      <c r="CI26" s="100"/>
      <c r="CJ26" s="100"/>
      <c r="CK26" s="100"/>
      <c r="CL26" s="100"/>
      <c r="CM26" s="100"/>
      <c r="CN26" s="100"/>
      <c r="CO26" s="100"/>
      <c r="CP26" s="100"/>
      <c r="CQ26" s="100"/>
      <c r="CR26" s="100"/>
      <c r="CS26" s="100"/>
      <c r="CT26" s="100"/>
      <c r="CU26" s="100"/>
      <c r="CV26" s="100"/>
      <c r="CW26" s="100"/>
      <c r="CX26" s="100"/>
      <c r="CY26" s="100"/>
      <c r="CZ26" s="100"/>
      <c r="DA26" s="100"/>
      <c r="DB26" s="100"/>
      <c r="DC26" s="100"/>
      <c r="DD26" s="100"/>
      <c r="DE26" s="100"/>
      <c r="DF26" s="100"/>
      <c r="DG26" s="100"/>
      <c r="DH26" s="100"/>
      <c r="DI26" s="100"/>
      <c r="DJ26" s="100"/>
      <c r="DK26" s="100"/>
      <c r="DL26" s="100"/>
      <c r="DM26" s="100"/>
      <c r="DN26" s="100"/>
      <c r="DO26" s="100"/>
      <c r="DP26" s="100"/>
      <c r="DQ26" s="100"/>
      <c r="DR26" s="100"/>
      <c r="DS26" s="100"/>
      <c r="DT26" s="100"/>
      <c r="DU26" s="100"/>
      <c r="DV26" s="100"/>
      <c r="DW26" s="100"/>
      <c r="DX26" s="100"/>
      <c r="DY26" s="100"/>
      <c r="DZ26" s="100"/>
      <c r="EA26" s="100"/>
      <c r="EB26" s="100"/>
      <c r="EC26" s="100"/>
      <c r="ED26" s="100"/>
      <c r="EE26" s="100"/>
      <c r="EF26" s="100"/>
      <c r="EG26" s="100"/>
      <c r="EH26" s="100"/>
      <c r="EI26" s="100"/>
      <c r="EJ26" s="100"/>
      <c r="EK26" s="100"/>
      <c r="EL26" s="100"/>
      <c r="EM26" s="100"/>
      <c r="EN26" s="100"/>
      <c r="EO26" s="100"/>
      <c r="EP26" s="100"/>
      <c r="EQ26" s="106"/>
      <c r="ER26" s="106"/>
      <c r="ES26" s="106"/>
      <c r="ET26" s="106"/>
      <c r="EU26" s="106"/>
      <c r="EV26" s="106"/>
      <c r="EW26" s="106"/>
      <c r="EX26" s="106"/>
      <c r="EY26" s="106"/>
      <c r="EZ26" s="106"/>
      <c r="FA26" s="106"/>
      <c r="FB26" s="106"/>
      <c r="FC26" s="106"/>
      <c r="FD26" s="106"/>
      <c r="FE26" s="106"/>
      <c r="FF26" s="106"/>
      <c r="FG26" s="106"/>
      <c r="FH26" s="106"/>
      <c r="FI26" s="106"/>
      <c r="FJ26" s="106"/>
      <c r="FK26" s="106"/>
      <c r="FL26" s="106"/>
      <c r="FM26" s="106"/>
      <c r="FN26" s="106"/>
      <c r="FO26" s="106"/>
      <c r="FP26" s="106"/>
      <c r="FQ26" s="106"/>
      <c r="FR26" s="106"/>
      <c r="FS26" s="106"/>
      <c r="FT26" s="106"/>
      <c r="FU26" s="106"/>
      <c r="FV26" s="106"/>
      <c r="FW26" s="106"/>
      <c r="FX26" s="106"/>
      <c r="FY26" s="106"/>
      <c r="FZ26" s="106"/>
      <c r="GA26" s="106"/>
      <c r="GB26" s="106"/>
      <c r="GC26" s="106"/>
      <c r="GD26" s="106"/>
      <c r="GE26" s="106"/>
      <c r="GF26" s="106"/>
      <c r="GG26" s="159"/>
    </row>
    <row r="27" spans="2:189" x14ac:dyDescent="0.2">
      <c r="B27" s="97">
        <v>40817</v>
      </c>
      <c r="C27" s="100">
        <v>70.5</v>
      </c>
      <c r="D27" s="101">
        <v>70.7</v>
      </c>
      <c r="E27" s="104">
        <v>70.7</v>
      </c>
      <c r="F27" s="101">
        <v>70.8</v>
      </c>
      <c r="G27" s="100">
        <v>70.599999999999994</v>
      </c>
      <c r="H27" s="100">
        <v>70.400000000000006</v>
      </c>
      <c r="I27" s="100">
        <v>70.5</v>
      </c>
      <c r="J27" s="100">
        <v>70.5</v>
      </c>
      <c r="K27" s="100">
        <v>70.7</v>
      </c>
      <c r="L27" s="100">
        <v>70.7</v>
      </c>
      <c r="M27" s="100">
        <v>70.599999999999994</v>
      </c>
      <c r="N27" s="100">
        <v>70.7</v>
      </c>
      <c r="O27" s="100">
        <v>70.7</v>
      </c>
      <c r="P27" s="100">
        <v>70.5</v>
      </c>
      <c r="Q27" s="102">
        <v>70.400000000000006</v>
      </c>
      <c r="R27" s="100"/>
      <c r="S27" s="100"/>
      <c r="T27" s="100"/>
      <c r="U27" s="100"/>
      <c r="V27" s="100"/>
      <c r="W27" s="100"/>
      <c r="X27" s="100"/>
      <c r="Y27" s="100"/>
      <c r="Z27" s="100"/>
      <c r="AA27" s="100"/>
      <c r="AB27" s="100"/>
      <c r="AC27" s="100"/>
      <c r="AD27" s="100"/>
      <c r="AE27" s="100"/>
      <c r="AF27" s="100"/>
      <c r="AG27" s="100"/>
      <c r="AH27" s="100"/>
      <c r="AI27" s="100"/>
      <c r="AJ27" s="100"/>
      <c r="AK27" s="100"/>
      <c r="AL27" s="100"/>
      <c r="AM27" s="100"/>
      <c r="AN27" s="100"/>
      <c r="AO27" s="100"/>
      <c r="AP27" s="100"/>
      <c r="AQ27" s="100"/>
      <c r="AR27" s="100"/>
      <c r="AS27" s="100"/>
      <c r="AT27" s="100"/>
      <c r="AU27" s="100"/>
      <c r="AV27" s="100"/>
      <c r="AW27" s="100"/>
      <c r="AX27" s="100"/>
      <c r="AY27" s="100"/>
      <c r="AZ27" s="100"/>
      <c r="BA27" s="100"/>
      <c r="BB27" s="100"/>
      <c r="BC27" s="100"/>
      <c r="BD27" s="100"/>
      <c r="BE27" s="100"/>
      <c r="BF27" s="100"/>
      <c r="BG27" s="100"/>
      <c r="BH27" s="100"/>
      <c r="BI27" s="100"/>
      <c r="BJ27" s="100"/>
      <c r="BK27" s="100"/>
      <c r="BL27" s="100"/>
      <c r="BM27" s="100"/>
      <c r="BN27" s="100"/>
      <c r="BO27" s="100"/>
      <c r="BP27" s="100"/>
      <c r="BQ27" s="100"/>
      <c r="BR27" s="100"/>
      <c r="BS27" s="100"/>
      <c r="BT27" s="100"/>
      <c r="BU27" s="100"/>
      <c r="BV27" s="100"/>
      <c r="BW27" s="100"/>
      <c r="BX27" s="100"/>
      <c r="BY27" s="100"/>
      <c r="BZ27" s="100"/>
      <c r="CA27" s="100"/>
      <c r="CB27" s="100"/>
      <c r="CC27" s="100"/>
      <c r="CD27" s="100"/>
      <c r="CE27" s="100"/>
      <c r="CF27" s="100"/>
      <c r="CG27" s="100"/>
      <c r="CH27" s="100"/>
      <c r="CI27" s="100"/>
      <c r="CJ27" s="100"/>
      <c r="CK27" s="100"/>
      <c r="CL27" s="100"/>
      <c r="CM27" s="100"/>
      <c r="CN27" s="100"/>
      <c r="CO27" s="100"/>
      <c r="CP27" s="100"/>
      <c r="CQ27" s="100"/>
      <c r="CR27" s="100"/>
      <c r="CS27" s="100"/>
      <c r="CT27" s="100"/>
      <c r="CU27" s="100"/>
      <c r="CV27" s="100"/>
      <c r="CW27" s="100"/>
      <c r="CX27" s="100"/>
      <c r="CY27" s="100"/>
      <c r="CZ27" s="100"/>
      <c r="DA27" s="100"/>
      <c r="DB27" s="100"/>
      <c r="DC27" s="100"/>
      <c r="DD27" s="100"/>
      <c r="DE27" s="100"/>
      <c r="DF27" s="100"/>
      <c r="DG27" s="100"/>
      <c r="DH27" s="100"/>
      <c r="DI27" s="100"/>
      <c r="DJ27" s="100"/>
      <c r="DK27" s="100"/>
      <c r="DL27" s="100"/>
      <c r="DM27" s="100"/>
      <c r="DN27" s="100"/>
      <c r="DO27" s="100"/>
      <c r="DP27" s="100"/>
      <c r="DQ27" s="100"/>
      <c r="DR27" s="100"/>
      <c r="DS27" s="100"/>
      <c r="DT27" s="100"/>
      <c r="DU27" s="100"/>
      <c r="DV27" s="100"/>
      <c r="DW27" s="100"/>
      <c r="DX27" s="100"/>
      <c r="DY27" s="100"/>
      <c r="DZ27" s="100"/>
      <c r="EA27" s="100"/>
      <c r="EB27" s="100"/>
      <c r="EC27" s="100"/>
      <c r="ED27" s="100"/>
      <c r="EE27" s="100"/>
      <c r="EF27" s="100"/>
      <c r="EG27" s="100"/>
      <c r="EH27" s="100"/>
      <c r="EI27" s="100"/>
      <c r="EJ27" s="100"/>
      <c r="EK27" s="100"/>
      <c r="EL27" s="100"/>
      <c r="EM27" s="100"/>
      <c r="EN27" s="100"/>
      <c r="EO27" s="100"/>
      <c r="EP27" s="100"/>
      <c r="EQ27" s="106"/>
      <c r="ER27" s="106"/>
      <c r="ES27" s="106"/>
      <c r="ET27" s="106"/>
      <c r="EU27" s="106"/>
      <c r="EV27" s="106"/>
      <c r="EW27" s="106"/>
      <c r="EX27" s="106"/>
      <c r="EY27" s="106"/>
      <c r="EZ27" s="106"/>
      <c r="FA27" s="106"/>
      <c r="FB27" s="106"/>
      <c r="FC27" s="106"/>
      <c r="FD27" s="106"/>
      <c r="FE27" s="106"/>
      <c r="FF27" s="106"/>
      <c r="FG27" s="106"/>
      <c r="FH27" s="106"/>
      <c r="FI27" s="106"/>
      <c r="FJ27" s="106"/>
      <c r="FK27" s="106"/>
      <c r="FL27" s="106"/>
      <c r="FM27" s="106"/>
      <c r="FN27" s="106"/>
      <c r="FO27" s="106"/>
      <c r="FP27" s="106"/>
      <c r="FQ27" s="106"/>
      <c r="FR27" s="106"/>
      <c r="FS27" s="106"/>
      <c r="FT27" s="106"/>
      <c r="FU27" s="106"/>
      <c r="FV27" s="106"/>
      <c r="FW27" s="106"/>
      <c r="FX27" s="106"/>
      <c r="FY27" s="106"/>
      <c r="FZ27" s="106"/>
      <c r="GA27" s="106"/>
      <c r="GB27" s="106"/>
      <c r="GC27" s="106"/>
      <c r="GD27" s="106"/>
      <c r="GE27" s="106"/>
      <c r="GF27" s="106"/>
      <c r="GG27" s="159"/>
    </row>
    <row r="28" spans="2:189" x14ac:dyDescent="0.2">
      <c r="B28" s="97">
        <v>40848</v>
      </c>
      <c r="C28" s="100">
        <v>70.5</v>
      </c>
      <c r="D28" s="101">
        <v>70.7</v>
      </c>
      <c r="E28" s="101">
        <v>70.7</v>
      </c>
      <c r="F28" s="104">
        <v>70.8</v>
      </c>
      <c r="G28" s="100">
        <v>70.599999999999994</v>
      </c>
      <c r="H28" s="100">
        <v>70.400000000000006</v>
      </c>
      <c r="I28" s="100">
        <v>70.5</v>
      </c>
      <c r="J28" s="100">
        <v>70.5</v>
      </c>
      <c r="K28" s="100">
        <v>70.7</v>
      </c>
      <c r="L28" s="100">
        <v>70.7</v>
      </c>
      <c r="M28" s="100">
        <v>70.599999999999994</v>
      </c>
      <c r="N28" s="100">
        <v>70.7</v>
      </c>
      <c r="O28" s="100">
        <v>70.7</v>
      </c>
      <c r="P28" s="100">
        <v>70.5</v>
      </c>
      <c r="Q28" s="100">
        <v>70.400000000000006</v>
      </c>
      <c r="R28" s="102">
        <v>70.2</v>
      </c>
      <c r="S28" s="100"/>
      <c r="T28" s="100"/>
      <c r="U28" s="100"/>
      <c r="V28" s="100"/>
      <c r="W28" s="100"/>
      <c r="X28" s="100"/>
      <c r="Y28" s="100"/>
      <c r="Z28" s="100"/>
      <c r="AA28" s="100"/>
      <c r="AB28" s="100"/>
      <c r="AC28" s="100"/>
      <c r="AD28" s="100"/>
      <c r="AE28" s="100"/>
      <c r="AF28" s="100"/>
      <c r="AG28" s="100"/>
      <c r="AH28" s="100"/>
      <c r="AI28" s="100"/>
      <c r="AJ28" s="100"/>
      <c r="AK28" s="100"/>
      <c r="AL28" s="100"/>
      <c r="AM28" s="100"/>
      <c r="AN28" s="100"/>
      <c r="AO28" s="100"/>
      <c r="AP28" s="100"/>
      <c r="AQ28" s="100"/>
      <c r="AR28" s="100"/>
      <c r="AS28" s="100"/>
      <c r="AT28" s="100"/>
      <c r="AU28" s="100"/>
      <c r="AV28" s="100"/>
      <c r="AW28" s="100"/>
      <c r="AX28" s="100"/>
      <c r="AY28" s="100"/>
      <c r="AZ28" s="100"/>
      <c r="BA28" s="100"/>
      <c r="BB28" s="100"/>
      <c r="BC28" s="100"/>
      <c r="BD28" s="100"/>
      <c r="BE28" s="100"/>
      <c r="BF28" s="100"/>
      <c r="BG28" s="100"/>
      <c r="BH28" s="100"/>
      <c r="BI28" s="100"/>
      <c r="BJ28" s="100"/>
      <c r="BK28" s="100"/>
      <c r="BL28" s="100"/>
      <c r="BM28" s="100"/>
      <c r="BN28" s="100"/>
      <c r="BO28" s="100"/>
      <c r="BP28" s="100"/>
      <c r="BQ28" s="100"/>
      <c r="BR28" s="100"/>
      <c r="BS28" s="100"/>
      <c r="BT28" s="100"/>
      <c r="BU28" s="100"/>
      <c r="BV28" s="100"/>
      <c r="BW28" s="100"/>
      <c r="BX28" s="100"/>
      <c r="BY28" s="100"/>
      <c r="BZ28" s="100"/>
      <c r="CA28" s="100"/>
      <c r="CB28" s="100"/>
      <c r="CC28" s="100"/>
      <c r="CD28" s="100"/>
      <c r="CE28" s="100"/>
      <c r="CF28" s="100"/>
      <c r="CG28" s="100"/>
      <c r="CH28" s="100"/>
      <c r="CI28" s="100"/>
      <c r="CJ28" s="100"/>
      <c r="CK28" s="100"/>
      <c r="CL28" s="100"/>
      <c r="CM28" s="100"/>
      <c r="CN28" s="100"/>
      <c r="CO28" s="100"/>
      <c r="CP28" s="100"/>
      <c r="CQ28" s="100"/>
      <c r="CR28" s="100"/>
      <c r="CS28" s="100"/>
      <c r="CT28" s="100"/>
      <c r="CU28" s="100"/>
      <c r="CV28" s="100"/>
      <c r="CW28" s="100"/>
      <c r="CX28" s="100"/>
      <c r="CY28" s="100"/>
      <c r="CZ28" s="100"/>
      <c r="DA28" s="100"/>
      <c r="DB28" s="100"/>
      <c r="DC28" s="100"/>
      <c r="DD28" s="100"/>
      <c r="DE28" s="100"/>
      <c r="DF28" s="100"/>
      <c r="DG28" s="100"/>
      <c r="DH28" s="100"/>
      <c r="DI28" s="100"/>
      <c r="DJ28" s="100"/>
      <c r="DK28" s="100"/>
      <c r="DL28" s="100"/>
      <c r="DM28" s="100"/>
      <c r="DN28" s="100"/>
      <c r="DO28" s="100"/>
      <c r="DP28" s="100"/>
      <c r="DQ28" s="100"/>
      <c r="DR28" s="100"/>
      <c r="DS28" s="100"/>
      <c r="DT28" s="100"/>
      <c r="DU28" s="100"/>
      <c r="DV28" s="100"/>
      <c r="DW28" s="100"/>
      <c r="DX28" s="100"/>
      <c r="DY28" s="100"/>
      <c r="DZ28" s="100"/>
      <c r="EA28" s="100"/>
      <c r="EB28" s="100"/>
      <c r="EC28" s="100"/>
      <c r="ED28" s="100"/>
      <c r="EE28" s="100"/>
      <c r="EF28" s="100"/>
      <c r="EG28" s="100"/>
      <c r="EH28" s="100"/>
      <c r="EI28" s="100"/>
      <c r="EJ28" s="100"/>
      <c r="EK28" s="100"/>
      <c r="EL28" s="100"/>
      <c r="EM28" s="100"/>
      <c r="EN28" s="100"/>
      <c r="EO28" s="100"/>
      <c r="EP28" s="100"/>
      <c r="EQ28" s="106"/>
      <c r="ER28" s="106"/>
      <c r="ES28" s="106"/>
      <c r="ET28" s="106"/>
      <c r="EU28" s="106"/>
      <c r="EV28" s="106"/>
      <c r="EW28" s="106"/>
      <c r="EX28" s="106"/>
      <c r="EY28" s="106"/>
      <c r="EZ28" s="106"/>
      <c r="FA28" s="106"/>
      <c r="FB28" s="106"/>
      <c r="FC28" s="106"/>
      <c r="FD28" s="106"/>
      <c r="FE28" s="106"/>
      <c r="FF28" s="106"/>
      <c r="FG28" s="106"/>
      <c r="FH28" s="106"/>
      <c r="FI28" s="106"/>
      <c r="FJ28" s="106"/>
      <c r="FK28" s="106"/>
      <c r="FL28" s="106"/>
      <c r="FM28" s="106"/>
      <c r="FN28" s="106"/>
      <c r="FO28" s="106"/>
      <c r="FP28" s="106"/>
      <c r="FQ28" s="106"/>
      <c r="FR28" s="106"/>
      <c r="FS28" s="106"/>
      <c r="FT28" s="106"/>
      <c r="FU28" s="106"/>
      <c r="FV28" s="106"/>
      <c r="FW28" s="106"/>
      <c r="FX28" s="106"/>
      <c r="FY28" s="106"/>
      <c r="FZ28" s="106"/>
      <c r="GA28" s="106"/>
      <c r="GB28" s="106"/>
      <c r="GC28" s="106"/>
      <c r="GD28" s="106"/>
      <c r="GE28" s="106"/>
      <c r="GF28" s="106"/>
      <c r="GG28" s="159"/>
    </row>
    <row r="29" spans="2:189" x14ac:dyDescent="0.2">
      <c r="B29" s="97">
        <v>40878</v>
      </c>
      <c r="C29" s="100">
        <v>70.5</v>
      </c>
      <c r="D29" s="101">
        <v>70.7</v>
      </c>
      <c r="E29" s="101">
        <v>70.7</v>
      </c>
      <c r="F29" s="101">
        <v>70.8</v>
      </c>
      <c r="G29" s="103">
        <v>70.599999999999994</v>
      </c>
      <c r="H29" s="100">
        <v>70.400000000000006</v>
      </c>
      <c r="I29" s="100">
        <v>70.5</v>
      </c>
      <c r="J29" s="100">
        <v>70.5</v>
      </c>
      <c r="K29" s="100">
        <v>70.7</v>
      </c>
      <c r="L29" s="100">
        <v>70.7</v>
      </c>
      <c r="M29" s="100">
        <v>70.599999999999994</v>
      </c>
      <c r="N29" s="100">
        <v>70.7</v>
      </c>
      <c r="O29" s="100">
        <v>70.7</v>
      </c>
      <c r="P29" s="100">
        <v>70.5</v>
      </c>
      <c r="Q29" s="100">
        <v>70.400000000000006</v>
      </c>
      <c r="R29" s="100">
        <v>70.2</v>
      </c>
      <c r="S29" s="102">
        <v>70.3</v>
      </c>
      <c r="T29" s="100"/>
      <c r="U29" s="100"/>
      <c r="V29" s="100"/>
      <c r="W29" s="100"/>
      <c r="X29" s="100"/>
      <c r="Y29" s="100"/>
      <c r="Z29" s="100"/>
      <c r="AA29" s="100"/>
      <c r="AB29" s="100"/>
      <c r="AC29" s="100"/>
      <c r="AD29" s="100"/>
      <c r="AE29" s="100"/>
      <c r="AF29" s="100"/>
      <c r="AG29" s="100"/>
      <c r="AH29" s="100"/>
      <c r="AI29" s="100"/>
      <c r="AJ29" s="100"/>
      <c r="AK29" s="100"/>
      <c r="AL29" s="100"/>
      <c r="AM29" s="100"/>
      <c r="AN29" s="100"/>
      <c r="AO29" s="100"/>
      <c r="AP29" s="100"/>
      <c r="AQ29" s="100"/>
      <c r="AR29" s="100"/>
      <c r="AS29" s="100"/>
      <c r="AT29" s="100"/>
      <c r="AU29" s="100"/>
      <c r="AV29" s="100"/>
      <c r="AW29" s="100"/>
      <c r="AX29" s="100"/>
      <c r="AY29" s="100"/>
      <c r="AZ29" s="100"/>
      <c r="BA29" s="100"/>
      <c r="BB29" s="100"/>
      <c r="BC29" s="100"/>
      <c r="BD29" s="100"/>
      <c r="BE29" s="100"/>
      <c r="BF29" s="100"/>
      <c r="BG29" s="100"/>
      <c r="BH29" s="100"/>
      <c r="BI29" s="100"/>
      <c r="BJ29" s="100"/>
      <c r="BK29" s="100"/>
      <c r="BL29" s="100"/>
      <c r="BM29" s="100"/>
      <c r="BN29" s="100"/>
      <c r="BO29" s="100"/>
      <c r="BP29" s="100"/>
      <c r="BQ29" s="100"/>
      <c r="BR29" s="100"/>
      <c r="BS29" s="100"/>
      <c r="BT29" s="100"/>
      <c r="BU29" s="100"/>
      <c r="BV29" s="100"/>
      <c r="BW29" s="100"/>
      <c r="BX29" s="100"/>
      <c r="BY29" s="100"/>
      <c r="BZ29" s="100"/>
      <c r="CA29" s="100"/>
      <c r="CB29" s="100"/>
      <c r="CC29" s="100"/>
      <c r="CD29" s="100"/>
      <c r="CE29" s="100"/>
      <c r="CF29" s="100"/>
      <c r="CG29" s="100"/>
      <c r="CH29" s="100"/>
      <c r="CI29" s="100"/>
      <c r="CJ29" s="100"/>
      <c r="CK29" s="100"/>
      <c r="CL29" s="100"/>
      <c r="CM29" s="100"/>
      <c r="CN29" s="100"/>
      <c r="CO29" s="100"/>
      <c r="CP29" s="100"/>
      <c r="CQ29" s="100"/>
      <c r="CR29" s="100"/>
      <c r="CS29" s="100"/>
      <c r="CT29" s="100"/>
      <c r="CU29" s="100"/>
      <c r="CV29" s="100"/>
      <c r="CW29" s="100"/>
      <c r="CX29" s="100"/>
      <c r="CY29" s="100"/>
      <c r="CZ29" s="100"/>
      <c r="DA29" s="100"/>
      <c r="DB29" s="100"/>
      <c r="DC29" s="100"/>
      <c r="DD29" s="100"/>
      <c r="DE29" s="100"/>
      <c r="DF29" s="100"/>
      <c r="DG29" s="100"/>
      <c r="DH29" s="100"/>
      <c r="DI29" s="100"/>
      <c r="DJ29" s="100"/>
      <c r="DK29" s="100"/>
      <c r="DL29" s="100"/>
      <c r="DM29" s="100"/>
      <c r="DN29" s="100"/>
      <c r="DO29" s="100"/>
      <c r="DP29" s="100"/>
      <c r="DQ29" s="100"/>
      <c r="DR29" s="100"/>
      <c r="DS29" s="100"/>
      <c r="DT29" s="100"/>
      <c r="DU29" s="100"/>
      <c r="DV29" s="100"/>
      <c r="DW29" s="100"/>
      <c r="DX29" s="100"/>
      <c r="DY29" s="100"/>
      <c r="DZ29" s="100"/>
      <c r="EA29" s="100"/>
      <c r="EB29" s="100"/>
      <c r="EC29" s="100"/>
      <c r="ED29" s="100"/>
      <c r="EE29" s="100"/>
      <c r="EF29" s="100"/>
      <c r="EG29" s="100"/>
      <c r="EH29" s="100"/>
      <c r="EI29" s="100"/>
      <c r="EJ29" s="100"/>
      <c r="EK29" s="100"/>
      <c r="EL29" s="100"/>
      <c r="EM29" s="100"/>
      <c r="EN29" s="100"/>
      <c r="EO29" s="100"/>
      <c r="EP29" s="100"/>
      <c r="EQ29" s="106"/>
      <c r="ER29" s="106"/>
      <c r="ES29" s="106"/>
      <c r="ET29" s="106"/>
      <c r="EU29" s="106"/>
      <c r="EV29" s="106"/>
      <c r="EW29" s="106"/>
      <c r="EX29" s="106"/>
      <c r="EY29" s="106"/>
      <c r="EZ29" s="106"/>
      <c r="FA29" s="106"/>
      <c r="FB29" s="106"/>
      <c r="FC29" s="106"/>
      <c r="FD29" s="106"/>
      <c r="FE29" s="106"/>
      <c r="FF29" s="106"/>
      <c r="FG29" s="106"/>
      <c r="FH29" s="106"/>
      <c r="FI29" s="106"/>
      <c r="FJ29" s="106"/>
      <c r="FK29" s="106"/>
      <c r="FL29" s="106"/>
      <c r="FM29" s="106"/>
      <c r="FN29" s="106"/>
      <c r="FO29" s="106"/>
      <c r="FP29" s="106"/>
      <c r="FQ29" s="106"/>
      <c r="FR29" s="106"/>
      <c r="FS29" s="106"/>
      <c r="FT29" s="106"/>
      <c r="FU29" s="106"/>
      <c r="FV29" s="106"/>
      <c r="FW29" s="106"/>
      <c r="FX29" s="106"/>
      <c r="FY29" s="106"/>
      <c r="FZ29" s="106"/>
      <c r="GA29" s="106"/>
      <c r="GB29" s="106"/>
      <c r="GC29" s="106"/>
      <c r="GD29" s="106"/>
      <c r="GE29" s="106"/>
      <c r="GF29" s="106"/>
      <c r="GG29" s="159"/>
    </row>
    <row r="30" spans="2:189" x14ac:dyDescent="0.2">
      <c r="B30" s="97">
        <v>40909</v>
      </c>
      <c r="C30" s="100">
        <v>70.5</v>
      </c>
      <c r="D30" s="101">
        <v>70.7</v>
      </c>
      <c r="E30" s="101">
        <v>70.7</v>
      </c>
      <c r="F30" s="101">
        <v>70.8</v>
      </c>
      <c r="G30" s="100">
        <v>70.599999999999994</v>
      </c>
      <c r="H30" s="103">
        <v>70.400000000000006</v>
      </c>
      <c r="I30" s="100">
        <v>70.5</v>
      </c>
      <c r="J30" s="100">
        <v>70.5</v>
      </c>
      <c r="K30" s="100">
        <v>70.7</v>
      </c>
      <c r="L30" s="100">
        <v>70.7</v>
      </c>
      <c r="M30" s="100">
        <v>70.599999999999994</v>
      </c>
      <c r="N30" s="100">
        <v>70.7</v>
      </c>
      <c r="O30" s="100">
        <v>70.7</v>
      </c>
      <c r="P30" s="100">
        <v>70.5</v>
      </c>
      <c r="Q30" s="100">
        <v>70.400000000000006</v>
      </c>
      <c r="R30" s="100">
        <v>70.2</v>
      </c>
      <c r="S30" s="100">
        <v>70.3</v>
      </c>
      <c r="T30" s="102">
        <v>70.3</v>
      </c>
      <c r="U30" s="100"/>
      <c r="V30" s="100"/>
      <c r="W30" s="100"/>
      <c r="X30" s="100"/>
      <c r="Y30" s="100"/>
      <c r="Z30" s="100"/>
      <c r="AA30" s="100"/>
      <c r="AB30" s="100"/>
      <c r="AC30" s="100"/>
      <c r="AD30" s="100"/>
      <c r="AE30" s="100"/>
      <c r="AF30" s="100"/>
      <c r="AG30" s="100"/>
      <c r="AH30" s="100"/>
      <c r="AI30" s="100"/>
      <c r="AJ30" s="100"/>
      <c r="AK30" s="100"/>
      <c r="AL30" s="100"/>
      <c r="AM30" s="100"/>
      <c r="AN30" s="100"/>
      <c r="AO30" s="100"/>
      <c r="AP30" s="100"/>
      <c r="AQ30" s="100"/>
      <c r="AR30" s="100"/>
      <c r="AS30" s="100"/>
      <c r="AT30" s="100"/>
      <c r="AU30" s="100"/>
      <c r="AV30" s="100"/>
      <c r="AW30" s="100"/>
      <c r="AX30" s="100"/>
      <c r="AY30" s="100"/>
      <c r="AZ30" s="100"/>
      <c r="BA30" s="100"/>
      <c r="BB30" s="100"/>
      <c r="BC30" s="100"/>
      <c r="BD30" s="100"/>
      <c r="BE30" s="100"/>
      <c r="BF30" s="100"/>
      <c r="BG30" s="100"/>
      <c r="BH30" s="100"/>
      <c r="BI30" s="100"/>
      <c r="BJ30" s="100"/>
      <c r="BK30" s="100"/>
      <c r="BL30" s="100"/>
      <c r="BM30" s="100"/>
      <c r="BN30" s="100"/>
      <c r="BO30" s="100"/>
      <c r="BP30" s="100"/>
      <c r="BQ30" s="100"/>
      <c r="BR30" s="100"/>
      <c r="BS30" s="100"/>
      <c r="BT30" s="100"/>
      <c r="BU30" s="100"/>
      <c r="BV30" s="100"/>
      <c r="BW30" s="100"/>
      <c r="BX30" s="100"/>
      <c r="BY30" s="100"/>
      <c r="BZ30" s="100"/>
      <c r="CA30" s="100"/>
      <c r="CB30" s="100"/>
      <c r="CC30" s="100"/>
      <c r="CD30" s="100"/>
      <c r="CE30" s="100"/>
      <c r="CF30" s="100"/>
      <c r="CG30" s="100"/>
      <c r="CH30" s="100"/>
      <c r="CI30" s="100"/>
      <c r="CJ30" s="100"/>
      <c r="CK30" s="100"/>
      <c r="CL30" s="100"/>
      <c r="CM30" s="100"/>
      <c r="CN30" s="100"/>
      <c r="CO30" s="100"/>
      <c r="CP30" s="100"/>
      <c r="CQ30" s="100"/>
      <c r="CR30" s="100"/>
      <c r="CS30" s="100"/>
      <c r="CT30" s="100"/>
      <c r="CU30" s="100"/>
      <c r="CV30" s="100"/>
      <c r="CW30" s="100"/>
      <c r="CX30" s="100"/>
      <c r="CY30" s="100"/>
      <c r="CZ30" s="100"/>
      <c r="DA30" s="100"/>
      <c r="DB30" s="100"/>
      <c r="DC30" s="100"/>
      <c r="DD30" s="100"/>
      <c r="DE30" s="100"/>
      <c r="DF30" s="100"/>
      <c r="DG30" s="100"/>
      <c r="DH30" s="100"/>
      <c r="DI30" s="100"/>
      <c r="DJ30" s="100"/>
      <c r="DK30" s="100"/>
      <c r="DL30" s="100"/>
      <c r="DM30" s="100"/>
      <c r="DN30" s="100"/>
      <c r="DO30" s="100"/>
      <c r="DP30" s="100"/>
      <c r="DQ30" s="100"/>
      <c r="DR30" s="100"/>
      <c r="DS30" s="100"/>
      <c r="DT30" s="100"/>
      <c r="DU30" s="100"/>
      <c r="DV30" s="100"/>
      <c r="DW30" s="100"/>
      <c r="DX30" s="100"/>
      <c r="DY30" s="100"/>
      <c r="DZ30" s="100"/>
      <c r="EA30" s="100"/>
      <c r="EB30" s="100"/>
      <c r="EC30" s="100"/>
      <c r="ED30" s="100"/>
      <c r="EE30" s="100"/>
      <c r="EF30" s="100"/>
      <c r="EG30" s="100"/>
      <c r="EH30" s="100"/>
      <c r="EI30" s="100"/>
      <c r="EJ30" s="100"/>
      <c r="EK30" s="100"/>
      <c r="EL30" s="100"/>
      <c r="EM30" s="100"/>
      <c r="EN30" s="100"/>
      <c r="EO30" s="100"/>
      <c r="EP30" s="100"/>
      <c r="EQ30" s="106"/>
      <c r="ER30" s="106"/>
      <c r="ES30" s="106"/>
      <c r="ET30" s="106"/>
      <c r="EU30" s="106"/>
      <c r="EV30" s="106"/>
      <c r="EW30" s="106"/>
      <c r="EX30" s="106"/>
      <c r="EY30" s="106"/>
      <c r="EZ30" s="106"/>
      <c r="FA30" s="106"/>
      <c r="FB30" s="106"/>
      <c r="FC30" s="106"/>
      <c r="FD30" s="106"/>
      <c r="FE30" s="106"/>
      <c r="FF30" s="106"/>
      <c r="FG30" s="106"/>
      <c r="FH30" s="106"/>
      <c r="FI30" s="106"/>
      <c r="FJ30" s="106"/>
      <c r="FK30" s="106"/>
      <c r="FL30" s="106"/>
      <c r="FM30" s="106"/>
      <c r="FN30" s="106"/>
      <c r="FO30" s="106"/>
      <c r="FP30" s="106"/>
      <c r="FQ30" s="106"/>
      <c r="FR30" s="106"/>
      <c r="FS30" s="106"/>
      <c r="FT30" s="106"/>
      <c r="FU30" s="106"/>
      <c r="FV30" s="106"/>
      <c r="FW30" s="106"/>
      <c r="FX30" s="106"/>
      <c r="FY30" s="106"/>
      <c r="FZ30" s="106"/>
      <c r="GA30" s="106"/>
      <c r="GB30" s="106"/>
      <c r="GC30" s="106"/>
      <c r="GD30" s="106"/>
      <c r="GE30" s="106"/>
      <c r="GF30" s="106"/>
      <c r="GG30" s="159"/>
    </row>
    <row r="31" spans="2:189" x14ac:dyDescent="0.2">
      <c r="B31" s="97">
        <v>40940</v>
      </c>
      <c r="C31" s="100">
        <v>70.5</v>
      </c>
      <c r="D31" s="101">
        <v>70.7</v>
      </c>
      <c r="E31" s="101">
        <v>70.7</v>
      </c>
      <c r="F31" s="101">
        <v>70.8</v>
      </c>
      <c r="G31" s="100">
        <v>70.599999999999994</v>
      </c>
      <c r="H31" s="100">
        <v>70.400000000000006</v>
      </c>
      <c r="I31" s="103">
        <v>70.5</v>
      </c>
      <c r="J31" s="100">
        <v>70.5</v>
      </c>
      <c r="K31" s="100">
        <v>70.7</v>
      </c>
      <c r="L31" s="100">
        <v>70.7</v>
      </c>
      <c r="M31" s="100">
        <v>70.599999999999994</v>
      </c>
      <c r="N31" s="100">
        <v>70.7</v>
      </c>
      <c r="O31" s="100">
        <v>70.7</v>
      </c>
      <c r="P31" s="100">
        <v>70.5</v>
      </c>
      <c r="Q31" s="100">
        <v>70.400000000000006</v>
      </c>
      <c r="R31" s="100">
        <v>70.2</v>
      </c>
      <c r="S31" s="100">
        <v>70.3</v>
      </c>
      <c r="T31" s="100">
        <v>70.3</v>
      </c>
      <c r="U31" s="102">
        <v>70.3</v>
      </c>
      <c r="V31" s="100"/>
      <c r="W31" s="100"/>
      <c r="X31" s="100"/>
      <c r="Y31" s="100"/>
      <c r="Z31" s="100"/>
      <c r="AA31" s="100"/>
      <c r="AB31" s="100"/>
      <c r="AC31" s="100"/>
      <c r="AD31" s="100"/>
      <c r="AE31" s="100"/>
      <c r="AF31" s="100"/>
      <c r="AG31" s="100"/>
      <c r="AH31" s="100"/>
      <c r="AI31" s="100"/>
      <c r="AJ31" s="100"/>
      <c r="AK31" s="100"/>
      <c r="AL31" s="100"/>
      <c r="AM31" s="100"/>
      <c r="AN31" s="100"/>
      <c r="AO31" s="100"/>
      <c r="AP31" s="100"/>
      <c r="AQ31" s="100"/>
      <c r="AR31" s="100"/>
      <c r="AS31" s="100"/>
      <c r="AT31" s="100"/>
      <c r="AU31" s="100"/>
      <c r="AV31" s="100"/>
      <c r="AW31" s="100"/>
      <c r="AX31" s="100"/>
      <c r="AY31" s="100"/>
      <c r="AZ31" s="100"/>
      <c r="BA31" s="100"/>
      <c r="BB31" s="100"/>
      <c r="BC31" s="100"/>
      <c r="BD31" s="100"/>
      <c r="BE31" s="100"/>
      <c r="BF31" s="100"/>
      <c r="BG31" s="100"/>
      <c r="BH31" s="100"/>
      <c r="BI31" s="100"/>
      <c r="BJ31" s="100"/>
      <c r="BK31" s="100"/>
      <c r="BL31" s="100"/>
      <c r="BM31" s="100"/>
      <c r="BN31" s="100"/>
      <c r="BO31" s="100"/>
      <c r="BP31" s="100"/>
      <c r="BQ31" s="100"/>
      <c r="BR31" s="100"/>
      <c r="BS31" s="100"/>
      <c r="BT31" s="100"/>
      <c r="BU31" s="100"/>
      <c r="BV31" s="100"/>
      <c r="BW31" s="100"/>
      <c r="BX31" s="100"/>
      <c r="BY31" s="100"/>
      <c r="BZ31" s="100"/>
      <c r="CA31" s="100"/>
      <c r="CB31" s="100"/>
      <c r="CC31" s="100"/>
      <c r="CD31" s="100"/>
      <c r="CE31" s="100"/>
      <c r="CF31" s="100"/>
      <c r="CG31" s="100"/>
      <c r="CH31" s="100"/>
      <c r="CI31" s="100"/>
      <c r="CJ31" s="100"/>
      <c r="CK31" s="100"/>
      <c r="CL31" s="100"/>
      <c r="CM31" s="100"/>
      <c r="CN31" s="100"/>
      <c r="CO31" s="100"/>
      <c r="CP31" s="100"/>
      <c r="CQ31" s="100"/>
      <c r="CR31" s="100"/>
      <c r="CS31" s="100"/>
      <c r="CT31" s="100"/>
      <c r="CU31" s="100"/>
      <c r="CV31" s="100"/>
      <c r="CW31" s="100"/>
      <c r="CX31" s="100"/>
      <c r="CY31" s="100"/>
      <c r="CZ31" s="100"/>
      <c r="DA31" s="100"/>
      <c r="DB31" s="100"/>
      <c r="DC31" s="100"/>
      <c r="DD31" s="100"/>
      <c r="DE31" s="100"/>
      <c r="DF31" s="100"/>
      <c r="DG31" s="100"/>
      <c r="DH31" s="100"/>
      <c r="DI31" s="100"/>
      <c r="DJ31" s="100"/>
      <c r="DK31" s="100"/>
      <c r="DL31" s="100"/>
      <c r="DM31" s="100"/>
      <c r="DN31" s="100"/>
      <c r="DO31" s="100"/>
      <c r="DP31" s="100"/>
      <c r="DQ31" s="100"/>
      <c r="DR31" s="100"/>
      <c r="DS31" s="100"/>
      <c r="DT31" s="100"/>
      <c r="DU31" s="100"/>
      <c r="DV31" s="100"/>
      <c r="DW31" s="100"/>
      <c r="DX31" s="100"/>
      <c r="DY31" s="100"/>
      <c r="DZ31" s="100"/>
      <c r="EA31" s="100"/>
      <c r="EB31" s="100"/>
      <c r="EC31" s="100"/>
      <c r="ED31" s="100"/>
      <c r="EE31" s="100"/>
      <c r="EF31" s="100"/>
      <c r="EG31" s="100"/>
      <c r="EH31" s="100"/>
      <c r="EI31" s="100"/>
      <c r="EJ31" s="100"/>
      <c r="EK31" s="100"/>
      <c r="EL31" s="100"/>
      <c r="EM31" s="100"/>
      <c r="EN31" s="100"/>
      <c r="EO31" s="100"/>
      <c r="EP31" s="100"/>
      <c r="EQ31" s="106"/>
      <c r="ER31" s="106"/>
      <c r="ES31" s="106"/>
      <c r="ET31" s="106"/>
      <c r="EU31" s="106"/>
      <c r="EV31" s="106"/>
      <c r="EW31" s="106"/>
      <c r="EX31" s="106"/>
      <c r="EY31" s="106"/>
      <c r="EZ31" s="106"/>
      <c r="FA31" s="106"/>
      <c r="FB31" s="106"/>
      <c r="FC31" s="106"/>
      <c r="FD31" s="106"/>
      <c r="FE31" s="106"/>
      <c r="FF31" s="106"/>
      <c r="FG31" s="106"/>
      <c r="FH31" s="106"/>
      <c r="FI31" s="106"/>
      <c r="FJ31" s="106"/>
      <c r="FK31" s="106"/>
      <c r="FL31" s="106"/>
      <c r="FM31" s="106"/>
      <c r="FN31" s="106"/>
      <c r="FO31" s="106"/>
      <c r="FP31" s="106"/>
      <c r="FQ31" s="106"/>
      <c r="FR31" s="106"/>
      <c r="FS31" s="106"/>
      <c r="FT31" s="106"/>
      <c r="FU31" s="106"/>
      <c r="FV31" s="106"/>
      <c r="FW31" s="106"/>
      <c r="FX31" s="106"/>
      <c r="FY31" s="106"/>
      <c r="FZ31" s="106"/>
      <c r="GA31" s="106"/>
      <c r="GB31" s="106"/>
      <c r="GC31" s="106"/>
      <c r="GD31" s="106"/>
      <c r="GE31" s="106"/>
      <c r="GF31" s="106"/>
      <c r="GG31" s="159"/>
    </row>
    <row r="32" spans="2:189" x14ac:dyDescent="0.2">
      <c r="B32" s="97">
        <v>40969</v>
      </c>
      <c r="C32" s="100">
        <v>70.5</v>
      </c>
      <c r="D32" s="101">
        <v>70.7</v>
      </c>
      <c r="E32" s="101">
        <v>70.7</v>
      </c>
      <c r="F32" s="101">
        <v>70.8</v>
      </c>
      <c r="G32" s="100">
        <v>70.599999999999994</v>
      </c>
      <c r="H32" s="100">
        <v>70.400000000000006</v>
      </c>
      <c r="I32" s="100">
        <v>70.5</v>
      </c>
      <c r="J32" s="103">
        <v>70.5</v>
      </c>
      <c r="K32" s="100">
        <v>70.7</v>
      </c>
      <c r="L32" s="100">
        <v>70.7</v>
      </c>
      <c r="M32" s="100">
        <v>70.599999999999994</v>
      </c>
      <c r="N32" s="100">
        <v>70.7</v>
      </c>
      <c r="O32" s="100">
        <v>70.7</v>
      </c>
      <c r="P32" s="100">
        <v>70.5</v>
      </c>
      <c r="Q32" s="100">
        <v>70.400000000000006</v>
      </c>
      <c r="R32" s="100">
        <v>70.2</v>
      </c>
      <c r="S32" s="100">
        <v>70.3</v>
      </c>
      <c r="T32" s="100">
        <v>70.3</v>
      </c>
      <c r="U32" s="100">
        <v>70.3</v>
      </c>
      <c r="V32" s="102">
        <v>70.3</v>
      </c>
      <c r="W32" s="100"/>
      <c r="X32" s="100"/>
      <c r="Y32" s="100"/>
      <c r="Z32" s="100"/>
      <c r="AA32" s="100"/>
      <c r="AB32" s="100"/>
      <c r="AC32" s="100"/>
      <c r="AD32" s="100"/>
      <c r="AE32" s="100"/>
      <c r="AF32" s="100"/>
      <c r="AG32" s="100"/>
      <c r="AH32" s="100"/>
      <c r="AI32" s="100"/>
      <c r="AJ32" s="100"/>
      <c r="AK32" s="100"/>
      <c r="AL32" s="100"/>
      <c r="AM32" s="100"/>
      <c r="AN32" s="100"/>
      <c r="AO32" s="100"/>
      <c r="AP32" s="100"/>
      <c r="AQ32" s="100"/>
      <c r="AR32" s="100"/>
      <c r="AS32" s="100"/>
      <c r="AT32" s="100"/>
      <c r="AU32" s="100"/>
      <c r="AV32" s="100"/>
      <c r="AW32" s="100"/>
      <c r="AX32" s="100"/>
      <c r="AY32" s="100"/>
      <c r="AZ32" s="100"/>
      <c r="BA32" s="100"/>
      <c r="BB32" s="100"/>
      <c r="BC32" s="100"/>
      <c r="BD32" s="100"/>
      <c r="BE32" s="100"/>
      <c r="BF32" s="100"/>
      <c r="BG32" s="100"/>
      <c r="BH32" s="100"/>
      <c r="BI32" s="100"/>
      <c r="BJ32" s="100"/>
      <c r="BK32" s="100"/>
      <c r="BL32" s="100"/>
      <c r="BM32" s="100"/>
      <c r="BN32" s="100"/>
      <c r="BO32" s="100"/>
      <c r="BP32" s="100"/>
      <c r="BQ32" s="100"/>
      <c r="BR32" s="100"/>
      <c r="BS32" s="100"/>
      <c r="BT32" s="100"/>
      <c r="BU32" s="100"/>
      <c r="BV32" s="100"/>
      <c r="BW32" s="100"/>
      <c r="BX32" s="100"/>
      <c r="BY32" s="100"/>
      <c r="BZ32" s="100"/>
      <c r="CA32" s="100"/>
      <c r="CB32" s="100"/>
      <c r="CC32" s="100"/>
      <c r="CD32" s="100"/>
      <c r="CE32" s="100"/>
      <c r="CF32" s="100"/>
      <c r="CG32" s="100"/>
      <c r="CH32" s="100"/>
      <c r="CI32" s="100"/>
      <c r="CJ32" s="100"/>
      <c r="CK32" s="100"/>
      <c r="CL32" s="100"/>
      <c r="CM32" s="100"/>
      <c r="CN32" s="100"/>
      <c r="CO32" s="100"/>
      <c r="CP32" s="100"/>
      <c r="CQ32" s="100"/>
      <c r="CR32" s="100"/>
      <c r="CS32" s="100"/>
      <c r="CT32" s="100"/>
      <c r="CU32" s="100"/>
      <c r="CV32" s="100"/>
      <c r="CW32" s="100"/>
      <c r="CX32" s="100"/>
      <c r="CY32" s="100"/>
      <c r="CZ32" s="100"/>
      <c r="DA32" s="100"/>
      <c r="DB32" s="100"/>
      <c r="DC32" s="100"/>
      <c r="DD32" s="100"/>
      <c r="DE32" s="100"/>
      <c r="DF32" s="100"/>
      <c r="DG32" s="100"/>
      <c r="DH32" s="100"/>
      <c r="DI32" s="100"/>
      <c r="DJ32" s="100"/>
      <c r="DK32" s="100"/>
      <c r="DL32" s="100"/>
      <c r="DM32" s="100"/>
      <c r="DN32" s="100"/>
      <c r="DO32" s="100"/>
      <c r="DP32" s="100"/>
      <c r="DQ32" s="100"/>
      <c r="DR32" s="100"/>
      <c r="DS32" s="100"/>
      <c r="DT32" s="100"/>
      <c r="DU32" s="100"/>
      <c r="DV32" s="100"/>
      <c r="DW32" s="100"/>
      <c r="DX32" s="100"/>
      <c r="DY32" s="100"/>
      <c r="DZ32" s="100"/>
      <c r="EA32" s="100"/>
      <c r="EB32" s="100"/>
      <c r="EC32" s="100"/>
      <c r="ED32" s="100"/>
      <c r="EE32" s="100"/>
      <c r="EF32" s="100"/>
      <c r="EG32" s="100"/>
      <c r="EH32" s="100"/>
      <c r="EI32" s="100"/>
      <c r="EJ32" s="100"/>
      <c r="EK32" s="100"/>
      <c r="EL32" s="100"/>
      <c r="EM32" s="100"/>
      <c r="EN32" s="100"/>
      <c r="EO32" s="100"/>
      <c r="EP32" s="100"/>
      <c r="EQ32" s="106"/>
      <c r="ER32" s="106"/>
      <c r="ES32" s="106"/>
      <c r="ET32" s="106"/>
      <c r="EU32" s="106"/>
      <c r="EV32" s="106"/>
      <c r="EW32" s="106"/>
      <c r="EX32" s="106"/>
      <c r="EY32" s="106"/>
      <c r="EZ32" s="106"/>
      <c r="FA32" s="106"/>
      <c r="FB32" s="106"/>
      <c r="FC32" s="106"/>
      <c r="FD32" s="106"/>
      <c r="FE32" s="106"/>
      <c r="FF32" s="106"/>
      <c r="FG32" s="106"/>
      <c r="FH32" s="106"/>
      <c r="FI32" s="106"/>
      <c r="FJ32" s="106"/>
      <c r="FK32" s="106"/>
      <c r="FL32" s="106"/>
      <c r="FM32" s="106"/>
      <c r="FN32" s="106"/>
      <c r="FO32" s="106"/>
      <c r="FP32" s="106"/>
      <c r="FQ32" s="106"/>
      <c r="FR32" s="106"/>
      <c r="FS32" s="106"/>
      <c r="FT32" s="106"/>
      <c r="FU32" s="106"/>
      <c r="FV32" s="106"/>
      <c r="FW32" s="106"/>
      <c r="FX32" s="106"/>
      <c r="FY32" s="106"/>
      <c r="FZ32" s="106"/>
      <c r="GA32" s="106"/>
      <c r="GB32" s="106"/>
      <c r="GC32" s="106"/>
      <c r="GD32" s="106"/>
      <c r="GE32" s="106"/>
      <c r="GF32" s="106"/>
      <c r="GG32" s="159"/>
    </row>
    <row r="33" spans="2:189" x14ac:dyDescent="0.2">
      <c r="B33" s="97">
        <v>41000</v>
      </c>
      <c r="C33" s="100">
        <v>70.5</v>
      </c>
      <c r="D33" s="101">
        <v>70.7</v>
      </c>
      <c r="E33" s="101">
        <v>70.7</v>
      </c>
      <c r="F33" s="101">
        <v>70.8</v>
      </c>
      <c r="G33" s="100">
        <v>70.599999999999994</v>
      </c>
      <c r="H33" s="100">
        <v>70.400000000000006</v>
      </c>
      <c r="I33" s="100">
        <v>70.5</v>
      </c>
      <c r="J33" s="100">
        <v>70.5</v>
      </c>
      <c r="K33" s="103">
        <v>70.7</v>
      </c>
      <c r="L33" s="100">
        <v>70.7</v>
      </c>
      <c r="M33" s="100">
        <v>70.599999999999994</v>
      </c>
      <c r="N33" s="100">
        <v>70.7</v>
      </c>
      <c r="O33" s="100">
        <v>70.7</v>
      </c>
      <c r="P33" s="100">
        <v>70.5</v>
      </c>
      <c r="Q33" s="100">
        <v>70.400000000000006</v>
      </c>
      <c r="R33" s="100">
        <v>70.2</v>
      </c>
      <c r="S33" s="100">
        <v>70.3</v>
      </c>
      <c r="T33" s="100">
        <v>70.3</v>
      </c>
      <c r="U33" s="100">
        <v>70.3</v>
      </c>
      <c r="V33" s="100">
        <v>70.3</v>
      </c>
      <c r="W33" s="102">
        <v>70.400000000000006</v>
      </c>
      <c r="X33" s="100"/>
      <c r="Y33" s="100"/>
      <c r="Z33" s="100"/>
      <c r="AA33" s="100"/>
      <c r="AB33" s="100"/>
      <c r="AC33" s="100"/>
      <c r="AD33" s="100"/>
      <c r="AE33" s="100"/>
      <c r="AF33" s="100"/>
      <c r="AG33" s="100"/>
      <c r="AH33" s="100"/>
      <c r="AI33" s="100"/>
      <c r="AJ33" s="100"/>
      <c r="AK33" s="100"/>
      <c r="AL33" s="100"/>
      <c r="AM33" s="100"/>
      <c r="AN33" s="100"/>
      <c r="AO33" s="100"/>
      <c r="AP33" s="100"/>
      <c r="AQ33" s="100"/>
      <c r="AR33" s="100"/>
      <c r="AS33" s="100"/>
      <c r="AT33" s="100"/>
      <c r="AU33" s="100"/>
      <c r="AV33" s="100"/>
      <c r="AW33" s="100"/>
      <c r="AX33" s="100"/>
      <c r="AY33" s="100"/>
      <c r="AZ33" s="100"/>
      <c r="BA33" s="100"/>
      <c r="BB33" s="100"/>
      <c r="BC33" s="100"/>
      <c r="BD33" s="100"/>
      <c r="BE33" s="100"/>
      <c r="BF33" s="100"/>
      <c r="BG33" s="100"/>
      <c r="BH33" s="100"/>
      <c r="BI33" s="100"/>
      <c r="BJ33" s="100"/>
      <c r="BK33" s="100"/>
      <c r="BL33" s="100"/>
      <c r="BM33" s="100"/>
      <c r="BN33" s="100"/>
      <c r="BO33" s="100"/>
      <c r="BP33" s="100"/>
      <c r="BQ33" s="100"/>
      <c r="BR33" s="100"/>
      <c r="BS33" s="100"/>
      <c r="BT33" s="100"/>
      <c r="BU33" s="100"/>
      <c r="BV33" s="100"/>
      <c r="BW33" s="100"/>
      <c r="BX33" s="100"/>
      <c r="BY33" s="100"/>
      <c r="BZ33" s="100"/>
      <c r="CA33" s="100"/>
      <c r="CB33" s="100"/>
      <c r="CC33" s="100"/>
      <c r="CD33" s="100"/>
      <c r="CE33" s="100"/>
      <c r="CF33" s="100"/>
      <c r="CG33" s="100"/>
      <c r="CH33" s="100"/>
      <c r="CI33" s="100"/>
      <c r="CJ33" s="100"/>
      <c r="CK33" s="100"/>
      <c r="CL33" s="100"/>
      <c r="CM33" s="100"/>
      <c r="CN33" s="100"/>
      <c r="CO33" s="100"/>
      <c r="CP33" s="100"/>
      <c r="CQ33" s="100"/>
      <c r="CR33" s="100"/>
      <c r="CS33" s="100"/>
      <c r="CT33" s="100"/>
      <c r="CU33" s="100"/>
      <c r="CV33" s="100"/>
      <c r="CW33" s="100"/>
      <c r="CX33" s="100"/>
      <c r="CY33" s="100"/>
      <c r="CZ33" s="100"/>
      <c r="DA33" s="100"/>
      <c r="DB33" s="100"/>
      <c r="DC33" s="100"/>
      <c r="DD33" s="100"/>
      <c r="DE33" s="100"/>
      <c r="DF33" s="100"/>
      <c r="DG33" s="100"/>
      <c r="DH33" s="100"/>
      <c r="DI33" s="100"/>
      <c r="DJ33" s="100"/>
      <c r="DK33" s="100"/>
      <c r="DL33" s="100"/>
      <c r="DM33" s="100"/>
      <c r="DN33" s="100"/>
      <c r="DO33" s="100"/>
      <c r="DP33" s="100"/>
      <c r="DQ33" s="100"/>
      <c r="DR33" s="100"/>
      <c r="DS33" s="100"/>
      <c r="DT33" s="100"/>
      <c r="DU33" s="100"/>
      <c r="DV33" s="100"/>
      <c r="DW33" s="100"/>
      <c r="DX33" s="100"/>
      <c r="DY33" s="100"/>
      <c r="DZ33" s="100"/>
      <c r="EA33" s="100"/>
      <c r="EB33" s="100"/>
      <c r="EC33" s="100"/>
      <c r="ED33" s="100"/>
      <c r="EE33" s="100"/>
      <c r="EF33" s="100"/>
      <c r="EG33" s="100"/>
      <c r="EH33" s="100"/>
      <c r="EI33" s="100"/>
      <c r="EJ33" s="100"/>
      <c r="EK33" s="100"/>
      <c r="EL33" s="100"/>
      <c r="EM33" s="100"/>
      <c r="EN33" s="100"/>
      <c r="EO33" s="100"/>
      <c r="EP33" s="100"/>
      <c r="EQ33" s="106"/>
      <c r="ER33" s="106"/>
      <c r="ES33" s="106"/>
      <c r="ET33" s="106"/>
      <c r="EU33" s="106"/>
      <c r="EV33" s="106"/>
      <c r="EW33" s="106"/>
      <c r="EX33" s="106"/>
      <c r="EY33" s="106"/>
      <c r="EZ33" s="106"/>
      <c r="FA33" s="106"/>
      <c r="FB33" s="106"/>
      <c r="FC33" s="106"/>
      <c r="FD33" s="106"/>
      <c r="FE33" s="106"/>
      <c r="FF33" s="106"/>
      <c r="FG33" s="106"/>
      <c r="FH33" s="106"/>
      <c r="FI33" s="106"/>
      <c r="FJ33" s="106"/>
      <c r="FK33" s="106"/>
      <c r="FL33" s="106"/>
      <c r="FM33" s="106"/>
      <c r="FN33" s="106"/>
      <c r="FO33" s="106"/>
      <c r="FP33" s="106"/>
      <c r="FQ33" s="106"/>
      <c r="FR33" s="106"/>
      <c r="FS33" s="106"/>
      <c r="FT33" s="106"/>
      <c r="FU33" s="106"/>
      <c r="FV33" s="106"/>
      <c r="FW33" s="106"/>
      <c r="FX33" s="106"/>
      <c r="FY33" s="106"/>
      <c r="FZ33" s="106"/>
      <c r="GA33" s="106"/>
      <c r="GB33" s="106"/>
      <c r="GC33" s="106"/>
      <c r="GD33" s="106"/>
      <c r="GE33" s="106"/>
      <c r="GF33" s="106"/>
      <c r="GG33" s="159"/>
    </row>
    <row r="34" spans="2:189" x14ac:dyDescent="0.2">
      <c r="B34" s="97">
        <v>41030</v>
      </c>
      <c r="C34" s="100">
        <v>70.5</v>
      </c>
      <c r="D34" s="101">
        <v>70.7</v>
      </c>
      <c r="E34" s="101">
        <v>70.7</v>
      </c>
      <c r="F34" s="101">
        <v>70.8</v>
      </c>
      <c r="G34" s="100">
        <v>70.599999999999994</v>
      </c>
      <c r="H34" s="100">
        <v>70.400000000000006</v>
      </c>
      <c r="I34" s="100">
        <v>70.5</v>
      </c>
      <c r="J34" s="100">
        <v>70.5</v>
      </c>
      <c r="K34" s="100">
        <v>70.7</v>
      </c>
      <c r="L34" s="103">
        <v>70.7</v>
      </c>
      <c r="M34" s="100">
        <v>70.599999999999994</v>
      </c>
      <c r="N34" s="100">
        <v>70.7</v>
      </c>
      <c r="O34" s="100">
        <v>70.7</v>
      </c>
      <c r="P34" s="100">
        <v>70.5</v>
      </c>
      <c r="Q34" s="100">
        <v>70.400000000000006</v>
      </c>
      <c r="R34" s="100">
        <v>70.2</v>
      </c>
      <c r="S34" s="100">
        <v>70.3</v>
      </c>
      <c r="T34" s="100">
        <v>70.3</v>
      </c>
      <c r="U34" s="100">
        <v>70.3</v>
      </c>
      <c r="V34" s="100">
        <v>70.3</v>
      </c>
      <c r="W34" s="100">
        <v>70.400000000000006</v>
      </c>
      <c r="X34" s="102">
        <v>70.5</v>
      </c>
      <c r="Y34" s="100"/>
      <c r="Z34" s="100"/>
      <c r="AA34" s="100"/>
      <c r="AB34" s="100"/>
      <c r="AC34" s="100"/>
      <c r="AD34" s="100"/>
      <c r="AE34" s="100"/>
      <c r="AF34" s="100"/>
      <c r="AG34" s="100"/>
      <c r="AH34" s="100"/>
      <c r="AI34" s="100"/>
      <c r="AJ34" s="100"/>
      <c r="AK34" s="100"/>
      <c r="AL34" s="100"/>
      <c r="AM34" s="100"/>
      <c r="AN34" s="100"/>
      <c r="AO34" s="100"/>
      <c r="AP34" s="100"/>
      <c r="AQ34" s="100"/>
      <c r="AR34" s="100"/>
      <c r="AS34" s="100"/>
      <c r="AT34" s="100"/>
      <c r="AU34" s="100"/>
      <c r="AV34" s="100"/>
      <c r="AW34" s="100"/>
      <c r="AX34" s="100"/>
      <c r="AY34" s="100"/>
      <c r="AZ34" s="100"/>
      <c r="BA34" s="100"/>
      <c r="BB34" s="100"/>
      <c r="BC34" s="100"/>
      <c r="BD34" s="100"/>
      <c r="BE34" s="100"/>
      <c r="BF34" s="100"/>
      <c r="BG34" s="100"/>
      <c r="BH34" s="100"/>
      <c r="BI34" s="100"/>
      <c r="BJ34" s="100"/>
      <c r="BK34" s="100"/>
      <c r="BL34" s="100"/>
      <c r="BM34" s="100"/>
      <c r="BN34" s="100"/>
      <c r="BO34" s="100"/>
      <c r="BP34" s="100"/>
      <c r="BQ34" s="100"/>
      <c r="BR34" s="100"/>
      <c r="BS34" s="100"/>
      <c r="BT34" s="100"/>
      <c r="BU34" s="100"/>
      <c r="BV34" s="100"/>
      <c r="BW34" s="100"/>
      <c r="BX34" s="100"/>
      <c r="BY34" s="100"/>
      <c r="BZ34" s="100"/>
      <c r="CA34" s="100"/>
      <c r="CB34" s="100"/>
      <c r="CC34" s="100"/>
      <c r="CD34" s="100"/>
      <c r="CE34" s="100"/>
      <c r="CF34" s="100"/>
      <c r="CG34" s="100"/>
      <c r="CH34" s="100"/>
      <c r="CI34" s="100"/>
      <c r="CJ34" s="100"/>
      <c r="CK34" s="100"/>
      <c r="CL34" s="100"/>
      <c r="CM34" s="100"/>
      <c r="CN34" s="100"/>
      <c r="CO34" s="100"/>
      <c r="CP34" s="100"/>
      <c r="CQ34" s="100"/>
      <c r="CR34" s="100"/>
      <c r="CS34" s="100"/>
      <c r="CT34" s="100"/>
      <c r="CU34" s="100"/>
      <c r="CV34" s="100"/>
      <c r="CW34" s="100"/>
      <c r="CX34" s="100"/>
      <c r="CY34" s="100"/>
      <c r="CZ34" s="100"/>
      <c r="DA34" s="100"/>
      <c r="DB34" s="100"/>
      <c r="DC34" s="100"/>
      <c r="DD34" s="100"/>
      <c r="DE34" s="100"/>
      <c r="DF34" s="100"/>
      <c r="DG34" s="100"/>
      <c r="DH34" s="100"/>
      <c r="DI34" s="100"/>
      <c r="DJ34" s="100"/>
      <c r="DK34" s="100"/>
      <c r="DL34" s="100"/>
      <c r="DM34" s="100"/>
      <c r="DN34" s="100"/>
      <c r="DO34" s="100"/>
      <c r="DP34" s="100"/>
      <c r="DQ34" s="100"/>
      <c r="DR34" s="100"/>
      <c r="DS34" s="100"/>
      <c r="DT34" s="100"/>
      <c r="DU34" s="100"/>
      <c r="DV34" s="100"/>
      <c r="DW34" s="100"/>
      <c r="DX34" s="100"/>
      <c r="DY34" s="100"/>
      <c r="DZ34" s="100"/>
      <c r="EA34" s="100"/>
      <c r="EB34" s="100"/>
      <c r="EC34" s="100"/>
      <c r="ED34" s="100"/>
      <c r="EE34" s="100"/>
      <c r="EF34" s="100"/>
      <c r="EG34" s="100"/>
      <c r="EH34" s="100"/>
      <c r="EI34" s="100"/>
      <c r="EJ34" s="100"/>
      <c r="EK34" s="100"/>
      <c r="EL34" s="100"/>
      <c r="EM34" s="100"/>
      <c r="EN34" s="100"/>
      <c r="EO34" s="100"/>
      <c r="EP34" s="100"/>
      <c r="EQ34" s="106"/>
      <c r="ER34" s="106"/>
      <c r="ES34" s="106"/>
      <c r="ET34" s="106"/>
      <c r="EU34" s="106"/>
      <c r="EV34" s="106"/>
      <c r="EW34" s="106"/>
      <c r="EX34" s="106"/>
      <c r="EY34" s="106"/>
      <c r="EZ34" s="106"/>
      <c r="FA34" s="106"/>
      <c r="FB34" s="106"/>
      <c r="FC34" s="106"/>
      <c r="FD34" s="106"/>
      <c r="FE34" s="106"/>
      <c r="FF34" s="106"/>
      <c r="FG34" s="106"/>
      <c r="FH34" s="106"/>
      <c r="FI34" s="106"/>
      <c r="FJ34" s="106"/>
      <c r="FK34" s="106"/>
      <c r="FL34" s="106"/>
      <c r="FM34" s="106"/>
      <c r="FN34" s="106"/>
      <c r="FO34" s="106"/>
      <c r="FP34" s="106"/>
      <c r="FQ34" s="106"/>
      <c r="FR34" s="106"/>
      <c r="FS34" s="106"/>
      <c r="FT34" s="106"/>
      <c r="FU34" s="106"/>
      <c r="FV34" s="106"/>
      <c r="FW34" s="106"/>
      <c r="FX34" s="106"/>
      <c r="FY34" s="106"/>
      <c r="FZ34" s="106"/>
      <c r="GA34" s="106"/>
      <c r="GB34" s="106"/>
      <c r="GC34" s="106"/>
      <c r="GD34" s="106"/>
      <c r="GE34" s="106"/>
      <c r="GF34" s="106"/>
      <c r="GG34" s="159"/>
    </row>
    <row r="35" spans="2:189" x14ac:dyDescent="0.2">
      <c r="B35" s="97">
        <v>41061</v>
      </c>
      <c r="C35" s="100">
        <v>70.5</v>
      </c>
      <c r="D35" s="101">
        <v>70.7</v>
      </c>
      <c r="E35" s="101">
        <v>70.7</v>
      </c>
      <c r="F35" s="101">
        <v>70.8</v>
      </c>
      <c r="G35" s="100">
        <v>70.599999999999994</v>
      </c>
      <c r="H35" s="100">
        <v>70.400000000000006</v>
      </c>
      <c r="I35" s="100">
        <v>70.5</v>
      </c>
      <c r="J35" s="100">
        <v>70.5</v>
      </c>
      <c r="K35" s="100">
        <v>70.7</v>
      </c>
      <c r="L35" s="100">
        <v>70.7</v>
      </c>
      <c r="M35" s="103">
        <v>70.599999999999994</v>
      </c>
      <c r="N35" s="100">
        <v>70.7</v>
      </c>
      <c r="O35" s="100">
        <v>70.7</v>
      </c>
      <c r="P35" s="100">
        <v>70.5</v>
      </c>
      <c r="Q35" s="100">
        <v>70.400000000000006</v>
      </c>
      <c r="R35" s="100">
        <v>70.2</v>
      </c>
      <c r="S35" s="100">
        <v>70.3</v>
      </c>
      <c r="T35" s="100">
        <v>70.3</v>
      </c>
      <c r="U35" s="100">
        <v>70.3</v>
      </c>
      <c r="V35" s="100">
        <v>70.3</v>
      </c>
      <c r="W35" s="100">
        <v>70.400000000000006</v>
      </c>
      <c r="X35" s="100">
        <v>70.5</v>
      </c>
      <c r="Y35" s="102">
        <v>70.599999999999994</v>
      </c>
      <c r="Z35" s="100"/>
      <c r="AA35" s="100"/>
      <c r="AB35" s="100"/>
      <c r="AC35" s="100"/>
      <c r="AD35" s="100"/>
      <c r="AE35" s="100"/>
      <c r="AF35" s="100"/>
      <c r="AG35" s="100"/>
      <c r="AH35" s="100"/>
      <c r="AI35" s="100"/>
      <c r="AJ35" s="100"/>
      <c r="AK35" s="100"/>
      <c r="AL35" s="100"/>
      <c r="AM35" s="100"/>
      <c r="AN35" s="100"/>
      <c r="AO35" s="100"/>
      <c r="AP35" s="100"/>
      <c r="AQ35" s="100"/>
      <c r="AR35" s="100"/>
      <c r="AS35" s="100"/>
      <c r="AT35" s="100"/>
      <c r="AU35" s="100"/>
      <c r="AV35" s="100"/>
      <c r="AW35" s="100"/>
      <c r="AX35" s="100"/>
      <c r="AY35" s="100"/>
      <c r="AZ35" s="100"/>
      <c r="BA35" s="100"/>
      <c r="BB35" s="100"/>
      <c r="BC35" s="100"/>
      <c r="BD35" s="100"/>
      <c r="BE35" s="100"/>
      <c r="BF35" s="100"/>
      <c r="BG35" s="100"/>
      <c r="BH35" s="100"/>
      <c r="BI35" s="100"/>
      <c r="BJ35" s="100"/>
      <c r="BK35" s="100"/>
      <c r="BL35" s="100"/>
      <c r="BM35" s="100"/>
      <c r="BN35" s="100"/>
      <c r="BO35" s="100"/>
      <c r="BP35" s="100"/>
      <c r="BQ35" s="100"/>
      <c r="BR35" s="100"/>
      <c r="BS35" s="100"/>
      <c r="BT35" s="100"/>
      <c r="BU35" s="100"/>
      <c r="BV35" s="100"/>
      <c r="BW35" s="100"/>
      <c r="BX35" s="100"/>
      <c r="BY35" s="100"/>
      <c r="BZ35" s="100"/>
      <c r="CA35" s="100"/>
      <c r="CB35" s="100"/>
      <c r="CC35" s="100"/>
      <c r="CD35" s="100"/>
      <c r="CE35" s="100"/>
      <c r="CF35" s="100"/>
      <c r="CG35" s="100"/>
      <c r="CH35" s="100"/>
      <c r="CI35" s="100"/>
      <c r="CJ35" s="100"/>
      <c r="CK35" s="100"/>
      <c r="CL35" s="100"/>
      <c r="CM35" s="100"/>
      <c r="CN35" s="100"/>
      <c r="CO35" s="100"/>
      <c r="CP35" s="100"/>
      <c r="CQ35" s="100"/>
      <c r="CR35" s="100"/>
      <c r="CS35" s="100"/>
      <c r="CT35" s="100"/>
      <c r="CU35" s="100"/>
      <c r="CV35" s="100"/>
      <c r="CW35" s="100"/>
      <c r="CX35" s="100"/>
      <c r="CY35" s="100"/>
      <c r="CZ35" s="100"/>
      <c r="DA35" s="100"/>
      <c r="DB35" s="100"/>
      <c r="DC35" s="100"/>
      <c r="DD35" s="100"/>
      <c r="DE35" s="100"/>
      <c r="DF35" s="100"/>
      <c r="DG35" s="100"/>
      <c r="DH35" s="100"/>
      <c r="DI35" s="100"/>
      <c r="DJ35" s="100"/>
      <c r="DK35" s="100"/>
      <c r="DL35" s="100"/>
      <c r="DM35" s="100"/>
      <c r="DN35" s="100"/>
      <c r="DO35" s="100"/>
      <c r="DP35" s="100"/>
      <c r="DQ35" s="100"/>
      <c r="DR35" s="100"/>
      <c r="DS35" s="100"/>
      <c r="DT35" s="100"/>
      <c r="DU35" s="100"/>
      <c r="DV35" s="100"/>
      <c r="DW35" s="100"/>
      <c r="DX35" s="100"/>
      <c r="DY35" s="100"/>
      <c r="DZ35" s="100"/>
      <c r="EA35" s="100"/>
      <c r="EB35" s="100"/>
      <c r="EC35" s="100"/>
      <c r="ED35" s="100"/>
      <c r="EE35" s="100"/>
      <c r="EF35" s="100"/>
      <c r="EG35" s="100"/>
      <c r="EH35" s="100"/>
      <c r="EI35" s="100"/>
      <c r="EJ35" s="100"/>
      <c r="EK35" s="100"/>
      <c r="EL35" s="100"/>
      <c r="EM35" s="100"/>
      <c r="EN35" s="100"/>
      <c r="EO35" s="100"/>
      <c r="EP35" s="100"/>
      <c r="EQ35" s="106"/>
      <c r="ER35" s="106"/>
      <c r="ES35" s="106"/>
      <c r="ET35" s="106"/>
      <c r="EU35" s="106"/>
      <c r="EV35" s="106"/>
      <c r="EW35" s="106"/>
      <c r="EX35" s="106"/>
      <c r="EY35" s="106"/>
      <c r="EZ35" s="106"/>
      <c r="FA35" s="106"/>
      <c r="FB35" s="106"/>
      <c r="FC35" s="106"/>
      <c r="FD35" s="106"/>
      <c r="FE35" s="106"/>
      <c r="FF35" s="106"/>
      <c r="FG35" s="106"/>
      <c r="FH35" s="106"/>
      <c r="FI35" s="106"/>
      <c r="FJ35" s="106"/>
      <c r="FK35" s="106"/>
      <c r="FL35" s="106"/>
      <c r="FM35" s="106"/>
      <c r="FN35" s="106"/>
      <c r="FO35" s="106"/>
      <c r="FP35" s="106"/>
      <c r="FQ35" s="106"/>
      <c r="FR35" s="106"/>
      <c r="FS35" s="106"/>
      <c r="FT35" s="106"/>
      <c r="FU35" s="106"/>
      <c r="FV35" s="106"/>
      <c r="FW35" s="106"/>
      <c r="FX35" s="106"/>
      <c r="FY35" s="106"/>
      <c r="FZ35" s="106"/>
      <c r="GA35" s="106"/>
      <c r="GB35" s="106"/>
      <c r="GC35" s="106"/>
      <c r="GD35" s="106"/>
      <c r="GE35" s="106"/>
      <c r="GF35" s="106"/>
      <c r="GG35" s="159"/>
    </row>
    <row r="36" spans="2:189" x14ac:dyDescent="0.2">
      <c r="B36" s="97">
        <v>41091</v>
      </c>
      <c r="C36" s="100">
        <v>70.5</v>
      </c>
      <c r="D36" s="101">
        <v>70.7</v>
      </c>
      <c r="E36" s="101">
        <v>70.7</v>
      </c>
      <c r="F36" s="101">
        <v>70.8</v>
      </c>
      <c r="G36" s="100">
        <v>70.599999999999994</v>
      </c>
      <c r="H36" s="100">
        <v>70.400000000000006</v>
      </c>
      <c r="I36" s="100">
        <v>70.5</v>
      </c>
      <c r="J36" s="100">
        <v>70.5</v>
      </c>
      <c r="K36" s="100">
        <v>70.7</v>
      </c>
      <c r="L36" s="100">
        <v>70.7</v>
      </c>
      <c r="M36" s="100">
        <v>70.599999999999994</v>
      </c>
      <c r="N36" s="103">
        <v>70.7</v>
      </c>
      <c r="O36" s="100">
        <v>70.7</v>
      </c>
      <c r="P36" s="100">
        <v>70.5</v>
      </c>
      <c r="Q36" s="100">
        <v>70.400000000000006</v>
      </c>
      <c r="R36" s="100">
        <v>70.2</v>
      </c>
      <c r="S36" s="100">
        <v>70.3</v>
      </c>
      <c r="T36" s="100">
        <v>70.3</v>
      </c>
      <c r="U36" s="100">
        <v>70.3</v>
      </c>
      <c r="V36" s="100">
        <v>70.3</v>
      </c>
      <c r="W36" s="100">
        <v>70.400000000000006</v>
      </c>
      <c r="X36" s="100">
        <v>70.5</v>
      </c>
      <c r="Y36" s="100">
        <v>70.599999999999994</v>
      </c>
      <c r="Z36" s="102">
        <v>70.7</v>
      </c>
      <c r="AA36" s="100"/>
      <c r="AB36" s="100"/>
      <c r="AC36" s="100"/>
      <c r="AD36" s="100"/>
      <c r="AE36" s="100"/>
      <c r="AF36" s="100"/>
      <c r="AG36" s="100"/>
      <c r="AH36" s="100"/>
      <c r="AI36" s="100"/>
      <c r="AJ36" s="100"/>
      <c r="AK36" s="100"/>
      <c r="AL36" s="100"/>
      <c r="AM36" s="100"/>
      <c r="AN36" s="100"/>
      <c r="AO36" s="100"/>
      <c r="AP36" s="100"/>
      <c r="AQ36" s="100"/>
      <c r="AR36" s="100"/>
      <c r="AS36" s="100"/>
      <c r="AT36" s="100"/>
      <c r="AU36" s="100"/>
      <c r="AV36" s="100"/>
      <c r="AW36" s="100"/>
      <c r="AX36" s="100"/>
      <c r="AY36" s="100"/>
      <c r="AZ36" s="100"/>
      <c r="BA36" s="100"/>
      <c r="BB36" s="100"/>
      <c r="BC36" s="100"/>
      <c r="BD36" s="100"/>
      <c r="BE36" s="100"/>
      <c r="BF36" s="100"/>
      <c r="BG36" s="100"/>
      <c r="BH36" s="100"/>
      <c r="BI36" s="100"/>
      <c r="BJ36" s="100"/>
      <c r="BK36" s="100"/>
      <c r="BL36" s="100"/>
      <c r="BM36" s="100"/>
      <c r="BN36" s="100"/>
      <c r="BO36" s="100"/>
      <c r="BP36" s="100"/>
      <c r="BQ36" s="100"/>
      <c r="BR36" s="100"/>
      <c r="BS36" s="100"/>
      <c r="BT36" s="100"/>
      <c r="BU36" s="100"/>
      <c r="BV36" s="100"/>
      <c r="BW36" s="100"/>
      <c r="BX36" s="100"/>
      <c r="BY36" s="100"/>
      <c r="BZ36" s="100"/>
      <c r="CA36" s="100"/>
      <c r="CB36" s="100"/>
      <c r="CC36" s="100"/>
      <c r="CD36" s="100"/>
      <c r="CE36" s="100"/>
      <c r="CF36" s="100"/>
      <c r="CG36" s="100"/>
      <c r="CH36" s="100"/>
      <c r="CI36" s="100"/>
      <c r="CJ36" s="100"/>
      <c r="CK36" s="100"/>
      <c r="CL36" s="100"/>
      <c r="CM36" s="100"/>
      <c r="CN36" s="100"/>
      <c r="CO36" s="100"/>
      <c r="CP36" s="100"/>
      <c r="CQ36" s="100"/>
      <c r="CR36" s="100"/>
      <c r="CS36" s="100"/>
      <c r="CT36" s="100"/>
      <c r="CU36" s="100"/>
      <c r="CV36" s="100"/>
      <c r="CW36" s="100"/>
      <c r="CX36" s="100"/>
      <c r="CY36" s="100"/>
      <c r="CZ36" s="100"/>
      <c r="DA36" s="100"/>
      <c r="DB36" s="100"/>
      <c r="DC36" s="100"/>
      <c r="DD36" s="100"/>
      <c r="DE36" s="100"/>
      <c r="DF36" s="100"/>
      <c r="DG36" s="100"/>
      <c r="DH36" s="100"/>
      <c r="DI36" s="100"/>
      <c r="DJ36" s="100"/>
      <c r="DK36" s="100"/>
      <c r="DL36" s="100"/>
      <c r="DM36" s="100"/>
      <c r="DN36" s="100"/>
      <c r="DO36" s="100"/>
      <c r="DP36" s="100"/>
      <c r="DQ36" s="100"/>
      <c r="DR36" s="100"/>
      <c r="DS36" s="100"/>
      <c r="DT36" s="100"/>
      <c r="DU36" s="100"/>
      <c r="DV36" s="100"/>
      <c r="DW36" s="100"/>
      <c r="DX36" s="100"/>
      <c r="DY36" s="100"/>
      <c r="DZ36" s="100"/>
      <c r="EA36" s="100"/>
      <c r="EB36" s="100"/>
      <c r="EC36" s="100"/>
      <c r="ED36" s="100"/>
      <c r="EE36" s="100"/>
      <c r="EF36" s="100"/>
      <c r="EG36" s="100"/>
      <c r="EH36" s="100"/>
      <c r="EI36" s="100"/>
      <c r="EJ36" s="100"/>
      <c r="EK36" s="100"/>
      <c r="EL36" s="100"/>
      <c r="EM36" s="100"/>
      <c r="EN36" s="100"/>
      <c r="EO36" s="100"/>
      <c r="EP36" s="100"/>
      <c r="EQ36" s="106"/>
      <c r="ER36" s="106"/>
      <c r="ES36" s="106"/>
      <c r="ET36" s="106"/>
      <c r="EU36" s="106"/>
      <c r="EV36" s="106"/>
      <c r="EW36" s="106"/>
      <c r="EX36" s="106"/>
      <c r="EY36" s="106"/>
      <c r="EZ36" s="106"/>
      <c r="FA36" s="106"/>
      <c r="FB36" s="106"/>
      <c r="FC36" s="106"/>
      <c r="FD36" s="106"/>
      <c r="FE36" s="106"/>
      <c r="FF36" s="106"/>
      <c r="FG36" s="106"/>
      <c r="FH36" s="106"/>
      <c r="FI36" s="106"/>
      <c r="FJ36" s="106"/>
      <c r="FK36" s="106"/>
      <c r="FL36" s="106"/>
      <c r="FM36" s="106"/>
      <c r="FN36" s="106"/>
      <c r="FO36" s="106"/>
      <c r="FP36" s="106"/>
      <c r="FQ36" s="106"/>
      <c r="FR36" s="106"/>
      <c r="FS36" s="106"/>
      <c r="FT36" s="106"/>
      <c r="FU36" s="106"/>
      <c r="FV36" s="106"/>
      <c r="FW36" s="106"/>
      <c r="FX36" s="106"/>
      <c r="FY36" s="106"/>
      <c r="FZ36" s="106"/>
      <c r="GA36" s="106"/>
      <c r="GB36" s="106"/>
      <c r="GC36" s="106"/>
      <c r="GD36" s="106"/>
      <c r="GE36" s="106"/>
      <c r="GF36" s="106"/>
      <c r="GG36" s="159"/>
    </row>
    <row r="37" spans="2:189" x14ac:dyDescent="0.2">
      <c r="B37" s="97">
        <v>41122</v>
      </c>
      <c r="C37" s="100">
        <v>70.400000000000006</v>
      </c>
      <c r="D37" s="101">
        <v>70.7</v>
      </c>
      <c r="E37" s="101">
        <v>70.7</v>
      </c>
      <c r="F37" s="101">
        <v>70.8</v>
      </c>
      <c r="G37" s="100">
        <v>70.599999999999994</v>
      </c>
      <c r="H37" s="100">
        <v>70.5</v>
      </c>
      <c r="I37" s="100">
        <v>70.5</v>
      </c>
      <c r="J37" s="100">
        <v>70.599999999999994</v>
      </c>
      <c r="K37" s="100">
        <v>70.7</v>
      </c>
      <c r="L37" s="100">
        <v>70.7</v>
      </c>
      <c r="M37" s="100">
        <v>70.599999999999994</v>
      </c>
      <c r="N37" s="100">
        <v>70.7</v>
      </c>
      <c r="O37" s="103">
        <v>70.599999999999994</v>
      </c>
      <c r="P37" s="100">
        <v>70.400000000000006</v>
      </c>
      <c r="Q37" s="100">
        <v>70.3</v>
      </c>
      <c r="R37" s="100">
        <v>70.2</v>
      </c>
      <c r="S37" s="100">
        <v>70.3</v>
      </c>
      <c r="T37" s="100">
        <v>70.3</v>
      </c>
      <c r="U37" s="100">
        <v>70.400000000000006</v>
      </c>
      <c r="V37" s="100">
        <v>70.400000000000006</v>
      </c>
      <c r="W37" s="100">
        <v>70.5</v>
      </c>
      <c r="X37" s="100">
        <v>70.599999999999994</v>
      </c>
      <c r="Y37" s="100">
        <v>70.7</v>
      </c>
      <c r="Z37" s="100">
        <v>70.8</v>
      </c>
      <c r="AA37" s="102">
        <v>71</v>
      </c>
      <c r="AB37" s="100"/>
      <c r="AC37" s="100"/>
      <c r="AD37" s="100"/>
      <c r="AE37" s="100"/>
      <c r="AF37" s="100"/>
      <c r="AG37" s="100"/>
      <c r="AH37" s="100"/>
      <c r="AI37" s="100"/>
      <c r="AJ37" s="100"/>
      <c r="AK37" s="100"/>
      <c r="AL37" s="100"/>
      <c r="AM37" s="100"/>
      <c r="AN37" s="100"/>
      <c r="AO37" s="100"/>
      <c r="AP37" s="100"/>
      <c r="AQ37" s="100"/>
      <c r="AR37" s="100"/>
      <c r="AS37" s="100"/>
      <c r="AT37" s="100"/>
      <c r="AU37" s="100"/>
      <c r="AV37" s="100"/>
      <c r="AW37" s="100"/>
      <c r="AX37" s="100"/>
      <c r="AY37" s="100"/>
      <c r="AZ37" s="100"/>
      <c r="BA37" s="100"/>
      <c r="BB37" s="100"/>
      <c r="BC37" s="100"/>
      <c r="BD37" s="100"/>
      <c r="BE37" s="100"/>
      <c r="BF37" s="100"/>
      <c r="BG37" s="100"/>
      <c r="BH37" s="100"/>
      <c r="BI37" s="100"/>
      <c r="BJ37" s="100"/>
      <c r="BK37" s="100"/>
      <c r="BL37" s="100"/>
      <c r="BM37" s="100"/>
      <c r="BN37" s="100"/>
      <c r="BO37" s="100"/>
      <c r="BP37" s="100"/>
      <c r="BQ37" s="100"/>
      <c r="BR37" s="100"/>
      <c r="BS37" s="100"/>
      <c r="BT37" s="100"/>
      <c r="BU37" s="100"/>
      <c r="BV37" s="100"/>
      <c r="BW37" s="100"/>
      <c r="BX37" s="100"/>
      <c r="BY37" s="100"/>
      <c r="BZ37" s="100"/>
      <c r="CA37" s="100"/>
      <c r="CB37" s="100"/>
      <c r="CC37" s="100"/>
      <c r="CD37" s="100"/>
      <c r="CE37" s="100"/>
      <c r="CF37" s="100"/>
      <c r="CG37" s="100"/>
      <c r="CH37" s="100"/>
      <c r="CI37" s="100"/>
      <c r="CJ37" s="100"/>
      <c r="CK37" s="100"/>
      <c r="CL37" s="100"/>
      <c r="CM37" s="100"/>
      <c r="CN37" s="100"/>
      <c r="CO37" s="100"/>
      <c r="CP37" s="100"/>
      <c r="CQ37" s="100"/>
      <c r="CR37" s="100"/>
      <c r="CS37" s="100"/>
      <c r="CT37" s="100"/>
      <c r="CU37" s="100"/>
      <c r="CV37" s="100"/>
      <c r="CW37" s="100"/>
      <c r="CX37" s="100"/>
      <c r="CY37" s="100"/>
      <c r="CZ37" s="100"/>
      <c r="DA37" s="100"/>
      <c r="DB37" s="100"/>
      <c r="DC37" s="100"/>
      <c r="DD37" s="100"/>
      <c r="DE37" s="100"/>
      <c r="DF37" s="100"/>
      <c r="DG37" s="100"/>
      <c r="DH37" s="100"/>
      <c r="DI37" s="100"/>
      <c r="DJ37" s="100"/>
      <c r="DK37" s="100"/>
      <c r="DL37" s="100"/>
      <c r="DM37" s="100"/>
      <c r="DN37" s="100"/>
      <c r="DO37" s="100"/>
      <c r="DP37" s="100"/>
      <c r="DQ37" s="100"/>
      <c r="DR37" s="100"/>
      <c r="DS37" s="100"/>
      <c r="DT37" s="100"/>
      <c r="DU37" s="100"/>
      <c r="DV37" s="100"/>
      <c r="DW37" s="100"/>
      <c r="DX37" s="100"/>
      <c r="DY37" s="100"/>
      <c r="DZ37" s="100"/>
      <c r="EA37" s="100"/>
      <c r="EB37" s="100"/>
      <c r="EC37" s="100"/>
      <c r="ED37" s="100"/>
      <c r="EE37" s="100"/>
      <c r="EF37" s="100"/>
      <c r="EG37" s="100"/>
      <c r="EH37" s="100"/>
      <c r="EI37" s="100"/>
      <c r="EJ37" s="100"/>
      <c r="EK37" s="100"/>
      <c r="EL37" s="100"/>
      <c r="EM37" s="100"/>
      <c r="EN37" s="100"/>
      <c r="EO37" s="100"/>
      <c r="EP37" s="100"/>
      <c r="EQ37" s="106"/>
      <c r="ER37" s="106"/>
      <c r="ES37" s="106"/>
      <c r="ET37" s="106"/>
      <c r="EU37" s="106"/>
      <c r="EV37" s="106"/>
      <c r="EW37" s="106"/>
      <c r="EX37" s="106"/>
      <c r="EY37" s="106"/>
      <c r="EZ37" s="106"/>
      <c r="FA37" s="106"/>
      <c r="FB37" s="106"/>
      <c r="FC37" s="106"/>
      <c r="FD37" s="106"/>
      <c r="FE37" s="106"/>
      <c r="FF37" s="106"/>
      <c r="FG37" s="106"/>
      <c r="FH37" s="106"/>
      <c r="FI37" s="106"/>
      <c r="FJ37" s="106"/>
      <c r="FK37" s="106"/>
      <c r="FL37" s="106"/>
      <c r="FM37" s="106"/>
      <c r="FN37" s="106"/>
      <c r="FO37" s="106"/>
      <c r="FP37" s="106"/>
      <c r="FQ37" s="106"/>
      <c r="FR37" s="106"/>
      <c r="FS37" s="106"/>
      <c r="FT37" s="106"/>
      <c r="FU37" s="106"/>
      <c r="FV37" s="106"/>
      <c r="FW37" s="106"/>
      <c r="FX37" s="106"/>
      <c r="FY37" s="106"/>
      <c r="FZ37" s="106"/>
      <c r="GA37" s="106"/>
      <c r="GB37" s="106"/>
      <c r="GC37" s="106"/>
      <c r="GD37" s="106"/>
      <c r="GE37" s="106"/>
      <c r="GF37" s="106"/>
      <c r="GG37" s="159"/>
    </row>
    <row r="38" spans="2:189" x14ac:dyDescent="0.2">
      <c r="B38" s="97">
        <v>41153</v>
      </c>
      <c r="C38" s="100">
        <v>70.400000000000006</v>
      </c>
      <c r="D38" s="101">
        <v>70.7</v>
      </c>
      <c r="E38" s="101">
        <v>70.7</v>
      </c>
      <c r="F38" s="101">
        <v>70.8</v>
      </c>
      <c r="G38" s="100">
        <v>70.599999999999994</v>
      </c>
      <c r="H38" s="100">
        <v>70.5</v>
      </c>
      <c r="I38" s="100">
        <v>70.5</v>
      </c>
      <c r="J38" s="100">
        <v>70.599999999999994</v>
      </c>
      <c r="K38" s="100">
        <v>70.7</v>
      </c>
      <c r="L38" s="100">
        <v>70.7</v>
      </c>
      <c r="M38" s="100">
        <v>70.599999999999994</v>
      </c>
      <c r="N38" s="100">
        <v>70.7</v>
      </c>
      <c r="O38" s="100">
        <v>70.599999999999994</v>
      </c>
      <c r="P38" s="103">
        <v>70.400000000000006</v>
      </c>
      <c r="Q38" s="100">
        <v>70.3</v>
      </c>
      <c r="R38" s="100">
        <v>70.2</v>
      </c>
      <c r="S38" s="100">
        <v>70.3</v>
      </c>
      <c r="T38" s="100">
        <v>70.3</v>
      </c>
      <c r="U38" s="100">
        <v>70.400000000000006</v>
      </c>
      <c r="V38" s="100">
        <v>70.400000000000006</v>
      </c>
      <c r="W38" s="100">
        <v>70.5</v>
      </c>
      <c r="X38" s="100">
        <v>70.599999999999994</v>
      </c>
      <c r="Y38" s="100">
        <v>70.7</v>
      </c>
      <c r="Z38" s="100">
        <v>70.8</v>
      </c>
      <c r="AA38" s="100">
        <v>71</v>
      </c>
      <c r="AB38" s="102">
        <v>71.2</v>
      </c>
      <c r="AC38" s="100"/>
      <c r="AD38" s="100"/>
      <c r="AE38" s="100"/>
      <c r="AF38" s="100"/>
      <c r="AG38" s="100"/>
      <c r="AH38" s="100"/>
      <c r="AI38" s="100"/>
      <c r="AJ38" s="100"/>
      <c r="AK38" s="100"/>
      <c r="AL38" s="100"/>
      <c r="AM38" s="100"/>
      <c r="AN38" s="100"/>
      <c r="AO38" s="100"/>
      <c r="AP38" s="100"/>
      <c r="AQ38" s="100"/>
      <c r="AR38" s="100"/>
      <c r="AS38" s="100"/>
      <c r="AT38" s="100"/>
      <c r="AU38" s="100"/>
      <c r="AV38" s="100"/>
      <c r="AW38" s="100"/>
      <c r="AX38" s="100"/>
      <c r="AY38" s="100"/>
      <c r="AZ38" s="100"/>
      <c r="BA38" s="100"/>
      <c r="BB38" s="100"/>
      <c r="BC38" s="100"/>
      <c r="BD38" s="100"/>
      <c r="BE38" s="100"/>
      <c r="BF38" s="100"/>
      <c r="BG38" s="100"/>
      <c r="BH38" s="100"/>
      <c r="BI38" s="100"/>
      <c r="BJ38" s="100"/>
      <c r="BK38" s="100"/>
      <c r="BL38" s="100"/>
      <c r="BM38" s="100"/>
      <c r="BN38" s="100"/>
      <c r="BO38" s="100"/>
      <c r="BP38" s="100"/>
      <c r="BQ38" s="100"/>
      <c r="BR38" s="100"/>
      <c r="BS38" s="100"/>
      <c r="BT38" s="100"/>
      <c r="BU38" s="100"/>
      <c r="BV38" s="100"/>
      <c r="BW38" s="100"/>
      <c r="BX38" s="100"/>
      <c r="BY38" s="100"/>
      <c r="BZ38" s="100"/>
      <c r="CA38" s="100"/>
      <c r="CB38" s="100"/>
      <c r="CC38" s="100"/>
      <c r="CD38" s="100"/>
      <c r="CE38" s="100"/>
      <c r="CF38" s="100"/>
      <c r="CG38" s="100"/>
      <c r="CH38" s="100"/>
      <c r="CI38" s="100"/>
      <c r="CJ38" s="100"/>
      <c r="CK38" s="100"/>
      <c r="CL38" s="100"/>
      <c r="CM38" s="100"/>
      <c r="CN38" s="100"/>
      <c r="CO38" s="100"/>
      <c r="CP38" s="100"/>
      <c r="CQ38" s="100"/>
      <c r="CR38" s="100"/>
      <c r="CS38" s="100"/>
      <c r="CT38" s="100"/>
      <c r="CU38" s="100"/>
      <c r="CV38" s="100"/>
      <c r="CW38" s="100"/>
      <c r="CX38" s="100"/>
      <c r="CY38" s="100"/>
      <c r="CZ38" s="100"/>
      <c r="DA38" s="100"/>
      <c r="DB38" s="100"/>
      <c r="DC38" s="100"/>
      <c r="DD38" s="100"/>
      <c r="DE38" s="100"/>
      <c r="DF38" s="100"/>
      <c r="DG38" s="100"/>
      <c r="DH38" s="100"/>
      <c r="DI38" s="100"/>
      <c r="DJ38" s="100"/>
      <c r="DK38" s="100"/>
      <c r="DL38" s="100"/>
      <c r="DM38" s="100"/>
      <c r="DN38" s="100"/>
      <c r="DO38" s="100"/>
      <c r="DP38" s="100"/>
      <c r="DQ38" s="100"/>
      <c r="DR38" s="100"/>
      <c r="DS38" s="100"/>
      <c r="DT38" s="100"/>
      <c r="DU38" s="100"/>
      <c r="DV38" s="100"/>
      <c r="DW38" s="100"/>
      <c r="DX38" s="100"/>
      <c r="DY38" s="100"/>
      <c r="DZ38" s="100"/>
      <c r="EA38" s="100"/>
      <c r="EB38" s="100"/>
      <c r="EC38" s="100"/>
      <c r="ED38" s="100"/>
      <c r="EE38" s="100"/>
      <c r="EF38" s="100"/>
      <c r="EG38" s="100"/>
      <c r="EH38" s="100"/>
      <c r="EI38" s="100"/>
      <c r="EJ38" s="100"/>
      <c r="EK38" s="100"/>
      <c r="EL38" s="100"/>
      <c r="EM38" s="100"/>
      <c r="EN38" s="100"/>
      <c r="EO38" s="100"/>
      <c r="EP38" s="100"/>
      <c r="EQ38" s="106"/>
      <c r="ER38" s="106"/>
      <c r="ES38" s="106"/>
      <c r="ET38" s="106"/>
      <c r="EU38" s="106"/>
      <c r="EV38" s="106"/>
      <c r="EW38" s="106"/>
      <c r="EX38" s="106"/>
      <c r="EY38" s="106"/>
      <c r="EZ38" s="106"/>
      <c r="FA38" s="106"/>
      <c r="FB38" s="106"/>
      <c r="FC38" s="106"/>
      <c r="FD38" s="106"/>
      <c r="FE38" s="106"/>
      <c r="FF38" s="106"/>
      <c r="FG38" s="106"/>
      <c r="FH38" s="106"/>
      <c r="FI38" s="106"/>
      <c r="FJ38" s="106"/>
      <c r="FK38" s="106"/>
      <c r="FL38" s="106"/>
      <c r="FM38" s="106"/>
      <c r="FN38" s="106"/>
      <c r="FO38" s="106"/>
      <c r="FP38" s="106"/>
      <c r="FQ38" s="106"/>
      <c r="FR38" s="106"/>
      <c r="FS38" s="106"/>
      <c r="FT38" s="106"/>
      <c r="FU38" s="106"/>
      <c r="FV38" s="106"/>
      <c r="FW38" s="106"/>
      <c r="FX38" s="106"/>
      <c r="FY38" s="106"/>
      <c r="FZ38" s="106"/>
      <c r="GA38" s="106"/>
      <c r="GB38" s="106"/>
      <c r="GC38" s="106"/>
      <c r="GD38" s="106"/>
      <c r="GE38" s="106"/>
      <c r="GF38" s="106"/>
      <c r="GG38" s="159"/>
    </row>
    <row r="39" spans="2:189" x14ac:dyDescent="0.2">
      <c r="B39" s="97">
        <v>41183</v>
      </c>
      <c r="C39" s="100">
        <v>70.400000000000006</v>
      </c>
      <c r="D39" s="101">
        <v>70.7</v>
      </c>
      <c r="E39" s="101">
        <v>70.7</v>
      </c>
      <c r="F39" s="101">
        <v>70.8</v>
      </c>
      <c r="G39" s="100">
        <v>70.599999999999994</v>
      </c>
      <c r="H39" s="100">
        <v>70.5</v>
      </c>
      <c r="I39" s="100">
        <v>70.5</v>
      </c>
      <c r="J39" s="100">
        <v>70.599999999999994</v>
      </c>
      <c r="K39" s="100">
        <v>70.7</v>
      </c>
      <c r="L39" s="100">
        <v>70.7</v>
      </c>
      <c r="M39" s="100">
        <v>70.599999999999994</v>
      </c>
      <c r="N39" s="100">
        <v>70.7</v>
      </c>
      <c r="O39" s="100">
        <v>70.599999999999994</v>
      </c>
      <c r="P39" s="100">
        <v>70.400000000000006</v>
      </c>
      <c r="Q39" s="103">
        <v>70.3</v>
      </c>
      <c r="R39" s="100">
        <v>70.2</v>
      </c>
      <c r="S39" s="100">
        <v>70.3</v>
      </c>
      <c r="T39" s="100">
        <v>70.3</v>
      </c>
      <c r="U39" s="100">
        <v>70.400000000000006</v>
      </c>
      <c r="V39" s="100">
        <v>70.400000000000006</v>
      </c>
      <c r="W39" s="100">
        <v>70.5</v>
      </c>
      <c r="X39" s="100">
        <v>70.599999999999994</v>
      </c>
      <c r="Y39" s="100">
        <v>70.7</v>
      </c>
      <c r="Z39" s="100">
        <v>70.8</v>
      </c>
      <c r="AA39" s="100">
        <v>71</v>
      </c>
      <c r="AB39" s="100">
        <v>71.2</v>
      </c>
      <c r="AC39" s="102">
        <v>71.3</v>
      </c>
      <c r="AD39" s="100"/>
      <c r="AE39" s="100"/>
      <c r="AF39" s="100"/>
      <c r="AG39" s="100"/>
      <c r="AH39" s="100"/>
      <c r="AI39" s="100"/>
      <c r="AJ39" s="100"/>
      <c r="AK39" s="100"/>
      <c r="AL39" s="100"/>
      <c r="AM39" s="100"/>
      <c r="AN39" s="100"/>
      <c r="AO39" s="100"/>
      <c r="AP39" s="100"/>
      <c r="AQ39" s="100"/>
      <c r="AR39" s="100"/>
      <c r="AS39" s="100"/>
      <c r="AT39" s="100"/>
      <c r="AU39" s="100"/>
      <c r="AV39" s="100"/>
      <c r="AW39" s="100"/>
      <c r="AX39" s="100"/>
      <c r="AY39" s="100"/>
      <c r="AZ39" s="100"/>
      <c r="BA39" s="100"/>
      <c r="BB39" s="100"/>
      <c r="BC39" s="100"/>
      <c r="BD39" s="100"/>
      <c r="BE39" s="100"/>
      <c r="BF39" s="100"/>
      <c r="BG39" s="100"/>
      <c r="BH39" s="100"/>
      <c r="BI39" s="100"/>
      <c r="BJ39" s="100"/>
      <c r="BK39" s="100"/>
      <c r="BL39" s="100"/>
      <c r="BM39" s="100"/>
      <c r="BN39" s="100"/>
      <c r="BO39" s="100"/>
      <c r="BP39" s="100"/>
      <c r="BQ39" s="100"/>
      <c r="BR39" s="100"/>
      <c r="BS39" s="100"/>
      <c r="BT39" s="100"/>
      <c r="BU39" s="100"/>
      <c r="BV39" s="100"/>
      <c r="BW39" s="100"/>
      <c r="BX39" s="100"/>
      <c r="BY39" s="100"/>
      <c r="BZ39" s="100"/>
      <c r="CA39" s="100"/>
      <c r="CB39" s="100"/>
      <c r="CC39" s="100"/>
      <c r="CD39" s="100"/>
      <c r="CE39" s="100"/>
      <c r="CF39" s="100"/>
      <c r="CG39" s="100"/>
      <c r="CH39" s="100"/>
      <c r="CI39" s="100"/>
      <c r="CJ39" s="100"/>
      <c r="CK39" s="100"/>
      <c r="CL39" s="100"/>
      <c r="CM39" s="100"/>
      <c r="CN39" s="100"/>
      <c r="CO39" s="100"/>
      <c r="CP39" s="100"/>
      <c r="CQ39" s="100"/>
      <c r="CR39" s="100"/>
      <c r="CS39" s="100"/>
      <c r="CT39" s="100"/>
      <c r="CU39" s="100"/>
      <c r="CV39" s="100"/>
      <c r="CW39" s="100"/>
      <c r="CX39" s="100"/>
      <c r="CY39" s="100"/>
      <c r="CZ39" s="100"/>
      <c r="DA39" s="100"/>
      <c r="DB39" s="100"/>
      <c r="DC39" s="100"/>
      <c r="DD39" s="100"/>
      <c r="DE39" s="100"/>
      <c r="DF39" s="100"/>
      <c r="DG39" s="100"/>
      <c r="DH39" s="100"/>
      <c r="DI39" s="100"/>
      <c r="DJ39" s="100"/>
      <c r="DK39" s="100"/>
      <c r="DL39" s="100"/>
      <c r="DM39" s="100"/>
      <c r="DN39" s="100"/>
      <c r="DO39" s="100"/>
      <c r="DP39" s="100"/>
      <c r="DQ39" s="100"/>
      <c r="DR39" s="100"/>
      <c r="DS39" s="100"/>
      <c r="DT39" s="100"/>
      <c r="DU39" s="100"/>
      <c r="DV39" s="100"/>
      <c r="DW39" s="100"/>
      <c r="DX39" s="100"/>
      <c r="DY39" s="100"/>
      <c r="DZ39" s="100"/>
      <c r="EA39" s="100"/>
      <c r="EB39" s="100"/>
      <c r="EC39" s="100"/>
      <c r="ED39" s="100"/>
      <c r="EE39" s="100"/>
      <c r="EF39" s="100"/>
      <c r="EG39" s="100"/>
      <c r="EH39" s="100"/>
      <c r="EI39" s="100"/>
      <c r="EJ39" s="100"/>
      <c r="EK39" s="100"/>
      <c r="EL39" s="100"/>
      <c r="EM39" s="100"/>
      <c r="EN39" s="100"/>
      <c r="EO39" s="100"/>
      <c r="EP39" s="100"/>
      <c r="EQ39" s="106"/>
      <c r="ER39" s="106"/>
      <c r="ES39" s="106"/>
      <c r="ET39" s="106"/>
      <c r="EU39" s="106"/>
      <c r="EV39" s="106"/>
      <c r="EW39" s="106"/>
      <c r="EX39" s="106"/>
      <c r="EY39" s="106"/>
      <c r="EZ39" s="106"/>
      <c r="FA39" s="106"/>
      <c r="FB39" s="106"/>
      <c r="FC39" s="106"/>
      <c r="FD39" s="106"/>
      <c r="FE39" s="106"/>
      <c r="FF39" s="106"/>
      <c r="FG39" s="106"/>
      <c r="FH39" s="106"/>
      <c r="FI39" s="106"/>
      <c r="FJ39" s="106"/>
      <c r="FK39" s="106"/>
      <c r="FL39" s="106"/>
      <c r="FM39" s="106"/>
      <c r="FN39" s="106"/>
      <c r="FO39" s="106"/>
      <c r="FP39" s="106"/>
      <c r="FQ39" s="106"/>
      <c r="FR39" s="106"/>
      <c r="FS39" s="106"/>
      <c r="FT39" s="106"/>
      <c r="FU39" s="106"/>
      <c r="FV39" s="106"/>
      <c r="FW39" s="106"/>
      <c r="FX39" s="106"/>
      <c r="FY39" s="106"/>
      <c r="FZ39" s="106"/>
      <c r="GA39" s="106"/>
      <c r="GB39" s="106"/>
      <c r="GC39" s="106"/>
      <c r="GD39" s="106"/>
      <c r="GE39" s="106"/>
      <c r="GF39" s="106"/>
      <c r="GG39" s="159"/>
    </row>
    <row r="40" spans="2:189" x14ac:dyDescent="0.2">
      <c r="B40" s="97">
        <v>41214</v>
      </c>
      <c r="C40" s="100">
        <v>70.400000000000006</v>
      </c>
      <c r="D40" s="101">
        <v>70.7</v>
      </c>
      <c r="E40" s="101">
        <v>70.7</v>
      </c>
      <c r="F40" s="101">
        <v>70.8</v>
      </c>
      <c r="G40" s="100">
        <v>70.599999999999994</v>
      </c>
      <c r="H40" s="100">
        <v>70.5</v>
      </c>
      <c r="I40" s="100">
        <v>70.5</v>
      </c>
      <c r="J40" s="100">
        <v>70.599999999999994</v>
      </c>
      <c r="K40" s="100">
        <v>70.7</v>
      </c>
      <c r="L40" s="100">
        <v>70.7</v>
      </c>
      <c r="M40" s="100">
        <v>70.599999999999994</v>
      </c>
      <c r="N40" s="100">
        <v>70.7</v>
      </c>
      <c r="O40" s="100">
        <v>70.599999999999994</v>
      </c>
      <c r="P40" s="100">
        <v>70.400000000000006</v>
      </c>
      <c r="Q40" s="100">
        <v>70.3</v>
      </c>
      <c r="R40" s="103">
        <v>70.2</v>
      </c>
      <c r="S40" s="100">
        <v>70.3</v>
      </c>
      <c r="T40" s="100">
        <v>70.3</v>
      </c>
      <c r="U40" s="100">
        <v>70.400000000000006</v>
      </c>
      <c r="V40" s="100">
        <v>70.400000000000006</v>
      </c>
      <c r="W40" s="100">
        <v>70.5</v>
      </c>
      <c r="X40" s="100">
        <v>70.599999999999994</v>
      </c>
      <c r="Y40" s="100">
        <v>70.7</v>
      </c>
      <c r="Z40" s="100">
        <v>70.8</v>
      </c>
      <c r="AA40" s="100">
        <v>71</v>
      </c>
      <c r="AB40" s="100">
        <v>71.2</v>
      </c>
      <c r="AC40" s="100">
        <v>71.3</v>
      </c>
      <c r="AD40" s="102">
        <v>71.2</v>
      </c>
      <c r="AE40" s="100"/>
      <c r="AF40" s="100"/>
      <c r="AG40" s="100"/>
      <c r="AH40" s="100"/>
      <c r="AI40" s="100"/>
      <c r="AJ40" s="100"/>
      <c r="AK40" s="100"/>
      <c r="AL40" s="100"/>
      <c r="AM40" s="100"/>
      <c r="AN40" s="100"/>
      <c r="AO40" s="100"/>
      <c r="AP40" s="100"/>
      <c r="AQ40" s="100"/>
      <c r="AR40" s="100"/>
      <c r="AS40" s="100"/>
      <c r="AT40" s="100"/>
      <c r="AU40" s="100"/>
      <c r="AV40" s="100"/>
      <c r="AW40" s="100"/>
      <c r="AX40" s="100"/>
      <c r="AY40" s="100"/>
      <c r="AZ40" s="100"/>
      <c r="BA40" s="100"/>
      <c r="BB40" s="100"/>
      <c r="BC40" s="100"/>
      <c r="BD40" s="100"/>
      <c r="BE40" s="100"/>
      <c r="BF40" s="100"/>
      <c r="BG40" s="100"/>
      <c r="BH40" s="100"/>
      <c r="BI40" s="100"/>
      <c r="BJ40" s="100"/>
      <c r="BK40" s="100"/>
      <c r="BL40" s="100"/>
      <c r="BM40" s="100"/>
      <c r="BN40" s="100"/>
      <c r="BO40" s="100"/>
      <c r="BP40" s="100"/>
      <c r="BQ40" s="100"/>
      <c r="BR40" s="100"/>
      <c r="BS40" s="100"/>
      <c r="BT40" s="100"/>
      <c r="BU40" s="100"/>
      <c r="BV40" s="100"/>
      <c r="BW40" s="100"/>
      <c r="BX40" s="100"/>
      <c r="BY40" s="100"/>
      <c r="BZ40" s="100"/>
      <c r="CA40" s="100"/>
      <c r="CB40" s="100"/>
      <c r="CC40" s="100"/>
      <c r="CD40" s="100"/>
      <c r="CE40" s="100"/>
      <c r="CF40" s="100"/>
      <c r="CG40" s="100"/>
      <c r="CH40" s="100"/>
      <c r="CI40" s="100"/>
      <c r="CJ40" s="100"/>
      <c r="CK40" s="100"/>
      <c r="CL40" s="100"/>
      <c r="CM40" s="100"/>
      <c r="CN40" s="100"/>
      <c r="CO40" s="100"/>
      <c r="CP40" s="100"/>
      <c r="CQ40" s="100"/>
      <c r="CR40" s="100"/>
      <c r="CS40" s="100"/>
      <c r="CT40" s="100"/>
      <c r="CU40" s="100"/>
      <c r="CV40" s="100"/>
      <c r="CW40" s="100"/>
      <c r="CX40" s="100"/>
      <c r="CY40" s="100"/>
      <c r="CZ40" s="100"/>
      <c r="DA40" s="100"/>
      <c r="DB40" s="100"/>
      <c r="DC40" s="100"/>
      <c r="DD40" s="100"/>
      <c r="DE40" s="100"/>
      <c r="DF40" s="100"/>
      <c r="DG40" s="100"/>
      <c r="DH40" s="100"/>
      <c r="DI40" s="100"/>
      <c r="DJ40" s="100"/>
      <c r="DK40" s="100"/>
      <c r="DL40" s="100"/>
      <c r="DM40" s="100"/>
      <c r="DN40" s="100"/>
      <c r="DO40" s="100"/>
      <c r="DP40" s="100"/>
      <c r="DQ40" s="100"/>
      <c r="DR40" s="100"/>
      <c r="DS40" s="100"/>
      <c r="DT40" s="100"/>
      <c r="DU40" s="100"/>
      <c r="DV40" s="100"/>
      <c r="DW40" s="100"/>
      <c r="DX40" s="100"/>
      <c r="DY40" s="100"/>
      <c r="DZ40" s="100"/>
      <c r="EA40" s="100"/>
      <c r="EB40" s="100"/>
      <c r="EC40" s="100"/>
      <c r="ED40" s="100"/>
      <c r="EE40" s="100"/>
      <c r="EF40" s="100"/>
      <c r="EG40" s="100"/>
      <c r="EH40" s="100"/>
      <c r="EI40" s="100"/>
      <c r="EJ40" s="100"/>
      <c r="EK40" s="100"/>
      <c r="EL40" s="100"/>
      <c r="EM40" s="100"/>
      <c r="EN40" s="100"/>
      <c r="EO40" s="100"/>
      <c r="EP40" s="100"/>
      <c r="EQ40" s="106"/>
      <c r="ER40" s="106"/>
      <c r="ES40" s="106"/>
      <c r="ET40" s="106"/>
      <c r="EU40" s="106"/>
      <c r="EV40" s="106"/>
      <c r="EW40" s="106"/>
      <c r="EX40" s="106"/>
      <c r="EY40" s="106"/>
      <c r="EZ40" s="106"/>
      <c r="FA40" s="106"/>
      <c r="FB40" s="106"/>
      <c r="FC40" s="106"/>
      <c r="FD40" s="106"/>
      <c r="FE40" s="106"/>
      <c r="FF40" s="106"/>
      <c r="FG40" s="106"/>
      <c r="FH40" s="106"/>
      <c r="FI40" s="106"/>
      <c r="FJ40" s="106"/>
      <c r="FK40" s="106"/>
      <c r="FL40" s="106"/>
      <c r="FM40" s="106"/>
      <c r="FN40" s="106"/>
      <c r="FO40" s="106"/>
      <c r="FP40" s="106"/>
      <c r="FQ40" s="106"/>
      <c r="FR40" s="106"/>
      <c r="FS40" s="106"/>
      <c r="FT40" s="106"/>
      <c r="FU40" s="106"/>
      <c r="FV40" s="106"/>
      <c r="FW40" s="106"/>
      <c r="FX40" s="106"/>
      <c r="FY40" s="106"/>
      <c r="FZ40" s="106"/>
      <c r="GA40" s="106"/>
      <c r="GB40" s="106"/>
      <c r="GC40" s="106"/>
      <c r="GD40" s="106"/>
      <c r="GE40" s="106"/>
      <c r="GF40" s="106"/>
      <c r="GG40" s="159"/>
    </row>
    <row r="41" spans="2:189" x14ac:dyDescent="0.2">
      <c r="B41" s="97">
        <v>41244</v>
      </c>
      <c r="C41" s="100">
        <v>70.400000000000006</v>
      </c>
      <c r="D41" s="101">
        <v>70.7</v>
      </c>
      <c r="E41" s="101">
        <v>70.7</v>
      </c>
      <c r="F41" s="101">
        <v>70.8</v>
      </c>
      <c r="G41" s="100">
        <v>70.599999999999994</v>
      </c>
      <c r="H41" s="100">
        <v>70.5</v>
      </c>
      <c r="I41" s="100">
        <v>70.5</v>
      </c>
      <c r="J41" s="100">
        <v>70.599999999999994</v>
      </c>
      <c r="K41" s="100">
        <v>70.7</v>
      </c>
      <c r="L41" s="100">
        <v>70.7</v>
      </c>
      <c r="M41" s="100">
        <v>70.599999999999994</v>
      </c>
      <c r="N41" s="100">
        <v>70.7</v>
      </c>
      <c r="O41" s="100">
        <v>70.599999999999994</v>
      </c>
      <c r="P41" s="100">
        <v>70.400000000000006</v>
      </c>
      <c r="Q41" s="100">
        <v>70.3</v>
      </c>
      <c r="R41" s="100">
        <v>70.2</v>
      </c>
      <c r="S41" s="103">
        <v>70.3</v>
      </c>
      <c r="T41" s="100">
        <v>70.3</v>
      </c>
      <c r="U41" s="100">
        <v>70.400000000000006</v>
      </c>
      <c r="V41" s="100">
        <v>70.400000000000006</v>
      </c>
      <c r="W41" s="100">
        <v>70.5</v>
      </c>
      <c r="X41" s="100">
        <v>70.599999999999994</v>
      </c>
      <c r="Y41" s="100">
        <v>70.7</v>
      </c>
      <c r="Z41" s="100">
        <v>70.8</v>
      </c>
      <c r="AA41" s="100">
        <v>71</v>
      </c>
      <c r="AB41" s="100">
        <v>71.2</v>
      </c>
      <c r="AC41" s="100">
        <v>71.3</v>
      </c>
      <c r="AD41" s="100">
        <v>71.2</v>
      </c>
      <c r="AE41" s="102">
        <v>71.2</v>
      </c>
      <c r="AF41" s="100"/>
      <c r="AG41" s="100"/>
      <c r="AH41" s="100"/>
      <c r="AI41" s="100"/>
      <c r="AJ41" s="100"/>
      <c r="AK41" s="100"/>
      <c r="AL41" s="100"/>
      <c r="AM41" s="100"/>
      <c r="AN41" s="100"/>
      <c r="AO41" s="100"/>
      <c r="AP41" s="100"/>
      <c r="AQ41" s="100"/>
      <c r="AR41" s="100"/>
      <c r="AS41" s="100"/>
      <c r="AT41" s="100"/>
      <c r="AU41" s="100"/>
      <c r="AV41" s="100"/>
      <c r="AW41" s="100"/>
      <c r="AX41" s="100"/>
      <c r="AY41" s="100"/>
      <c r="AZ41" s="100"/>
      <c r="BA41" s="100"/>
      <c r="BB41" s="100"/>
      <c r="BC41" s="100"/>
      <c r="BD41" s="100"/>
      <c r="BE41" s="100"/>
      <c r="BF41" s="100"/>
      <c r="BG41" s="100"/>
      <c r="BH41" s="100"/>
      <c r="BI41" s="100"/>
      <c r="BJ41" s="100"/>
      <c r="BK41" s="100"/>
      <c r="BL41" s="100"/>
      <c r="BM41" s="100"/>
      <c r="BN41" s="100"/>
      <c r="BO41" s="100"/>
      <c r="BP41" s="100"/>
      <c r="BQ41" s="100"/>
      <c r="BR41" s="100"/>
      <c r="BS41" s="100"/>
      <c r="BT41" s="100"/>
      <c r="BU41" s="100"/>
      <c r="BV41" s="100"/>
      <c r="BW41" s="100"/>
      <c r="BX41" s="100"/>
      <c r="BY41" s="100"/>
      <c r="BZ41" s="100"/>
      <c r="CA41" s="100"/>
      <c r="CB41" s="100"/>
      <c r="CC41" s="100"/>
      <c r="CD41" s="100"/>
      <c r="CE41" s="100"/>
      <c r="CF41" s="100"/>
      <c r="CG41" s="100"/>
      <c r="CH41" s="100"/>
      <c r="CI41" s="100"/>
      <c r="CJ41" s="100"/>
      <c r="CK41" s="100"/>
      <c r="CL41" s="100"/>
      <c r="CM41" s="100"/>
      <c r="CN41" s="100"/>
      <c r="CO41" s="100"/>
      <c r="CP41" s="100"/>
      <c r="CQ41" s="100"/>
      <c r="CR41" s="100"/>
      <c r="CS41" s="100"/>
      <c r="CT41" s="100"/>
      <c r="CU41" s="100"/>
      <c r="CV41" s="100"/>
      <c r="CW41" s="100"/>
      <c r="CX41" s="100"/>
      <c r="CY41" s="100"/>
      <c r="CZ41" s="100"/>
      <c r="DA41" s="100"/>
      <c r="DB41" s="100"/>
      <c r="DC41" s="100"/>
      <c r="DD41" s="100"/>
      <c r="DE41" s="100"/>
      <c r="DF41" s="100"/>
      <c r="DG41" s="100"/>
      <c r="DH41" s="100"/>
      <c r="DI41" s="100"/>
      <c r="DJ41" s="100"/>
      <c r="DK41" s="100"/>
      <c r="DL41" s="100"/>
      <c r="DM41" s="100"/>
      <c r="DN41" s="100"/>
      <c r="DO41" s="100"/>
      <c r="DP41" s="100"/>
      <c r="DQ41" s="100"/>
      <c r="DR41" s="100"/>
      <c r="DS41" s="100"/>
      <c r="DT41" s="100"/>
      <c r="DU41" s="100"/>
      <c r="DV41" s="100"/>
      <c r="DW41" s="100"/>
      <c r="DX41" s="100"/>
      <c r="DY41" s="100"/>
      <c r="DZ41" s="100"/>
      <c r="EA41" s="100"/>
      <c r="EB41" s="100"/>
      <c r="EC41" s="100"/>
      <c r="ED41" s="100"/>
      <c r="EE41" s="100"/>
      <c r="EF41" s="100"/>
      <c r="EG41" s="100"/>
      <c r="EH41" s="100"/>
      <c r="EI41" s="100"/>
      <c r="EJ41" s="100"/>
      <c r="EK41" s="100"/>
      <c r="EL41" s="100"/>
      <c r="EM41" s="100"/>
      <c r="EN41" s="100"/>
      <c r="EO41" s="100"/>
      <c r="EP41" s="100"/>
      <c r="EQ41" s="106"/>
      <c r="ER41" s="106"/>
      <c r="ES41" s="106"/>
      <c r="ET41" s="106"/>
      <c r="EU41" s="106"/>
      <c r="EV41" s="106"/>
      <c r="EW41" s="106"/>
      <c r="EX41" s="106"/>
      <c r="EY41" s="106"/>
      <c r="EZ41" s="106"/>
      <c r="FA41" s="106"/>
      <c r="FB41" s="106"/>
      <c r="FC41" s="106"/>
      <c r="FD41" s="106"/>
      <c r="FE41" s="106"/>
      <c r="FF41" s="106"/>
      <c r="FG41" s="106"/>
      <c r="FH41" s="106"/>
      <c r="FI41" s="106"/>
      <c r="FJ41" s="106"/>
      <c r="FK41" s="106"/>
      <c r="FL41" s="106"/>
      <c r="FM41" s="106"/>
      <c r="FN41" s="106"/>
      <c r="FO41" s="106"/>
      <c r="FP41" s="106"/>
      <c r="FQ41" s="106"/>
      <c r="FR41" s="106"/>
      <c r="FS41" s="106"/>
      <c r="FT41" s="106"/>
      <c r="FU41" s="106"/>
      <c r="FV41" s="106"/>
      <c r="FW41" s="106"/>
      <c r="FX41" s="106"/>
      <c r="FY41" s="106"/>
      <c r="FZ41" s="106"/>
      <c r="GA41" s="106"/>
      <c r="GB41" s="106"/>
      <c r="GC41" s="106"/>
      <c r="GD41" s="106"/>
      <c r="GE41" s="106"/>
      <c r="GF41" s="106"/>
      <c r="GG41" s="159"/>
    </row>
    <row r="42" spans="2:189" x14ac:dyDescent="0.2">
      <c r="B42" s="97">
        <v>41275</v>
      </c>
      <c r="C42" s="100">
        <v>70.400000000000006</v>
      </c>
      <c r="D42" s="101">
        <v>70.7</v>
      </c>
      <c r="E42" s="101">
        <v>70.7</v>
      </c>
      <c r="F42" s="101">
        <v>70.8</v>
      </c>
      <c r="G42" s="100">
        <v>70.599999999999994</v>
      </c>
      <c r="H42" s="100">
        <v>70.5</v>
      </c>
      <c r="I42" s="100">
        <v>70.5</v>
      </c>
      <c r="J42" s="100">
        <v>70.599999999999994</v>
      </c>
      <c r="K42" s="100">
        <v>70.7</v>
      </c>
      <c r="L42" s="100">
        <v>70.7</v>
      </c>
      <c r="M42" s="100">
        <v>70.599999999999994</v>
      </c>
      <c r="N42" s="100">
        <v>70.7</v>
      </c>
      <c r="O42" s="100">
        <v>70.599999999999994</v>
      </c>
      <c r="P42" s="100">
        <v>70.400000000000006</v>
      </c>
      <c r="Q42" s="100">
        <v>70.3</v>
      </c>
      <c r="R42" s="100">
        <v>70.2</v>
      </c>
      <c r="S42" s="100">
        <v>70.3</v>
      </c>
      <c r="T42" s="103">
        <v>70.3</v>
      </c>
      <c r="U42" s="100">
        <v>70.400000000000006</v>
      </c>
      <c r="V42" s="100">
        <v>70.400000000000006</v>
      </c>
      <c r="W42" s="100">
        <v>70.5</v>
      </c>
      <c r="X42" s="100">
        <v>70.599999999999994</v>
      </c>
      <c r="Y42" s="100">
        <v>70.7</v>
      </c>
      <c r="Z42" s="100">
        <v>70.8</v>
      </c>
      <c r="AA42" s="100">
        <v>71</v>
      </c>
      <c r="AB42" s="100">
        <v>71.2</v>
      </c>
      <c r="AC42" s="100">
        <v>71.3</v>
      </c>
      <c r="AD42" s="100">
        <v>71.2</v>
      </c>
      <c r="AE42" s="100">
        <v>71.2</v>
      </c>
      <c r="AF42" s="102">
        <v>71.400000000000006</v>
      </c>
      <c r="AG42" s="100"/>
      <c r="AH42" s="100"/>
      <c r="AI42" s="100"/>
      <c r="AJ42" s="100"/>
      <c r="AK42" s="100"/>
      <c r="AL42" s="100"/>
      <c r="AM42" s="100"/>
      <c r="AN42" s="100"/>
      <c r="AO42" s="100"/>
      <c r="AP42" s="100"/>
      <c r="AQ42" s="100"/>
      <c r="AR42" s="100"/>
      <c r="AS42" s="100"/>
      <c r="AT42" s="100"/>
      <c r="AU42" s="100"/>
      <c r="AV42" s="100"/>
      <c r="AW42" s="100"/>
      <c r="AX42" s="100"/>
      <c r="AY42" s="100"/>
      <c r="AZ42" s="100"/>
      <c r="BA42" s="100"/>
      <c r="BB42" s="100"/>
      <c r="BC42" s="100"/>
      <c r="BD42" s="100"/>
      <c r="BE42" s="100"/>
      <c r="BF42" s="100"/>
      <c r="BG42" s="100"/>
      <c r="BH42" s="100"/>
      <c r="BI42" s="100"/>
      <c r="BJ42" s="100"/>
      <c r="BK42" s="100"/>
      <c r="BL42" s="100"/>
      <c r="BM42" s="100"/>
      <c r="BN42" s="100"/>
      <c r="BO42" s="100"/>
      <c r="BP42" s="100"/>
      <c r="BQ42" s="100"/>
      <c r="BR42" s="100"/>
      <c r="BS42" s="100"/>
      <c r="BT42" s="100"/>
      <c r="BU42" s="100"/>
      <c r="BV42" s="100"/>
      <c r="BW42" s="100"/>
      <c r="BX42" s="100"/>
      <c r="BY42" s="100"/>
      <c r="BZ42" s="100"/>
      <c r="CA42" s="100"/>
      <c r="CB42" s="100"/>
      <c r="CC42" s="100"/>
      <c r="CD42" s="100"/>
      <c r="CE42" s="100"/>
      <c r="CF42" s="100"/>
      <c r="CG42" s="100"/>
      <c r="CH42" s="100"/>
      <c r="CI42" s="100"/>
      <c r="CJ42" s="100"/>
      <c r="CK42" s="100"/>
      <c r="CL42" s="100"/>
      <c r="CM42" s="100"/>
      <c r="CN42" s="100"/>
      <c r="CO42" s="100"/>
      <c r="CP42" s="100"/>
      <c r="CQ42" s="100"/>
      <c r="CR42" s="100"/>
      <c r="CS42" s="100"/>
      <c r="CT42" s="100"/>
      <c r="CU42" s="100"/>
      <c r="CV42" s="100"/>
      <c r="CW42" s="100"/>
      <c r="CX42" s="100"/>
      <c r="CY42" s="100"/>
      <c r="CZ42" s="100"/>
      <c r="DA42" s="100"/>
      <c r="DB42" s="100"/>
      <c r="DC42" s="100"/>
      <c r="DD42" s="100"/>
      <c r="DE42" s="100"/>
      <c r="DF42" s="100"/>
      <c r="DG42" s="100"/>
      <c r="DH42" s="100"/>
      <c r="DI42" s="100"/>
      <c r="DJ42" s="100"/>
      <c r="DK42" s="100"/>
      <c r="DL42" s="100"/>
      <c r="DM42" s="100"/>
      <c r="DN42" s="100"/>
      <c r="DO42" s="100"/>
      <c r="DP42" s="100"/>
      <c r="DQ42" s="100"/>
      <c r="DR42" s="100"/>
      <c r="DS42" s="100"/>
      <c r="DT42" s="100"/>
      <c r="DU42" s="100"/>
      <c r="DV42" s="100"/>
      <c r="DW42" s="100"/>
      <c r="DX42" s="100"/>
      <c r="DY42" s="100"/>
      <c r="DZ42" s="100"/>
      <c r="EA42" s="100"/>
      <c r="EB42" s="100"/>
      <c r="EC42" s="100"/>
      <c r="ED42" s="100"/>
      <c r="EE42" s="100"/>
      <c r="EF42" s="100"/>
      <c r="EG42" s="100"/>
      <c r="EH42" s="100"/>
      <c r="EI42" s="100"/>
      <c r="EJ42" s="100"/>
      <c r="EK42" s="100"/>
      <c r="EL42" s="100"/>
      <c r="EM42" s="100"/>
      <c r="EN42" s="100"/>
      <c r="EO42" s="100"/>
      <c r="EP42" s="100"/>
      <c r="EQ42" s="106"/>
      <c r="ER42" s="106"/>
      <c r="ES42" s="106"/>
      <c r="ET42" s="106"/>
      <c r="EU42" s="106"/>
      <c r="EV42" s="106"/>
      <c r="EW42" s="106"/>
      <c r="EX42" s="106"/>
      <c r="EY42" s="106"/>
      <c r="EZ42" s="106"/>
      <c r="FA42" s="106"/>
      <c r="FB42" s="106"/>
      <c r="FC42" s="106"/>
      <c r="FD42" s="106"/>
      <c r="FE42" s="106"/>
      <c r="FF42" s="106"/>
      <c r="FG42" s="106"/>
      <c r="FH42" s="106"/>
      <c r="FI42" s="106"/>
      <c r="FJ42" s="106"/>
      <c r="FK42" s="106"/>
      <c r="FL42" s="106"/>
      <c r="FM42" s="106"/>
      <c r="FN42" s="106"/>
      <c r="FO42" s="106"/>
      <c r="FP42" s="106"/>
      <c r="FQ42" s="106"/>
      <c r="FR42" s="106"/>
      <c r="FS42" s="106"/>
      <c r="FT42" s="106"/>
      <c r="FU42" s="106"/>
      <c r="FV42" s="106"/>
      <c r="FW42" s="106"/>
      <c r="FX42" s="106"/>
      <c r="FY42" s="106"/>
      <c r="FZ42" s="106"/>
      <c r="GA42" s="106"/>
      <c r="GB42" s="106"/>
      <c r="GC42" s="106"/>
      <c r="GD42" s="106"/>
      <c r="GE42" s="106"/>
      <c r="GF42" s="106"/>
      <c r="GG42" s="159"/>
    </row>
    <row r="43" spans="2:189" x14ac:dyDescent="0.2">
      <c r="B43" s="97">
        <v>41306</v>
      </c>
      <c r="C43" s="100">
        <v>70.400000000000006</v>
      </c>
      <c r="D43" s="101">
        <v>70.7</v>
      </c>
      <c r="E43" s="101">
        <v>70.7</v>
      </c>
      <c r="F43" s="101">
        <v>70.8</v>
      </c>
      <c r="G43" s="100">
        <v>70.599999999999994</v>
      </c>
      <c r="H43" s="100">
        <v>70.5</v>
      </c>
      <c r="I43" s="100">
        <v>70.5</v>
      </c>
      <c r="J43" s="100">
        <v>70.599999999999994</v>
      </c>
      <c r="K43" s="100">
        <v>70.7</v>
      </c>
      <c r="L43" s="100">
        <v>70.7</v>
      </c>
      <c r="M43" s="100">
        <v>70.599999999999994</v>
      </c>
      <c r="N43" s="100">
        <v>70.7</v>
      </c>
      <c r="O43" s="100">
        <v>70.599999999999994</v>
      </c>
      <c r="P43" s="100">
        <v>70.400000000000006</v>
      </c>
      <c r="Q43" s="100">
        <v>70.3</v>
      </c>
      <c r="R43" s="100">
        <v>70.2</v>
      </c>
      <c r="S43" s="100">
        <v>70.3</v>
      </c>
      <c r="T43" s="100">
        <v>70.3</v>
      </c>
      <c r="U43" s="103">
        <v>70.400000000000006</v>
      </c>
      <c r="V43" s="100">
        <v>70.400000000000006</v>
      </c>
      <c r="W43" s="100">
        <v>70.5</v>
      </c>
      <c r="X43" s="100">
        <v>70.599999999999994</v>
      </c>
      <c r="Y43" s="100">
        <v>70.7</v>
      </c>
      <c r="Z43" s="100">
        <v>70.8</v>
      </c>
      <c r="AA43" s="100">
        <v>71</v>
      </c>
      <c r="AB43" s="100">
        <v>71.2</v>
      </c>
      <c r="AC43" s="100">
        <v>71.3</v>
      </c>
      <c r="AD43" s="100">
        <v>71.2</v>
      </c>
      <c r="AE43" s="100">
        <v>71.2</v>
      </c>
      <c r="AF43" s="100">
        <v>71.400000000000006</v>
      </c>
      <c r="AG43" s="102">
        <v>71.5</v>
      </c>
      <c r="AH43" s="100"/>
      <c r="AI43" s="100"/>
      <c r="AJ43" s="100"/>
      <c r="AK43" s="100"/>
      <c r="AL43" s="100"/>
      <c r="AM43" s="100"/>
      <c r="AN43" s="100"/>
      <c r="AO43" s="100"/>
      <c r="AP43" s="100"/>
      <c r="AQ43" s="100"/>
      <c r="AR43" s="100"/>
      <c r="AS43" s="100"/>
      <c r="AT43" s="100"/>
      <c r="AU43" s="100"/>
      <c r="AV43" s="100"/>
      <c r="AW43" s="100"/>
      <c r="AX43" s="100"/>
      <c r="AY43" s="100"/>
      <c r="AZ43" s="100"/>
      <c r="BA43" s="100"/>
      <c r="BB43" s="100"/>
      <c r="BC43" s="100"/>
      <c r="BD43" s="100"/>
      <c r="BE43" s="100"/>
      <c r="BF43" s="100"/>
      <c r="BG43" s="100"/>
      <c r="BH43" s="100"/>
      <c r="BI43" s="100"/>
      <c r="BJ43" s="100"/>
      <c r="BK43" s="100"/>
      <c r="BL43" s="100"/>
      <c r="BM43" s="100"/>
      <c r="BN43" s="100"/>
      <c r="BO43" s="100"/>
      <c r="BP43" s="100"/>
      <c r="BQ43" s="100"/>
      <c r="BR43" s="100"/>
      <c r="BS43" s="100"/>
      <c r="BT43" s="100"/>
      <c r="BU43" s="100"/>
      <c r="BV43" s="100"/>
      <c r="BW43" s="100"/>
      <c r="BX43" s="100"/>
      <c r="BY43" s="100"/>
      <c r="BZ43" s="100"/>
      <c r="CA43" s="100"/>
      <c r="CB43" s="100"/>
      <c r="CC43" s="100"/>
      <c r="CD43" s="100"/>
      <c r="CE43" s="100"/>
      <c r="CF43" s="100"/>
      <c r="CG43" s="100"/>
      <c r="CH43" s="100"/>
      <c r="CI43" s="100"/>
      <c r="CJ43" s="100"/>
      <c r="CK43" s="100"/>
      <c r="CL43" s="100"/>
      <c r="CM43" s="100"/>
      <c r="CN43" s="100"/>
      <c r="CO43" s="100"/>
      <c r="CP43" s="100"/>
      <c r="CQ43" s="100"/>
      <c r="CR43" s="100"/>
      <c r="CS43" s="100"/>
      <c r="CT43" s="100"/>
      <c r="CU43" s="100"/>
      <c r="CV43" s="100"/>
      <c r="CW43" s="100"/>
      <c r="CX43" s="100"/>
      <c r="CY43" s="100"/>
      <c r="CZ43" s="100"/>
      <c r="DA43" s="100"/>
      <c r="DB43" s="100"/>
      <c r="DC43" s="100"/>
      <c r="DD43" s="100"/>
      <c r="DE43" s="100"/>
      <c r="DF43" s="100"/>
      <c r="DG43" s="100"/>
      <c r="DH43" s="100"/>
      <c r="DI43" s="100"/>
      <c r="DJ43" s="100"/>
      <c r="DK43" s="100"/>
      <c r="DL43" s="100"/>
      <c r="DM43" s="100"/>
      <c r="DN43" s="100"/>
      <c r="DO43" s="100"/>
      <c r="DP43" s="100"/>
      <c r="DQ43" s="100"/>
      <c r="DR43" s="100"/>
      <c r="DS43" s="100"/>
      <c r="DT43" s="100"/>
      <c r="DU43" s="100"/>
      <c r="DV43" s="100"/>
      <c r="DW43" s="100"/>
      <c r="DX43" s="100"/>
      <c r="DY43" s="100"/>
      <c r="DZ43" s="100"/>
      <c r="EA43" s="100"/>
      <c r="EB43" s="100"/>
      <c r="EC43" s="100"/>
      <c r="ED43" s="100"/>
      <c r="EE43" s="100"/>
      <c r="EF43" s="100"/>
      <c r="EG43" s="100"/>
      <c r="EH43" s="100"/>
      <c r="EI43" s="100"/>
      <c r="EJ43" s="100"/>
      <c r="EK43" s="100"/>
      <c r="EL43" s="100"/>
      <c r="EM43" s="100"/>
      <c r="EN43" s="100"/>
      <c r="EO43" s="100"/>
      <c r="EP43" s="100"/>
      <c r="EQ43" s="106"/>
      <c r="ER43" s="106"/>
      <c r="ES43" s="106"/>
      <c r="ET43" s="106"/>
      <c r="EU43" s="106"/>
      <c r="EV43" s="106"/>
      <c r="EW43" s="106"/>
      <c r="EX43" s="106"/>
      <c r="EY43" s="106"/>
      <c r="EZ43" s="106"/>
      <c r="FA43" s="106"/>
      <c r="FB43" s="106"/>
      <c r="FC43" s="106"/>
      <c r="FD43" s="106"/>
      <c r="FE43" s="106"/>
      <c r="FF43" s="106"/>
      <c r="FG43" s="106"/>
      <c r="FH43" s="106"/>
      <c r="FI43" s="106"/>
      <c r="FJ43" s="106"/>
      <c r="FK43" s="106"/>
      <c r="FL43" s="106"/>
      <c r="FM43" s="106"/>
      <c r="FN43" s="106"/>
      <c r="FO43" s="106"/>
      <c r="FP43" s="106"/>
      <c r="FQ43" s="106"/>
      <c r="FR43" s="106"/>
      <c r="FS43" s="106"/>
      <c r="FT43" s="106"/>
      <c r="FU43" s="106"/>
      <c r="FV43" s="106"/>
      <c r="FW43" s="106"/>
      <c r="FX43" s="106"/>
      <c r="FY43" s="106"/>
      <c r="FZ43" s="106"/>
      <c r="GA43" s="106"/>
      <c r="GB43" s="106"/>
      <c r="GC43" s="106"/>
      <c r="GD43" s="106"/>
      <c r="GE43" s="106"/>
      <c r="GF43" s="106"/>
      <c r="GG43" s="159"/>
    </row>
    <row r="44" spans="2:189" x14ac:dyDescent="0.2">
      <c r="B44" s="97">
        <v>41334</v>
      </c>
      <c r="C44" s="100">
        <v>70.400000000000006</v>
      </c>
      <c r="D44" s="101">
        <v>70.7</v>
      </c>
      <c r="E44" s="101">
        <v>70.7</v>
      </c>
      <c r="F44" s="101">
        <v>70.8</v>
      </c>
      <c r="G44" s="100">
        <v>70.599999999999994</v>
      </c>
      <c r="H44" s="100">
        <v>70.5</v>
      </c>
      <c r="I44" s="100">
        <v>70.5</v>
      </c>
      <c r="J44" s="100">
        <v>70.599999999999994</v>
      </c>
      <c r="K44" s="100">
        <v>70.7</v>
      </c>
      <c r="L44" s="100">
        <v>70.7</v>
      </c>
      <c r="M44" s="100">
        <v>70.599999999999994</v>
      </c>
      <c r="N44" s="100">
        <v>70.7</v>
      </c>
      <c r="O44" s="100">
        <v>70.599999999999994</v>
      </c>
      <c r="P44" s="100">
        <v>70.400000000000006</v>
      </c>
      <c r="Q44" s="100">
        <v>70.3</v>
      </c>
      <c r="R44" s="100">
        <v>70.2</v>
      </c>
      <c r="S44" s="100">
        <v>70.3</v>
      </c>
      <c r="T44" s="100">
        <v>70.3</v>
      </c>
      <c r="U44" s="100">
        <v>70.400000000000006</v>
      </c>
      <c r="V44" s="103">
        <v>70.400000000000006</v>
      </c>
      <c r="W44" s="100">
        <v>70.5</v>
      </c>
      <c r="X44" s="100">
        <v>70.599999999999994</v>
      </c>
      <c r="Y44" s="100">
        <v>70.7</v>
      </c>
      <c r="Z44" s="100">
        <v>70.8</v>
      </c>
      <c r="AA44" s="100">
        <v>71</v>
      </c>
      <c r="AB44" s="100">
        <v>71.2</v>
      </c>
      <c r="AC44" s="100">
        <v>71.3</v>
      </c>
      <c r="AD44" s="100">
        <v>71.2</v>
      </c>
      <c r="AE44" s="100">
        <v>71.2</v>
      </c>
      <c r="AF44" s="100">
        <v>71.5</v>
      </c>
      <c r="AG44" s="100">
        <v>71.599999999999994</v>
      </c>
      <c r="AH44" s="102">
        <v>71.5</v>
      </c>
      <c r="AI44" s="100"/>
      <c r="AJ44" s="100"/>
      <c r="AK44" s="100"/>
      <c r="AL44" s="100"/>
      <c r="AM44" s="100"/>
      <c r="AN44" s="100"/>
      <c r="AO44" s="100"/>
      <c r="AP44" s="100"/>
      <c r="AQ44" s="100"/>
      <c r="AR44" s="100"/>
      <c r="AS44" s="100"/>
      <c r="AT44" s="100"/>
      <c r="AU44" s="100"/>
      <c r="AV44" s="100"/>
      <c r="AW44" s="100"/>
      <c r="AX44" s="100"/>
      <c r="AY44" s="100"/>
      <c r="AZ44" s="100"/>
      <c r="BA44" s="100"/>
      <c r="BB44" s="100"/>
      <c r="BC44" s="100"/>
      <c r="BD44" s="100"/>
      <c r="BE44" s="100"/>
      <c r="BF44" s="100"/>
      <c r="BG44" s="100"/>
      <c r="BH44" s="100"/>
      <c r="BI44" s="100"/>
      <c r="BJ44" s="100"/>
      <c r="BK44" s="100"/>
      <c r="BL44" s="100"/>
      <c r="BM44" s="100"/>
      <c r="BN44" s="100"/>
      <c r="BO44" s="100"/>
      <c r="BP44" s="100"/>
      <c r="BQ44" s="100"/>
      <c r="BR44" s="100"/>
      <c r="BS44" s="100"/>
      <c r="BT44" s="100"/>
      <c r="BU44" s="100"/>
      <c r="BV44" s="100"/>
      <c r="BW44" s="100"/>
      <c r="BX44" s="100"/>
      <c r="BY44" s="100"/>
      <c r="BZ44" s="100"/>
      <c r="CA44" s="100"/>
      <c r="CB44" s="100"/>
      <c r="CC44" s="100"/>
      <c r="CD44" s="100"/>
      <c r="CE44" s="100"/>
      <c r="CF44" s="100"/>
      <c r="CG44" s="100"/>
      <c r="CH44" s="100"/>
      <c r="CI44" s="100"/>
      <c r="CJ44" s="100"/>
      <c r="CK44" s="100"/>
      <c r="CL44" s="100"/>
      <c r="CM44" s="100"/>
      <c r="CN44" s="100"/>
      <c r="CO44" s="100"/>
      <c r="CP44" s="100"/>
      <c r="CQ44" s="100"/>
      <c r="CR44" s="100"/>
      <c r="CS44" s="100"/>
      <c r="CT44" s="100"/>
      <c r="CU44" s="100"/>
      <c r="CV44" s="100"/>
      <c r="CW44" s="100"/>
      <c r="CX44" s="100"/>
      <c r="CY44" s="100"/>
      <c r="CZ44" s="100"/>
      <c r="DA44" s="100"/>
      <c r="DB44" s="100"/>
      <c r="DC44" s="100"/>
      <c r="DD44" s="100"/>
      <c r="DE44" s="100"/>
      <c r="DF44" s="100"/>
      <c r="DG44" s="100"/>
      <c r="DH44" s="100"/>
      <c r="DI44" s="100"/>
      <c r="DJ44" s="100"/>
      <c r="DK44" s="100"/>
      <c r="DL44" s="100"/>
      <c r="DM44" s="100"/>
      <c r="DN44" s="100"/>
      <c r="DO44" s="100"/>
      <c r="DP44" s="100"/>
      <c r="DQ44" s="100"/>
      <c r="DR44" s="100"/>
      <c r="DS44" s="100"/>
      <c r="DT44" s="100"/>
      <c r="DU44" s="100"/>
      <c r="DV44" s="100"/>
      <c r="DW44" s="100"/>
      <c r="DX44" s="100"/>
      <c r="DY44" s="100"/>
      <c r="DZ44" s="100"/>
      <c r="EA44" s="100"/>
      <c r="EB44" s="100"/>
      <c r="EC44" s="100"/>
      <c r="ED44" s="100"/>
      <c r="EE44" s="100"/>
      <c r="EF44" s="100"/>
      <c r="EG44" s="100"/>
      <c r="EH44" s="100"/>
      <c r="EI44" s="100"/>
      <c r="EJ44" s="100"/>
      <c r="EK44" s="100"/>
      <c r="EL44" s="100"/>
      <c r="EM44" s="100"/>
      <c r="EN44" s="100"/>
      <c r="EO44" s="100"/>
      <c r="EP44" s="100"/>
      <c r="EQ44" s="106"/>
      <c r="ER44" s="106"/>
      <c r="ES44" s="106"/>
      <c r="ET44" s="106"/>
      <c r="EU44" s="106"/>
      <c r="EV44" s="106"/>
      <c r="EW44" s="106"/>
      <c r="EX44" s="106"/>
      <c r="EY44" s="106"/>
      <c r="EZ44" s="106"/>
      <c r="FA44" s="106"/>
      <c r="FB44" s="106"/>
      <c r="FC44" s="106"/>
      <c r="FD44" s="106"/>
      <c r="FE44" s="106"/>
      <c r="FF44" s="106"/>
      <c r="FG44" s="106"/>
      <c r="FH44" s="106"/>
      <c r="FI44" s="106"/>
      <c r="FJ44" s="106"/>
      <c r="FK44" s="106"/>
      <c r="FL44" s="106"/>
      <c r="FM44" s="106"/>
      <c r="FN44" s="106"/>
      <c r="FO44" s="106"/>
      <c r="FP44" s="106"/>
      <c r="FQ44" s="106"/>
      <c r="FR44" s="106"/>
      <c r="FS44" s="106"/>
      <c r="FT44" s="106"/>
      <c r="FU44" s="106"/>
      <c r="FV44" s="106"/>
      <c r="FW44" s="106"/>
      <c r="FX44" s="106"/>
      <c r="FY44" s="106"/>
      <c r="FZ44" s="106"/>
      <c r="GA44" s="106"/>
      <c r="GB44" s="106"/>
      <c r="GC44" s="106"/>
      <c r="GD44" s="106"/>
      <c r="GE44" s="106"/>
      <c r="GF44" s="106"/>
      <c r="GG44" s="159"/>
    </row>
    <row r="45" spans="2:189" x14ac:dyDescent="0.2">
      <c r="B45" s="97">
        <v>41365</v>
      </c>
      <c r="C45" s="100">
        <v>70.400000000000006</v>
      </c>
      <c r="D45" s="101">
        <v>70.7</v>
      </c>
      <c r="E45" s="101">
        <v>70.7</v>
      </c>
      <c r="F45" s="101">
        <v>70.8</v>
      </c>
      <c r="G45" s="100">
        <v>70.599999999999994</v>
      </c>
      <c r="H45" s="100">
        <v>70.5</v>
      </c>
      <c r="I45" s="100">
        <v>70.5</v>
      </c>
      <c r="J45" s="100">
        <v>70.599999999999994</v>
      </c>
      <c r="K45" s="100">
        <v>70.7</v>
      </c>
      <c r="L45" s="100">
        <v>70.7</v>
      </c>
      <c r="M45" s="100">
        <v>70.599999999999994</v>
      </c>
      <c r="N45" s="100">
        <v>70.7</v>
      </c>
      <c r="O45" s="100">
        <v>70.599999999999994</v>
      </c>
      <c r="P45" s="100">
        <v>70.400000000000006</v>
      </c>
      <c r="Q45" s="100">
        <v>70.3</v>
      </c>
      <c r="R45" s="100">
        <v>70.2</v>
      </c>
      <c r="S45" s="100">
        <v>70.3</v>
      </c>
      <c r="T45" s="100">
        <v>70.3</v>
      </c>
      <c r="U45" s="100">
        <v>70.400000000000006</v>
      </c>
      <c r="V45" s="100">
        <v>70.400000000000006</v>
      </c>
      <c r="W45" s="103">
        <v>70.5</v>
      </c>
      <c r="X45" s="100">
        <v>70.599999999999994</v>
      </c>
      <c r="Y45" s="100">
        <v>70.7</v>
      </c>
      <c r="Z45" s="100">
        <v>70.8</v>
      </c>
      <c r="AA45" s="100">
        <v>71</v>
      </c>
      <c r="AB45" s="100">
        <v>71.2</v>
      </c>
      <c r="AC45" s="100">
        <v>71.3</v>
      </c>
      <c r="AD45" s="100">
        <v>71.2</v>
      </c>
      <c r="AE45" s="100">
        <v>71.2</v>
      </c>
      <c r="AF45" s="100">
        <v>71.5</v>
      </c>
      <c r="AG45" s="100">
        <v>71.599999999999994</v>
      </c>
      <c r="AH45" s="100">
        <v>71.5</v>
      </c>
      <c r="AI45" s="102">
        <v>71.400000000000006</v>
      </c>
      <c r="AJ45" s="100"/>
      <c r="AK45" s="100"/>
      <c r="AL45" s="100"/>
      <c r="AM45" s="100"/>
      <c r="AN45" s="100"/>
      <c r="AO45" s="100"/>
      <c r="AP45" s="100"/>
      <c r="AQ45" s="100"/>
      <c r="AR45" s="100"/>
      <c r="AS45" s="100"/>
      <c r="AT45" s="100"/>
      <c r="AU45" s="100"/>
      <c r="AV45" s="100"/>
      <c r="AW45" s="100"/>
      <c r="AX45" s="100"/>
      <c r="AY45" s="100"/>
      <c r="AZ45" s="100"/>
      <c r="BA45" s="100"/>
      <c r="BB45" s="100"/>
      <c r="BC45" s="100"/>
      <c r="BD45" s="100"/>
      <c r="BE45" s="100"/>
      <c r="BF45" s="100"/>
      <c r="BG45" s="100"/>
      <c r="BH45" s="100"/>
      <c r="BI45" s="100"/>
      <c r="BJ45" s="100"/>
      <c r="BK45" s="100"/>
      <c r="BL45" s="100"/>
      <c r="BM45" s="100"/>
      <c r="BN45" s="100"/>
      <c r="BO45" s="100"/>
      <c r="BP45" s="100"/>
      <c r="BQ45" s="100"/>
      <c r="BR45" s="100"/>
      <c r="BS45" s="100"/>
      <c r="BT45" s="100"/>
      <c r="BU45" s="100"/>
      <c r="BV45" s="100"/>
      <c r="BW45" s="100"/>
      <c r="BX45" s="100"/>
      <c r="BY45" s="100"/>
      <c r="BZ45" s="100"/>
      <c r="CA45" s="100"/>
      <c r="CB45" s="100"/>
      <c r="CC45" s="100"/>
      <c r="CD45" s="100"/>
      <c r="CE45" s="100"/>
      <c r="CF45" s="100"/>
      <c r="CG45" s="100"/>
      <c r="CH45" s="100"/>
      <c r="CI45" s="100"/>
      <c r="CJ45" s="100"/>
      <c r="CK45" s="100"/>
      <c r="CL45" s="100"/>
      <c r="CM45" s="100"/>
      <c r="CN45" s="100"/>
      <c r="CO45" s="100"/>
      <c r="CP45" s="100"/>
      <c r="CQ45" s="100"/>
      <c r="CR45" s="100"/>
      <c r="CS45" s="100"/>
      <c r="CT45" s="100"/>
      <c r="CU45" s="100"/>
      <c r="CV45" s="100"/>
      <c r="CW45" s="100"/>
      <c r="CX45" s="100"/>
      <c r="CY45" s="100"/>
      <c r="CZ45" s="100"/>
      <c r="DA45" s="100"/>
      <c r="DB45" s="100"/>
      <c r="DC45" s="100"/>
      <c r="DD45" s="100"/>
      <c r="DE45" s="100"/>
      <c r="DF45" s="100"/>
      <c r="DG45" s="100"/>
      <c r="DH45" s="100"/>
      <c r="DI45" s="100"/>
      <c r="DJ45" s="100"/>
      <c r="DK45" s="100"/>
      <c r="DL45" s="100"/>
      <c r="DM45" s="100"/>
      <c r="DN45" s="100"/>
      <c r="DO45" s="100"/>
      <c r="DP45" s="100"/>
      <c r="DQ45" s="100"/>
      <c r="DR45" s="100"/>
      <c r="DS45" s="100"/>
      <c r="DT45" s="100"/>
      <c r="DU45" s="100"/>
      <c r="DV45" s="100"/>
      <c r="DW45" s="100"/>
      <c r="DX45" s="100"/>
      <c r="DY45" s="100"/>
      <c r="DZ45" s="100"/>
      <c r="EA45" s="100"/>
      <c r="EB45" s="100"/>
      <c r="EC45" s="100"/>
      <c r="ED45" s="100"/>
      <c r="EE45" s="100"/>
      <c r="EF45" s="100"/>
      <c r="EG45" s="100"/>
      <c r="EH45" s="100"/>
      <c r="EI45" s="100"/>
      <c r="EJ45" s="100"/>
      <c r="EK45" s="100"/>
      <c r="EL45" s="100"/>
      <c r="EM45" s="100"/>
      <c r="EN45" s="100"/>
      <c r="EO45" s="100"/>
      <c r="EP45" s="100"/>
      <c r="EQ45" s="106"/>
      <c r="ER45" s="106"/>
      <c r="ES45" s="106"/>
      <c r="ET45" s="106"/>
      <c r="EU45" s="106"/>
      <c r="EV45" s="106"/>
      <c r="EW45" s="106"/>
      <c r="EX45" s="106"/>
      <c r="EY45" s="106"/>
      <c r="EZ45" s="106"/>
      <c r="FA45" s="106"/>
      <c r="FB45" s="106"/>
      <c r="FC45" s="106"/>
      <c r="FD45" s="106"/>
      <c r="FE45" s="106"/>
      <c r="FF45" s="106"/>
      <c r="FG45" s="106"/>
      <c r="FH45" s="106"/>
      <c r="FI45" s="106"/>
      <c r="FJ45" s="106"/>
      <c r="FK45" s="106"/>
      <c r="FL45" s="106"/>
      <c r="FM45" s="106"/>
      <c r="FN45" s="106"/>
      <c r="FO45" s="106"/>
      <c r="FP45" s="106"/>
      <c r="FQ45" s="106"/>
      <c r="FR45" s="106"/>
      <c r="FS45" s="106"/>
      <c r="FT45" s="106"/>
      <c r="FU45" s="106"/>
      <c r="FV45" s="106"/>
      <c r="FW45" s="106"/>
      <c r="FX45" s="106"/>
      <c r="FY45" s="106"/>
      <c r="FZ45" s="106"/>
      <c r="GA45" s="106"/>
      <c r="GB45" s="106"/>
      <c r="GC45" s="106"/>
      <c r="GD45" s="106"/>
      <c r="GE45" s="106"/>
      <c r="GF45" s="106"/>
      <c r="GG45" s="159"/>
    </row>
    <row r="46" spans="2:189" x14ac:dyDescent="0.2">
      <c r="B46" s="97">
        <v>41395</v>
      </c>
      <c r="C46" s="100">
        <v>70.400000000000006</v>
      </c>
      <c r="D46" s="101">
        <v>70.7</v>
      </c>
      <c r="E46" s="101">
        <v>70.7</v>
      </c>
      <c r="F46" s="101">
        <v>70.8</v>
      </c>
      <c r="G46" s="100">
        <v>70.599999999999994</v>
      </c>
      <c r="H46" s="100">
        <v>70.5</v>
      </c>
      <c r="I46" s="100">
        <v>70.5</v>
      </c>
      <c r="J46" s="100">
        <v>70.599999999999994</v>
      </c>
      <c r="K46" s="100">
        <v>70.7</v>
      </c>
      <c r="L46" s="100">
        <v>70.7</v>
      </c>
      <c r="M46" s="100">
        <v>70.599999999999994</v>
      </c>
      <c r="N46" s="100">
        <v>70.7</v>
      </c>
      <c r="O46" s="100">
        <v>70.599999999999994</v>
      </c>
      <c r="P46" s="100">
        <v>70.400000000000006</v>
      </c>
      <c r="Q46" s="100">
        <v>70.3</v>
      </c>
      <c r="R46" s="100">
        <v>70.2</v>
      </c>
      <c r="S46" s="100">
        <v>70.3</v>
      </c>
      <c r="T46" s="100">
        <v>70.3</v>
      </c>
      <c r="U46" s="100">
        <v>70.400000000000006</v>
      </c>
      <c r="V46" s="100">
        <v>70.400000000000006</v>
      </c>
      <c r="W46" s="100">
        <v>70.5</v>
      </c>
      <c r="X46" s="103">
        <v>70.599999999999994</v>
      </c>
      <c r="Y46" s="100">
        <v>70.7</v>
      </c>
      <c r="Z46" s="100">
        <v>70.8</v>
      </c>
      <c r="AA46" s="100">
        <v>71</v>
      </c>
      <c r="AB46" s="100">
        <v>71.2</v>
      </c>
      <c r="AC46" s="100">
        <v>71.3</v>
      </c>
      <c r="AD46" s="100">
        <v>71.2</v>
      </c>
      <c r="AE46" s="100">
        <v>71.2</v>
      </c>
      <c r="AF46" s="100">
        <v>71.5</v>
      </c>
      <c r="AG46" s="100">
        <v>71.599999999999994</v>
      </c>
      <c r="AH46" s="100">
        <v>71.5</v>
      </c>
      <c r="AI46" s="100">
        <v>71.400000000000006</v>
      </c>
      <c r="AJ46" s="102">
        <v>71.400000000000006</v>
      </c>
      <c r="AK46" s="100"/>
      <c r="AL46" s="100"/>
      <c r="AM46" s="100"/>
      <c r="AN46" s="100"/>
      <c r="AO46" s="100"/>
      <c r="AP46" s="100"/>
      <c r="AQ46" s="100"/>
      <c r="AR46" s="100"/>
      <c r="AS46" s="100"/>
      <c r="AT46" s="100"/>
      <c r="AU46" s="100"/>
      <c r="AV46" s="100"/>
      <c r="AW46" s="100"/>
      <c r="AX46" s="100"/>
      <c r="AY46" s="100"/>
      <c r="AZ46" s="100"/>
      <c r="BA46" s="100"/>
      <c r="BB46" s="100"/>
      <c r="BC46" s="100"/>
      <c r="BD46" s="100"/>
      <c r="BE46" s="100"/>
      <c r="BF46" s="100"/>
      <c r="BG46" s="100"/>
      <c r="BH46" s="100"/>
      <c r="BI46" s="100"/>
      <c r="BJ46" s="100"/>
      <c r="BK46" s="100"/>
      <c r="BL46" s="100"/>
      <c r="BM46" s="100"/>
      <c r="BN46" s="100"/>
      <c r="BO46" s="100"/>
      <c r="BP46" s="100"/>
      <c r="BQ46" s="100"/>
      <c r="BR46" s="100"/>
      <c r="BS46" s="100"/>
      <c r="BT46" s="100"/>
      <c r="BU46" s="100"/>
      <c r="BV46" s="100"/>
      <c r="BW46" s="100"/>
      <c r="BX46" s="100"/>
      <c r="BY46" s="100"/>
      <c r="BZ46" s="100"/>
      <c r="CA46" s="100"/>
      <c r="CB46" s="100"/>
      <c r="CC46" s="100"/>
      <c r="CD46" s="100"/>
      <c r="CE46" s="100"/>
      <c r="CF46" s="100"/>
      <c r="CG46" s="100"/>
      <c r="CH46" s="100"/>
      <c r="CI46" s="100"/>
      <c r="CJ46" s="100"/>
      <c r="CK46" s="100"/>
      <c r="CL46" s="100"/>
      <c r="CM46" s="100"/>
      <c r="CN46" s="100"/>
      <c r="CO46" s="100"/>
      <c r="CP46" s="100"/>
      <c r="CQ46" s="100"/>
      <c r="CR46" s="100"/>
      <c r="CS46" s="100"/>
      <c r="CT46" s="100"/>
      <c r="CU46" s="100"/>
      <c r="CV46" s="100"/>
      <c r="CW46" s="100"/>
      <c r="CX46" s="100"/>
      <c r="CY46" s="100"/>
      <c r="CZ46" s="100"/>
      <c r="DA46" s="100"/>
      <c r="DB46" s="100"/>
      <c r="DC46" s="100"/>
      <c r="DD46" s="100"/>
      <c r="DE46" s="100"/>
      <c r="DF46" s="100"/>
      <c r="DG46" s="100"/>
      <c r="DH46" s="100"/>
      <c r="DI46" s="100"/>
      <c r="DJ46" s="100"/>
      <c r="DK46" s="100"/>
      <c r="DL46" s="100"/>
      <c r="DM46" s="100"/>
      <c r="DN46" s="100"/>
      <c r="DO46" s="100"/>
      <c r="DP46" s="100"/>
      <c r="DQ46" s="100"/>
      <c r="DR46" s="100"/>
      <c r="DS46" s="100"/>
      <c r="DT46" s="100"/>
      <c r="DU46" s="100"/>
      <c r="DV46" s="100"/>
      <c r="DW46" s="100"/>
      <c r="DX46" s="100"/>
      <c r="DY46" s="100"/>
      <c r="DZ46" s="100"/>
      <c r="EA46" s="100"/>
      <c r="EB46" s="100"/>
      <c r="EC46" s="100"/>
      <c r="ED46" s="100"/>
      <c r="EE46" s="100"/>
      <c r="EF46" s="100"/>
      <c r="EG46" s="100"/>
      <c r="EH46" s="100"/>
      <c r="EI46" s="100"/>
      <c r="EJ46" s="100"/>
      <c r="EK46" s="100"/>
      <c r="EL46" s="100"/>
      <c r="EM46" s="100"/>
      <c r="EN46" s="100"/>
      <c r="EO46" s="100"/>
      <c r="EP46" s="100"/>
      <c r="EQ46" s="106"/>
      <c r="ER46" s="106"/>
      <c r="ES46" s="106"/>
      <c r="ET46" s="106"/>
      <c r="EU46" s="106"/>
      <c r="EV46" s="106"/>
      <c r="EW46" s="106"/>
      <c r="EX46" s="106"/>
      <c r="EY46" s="106"/>
      <c r="EZ46" s="106"/>
      <c r="FA46" s="106"/>
      <c r="FB46" s="106"/>
      <c r="FC46" s="106"/>
      <c r="FD46" s="106"/>
      <c r="FE46" s="106"/>
      <c r="FF46" s="106"/>
      <c r="FG46" s="106"/>
      <c r="FH46" s="106"/>
      <c r="FI46" s="106"/>
      <c r="FJ46" s="106"/>
      <c r="FK46" s="106"/>
      <c r="FL46" s="106"/>
      <c r="FM46" s="106"/>
      <c r="FN46" s="106"/>
      <c r="FO46" s="106"/>
      <c r="FP46" s="106"/>
      <c r="FQ46" s="106"/>
      <c r="FR46" s="106"/>
      <c r="FS46" s="106"/>
      <c r="FT46" s="106"/>
      <c r="FU46" s="106"/>
      <c r="FV46" s="106"/>
      <c r="FW46" s="106"/>
      <c r="FX46" s="106"/>
      <c r="FY46" s="106"/>
      <c r="FZ46" s="106"/>
      <c r="GA46" s="106"/>
      <c r="GB46" s="106"/>
      <c r="GC46" s="106"/>
      <c r="GD46" s="106"/>
      <c r="GE46" s="106"/>
      <c r="GF46" s="106"/>
      <c r="GG46" s="159"/>
    </row>
    <row r="47" spans="2:189" x14ac:dyDescent="0.2">
      <c r="B47" s="97">
        <v>41426</v>
      </c>
      <c r="C47" s="100">
        <v>70.400000000000006</v>
      </c>
      <c r="D47" s="101">
        <v>70.7</v>
      </c>
      <c r="E47" s="101">
        <v>70.7</v>
      </c>
      <c r="F47" s="101">
        <v>70.8</v>
      </c>
      <c r="G47" s="100">
        <v>70.599999999999994</v>
      </c>
      <c r="H47" s="100">
        <v>70.5</v>
      </c>
      <c r="I47" s="100">
        <v>70.5</v>
      </c>
      <c r="J47" s="100">
        <v>70.599999999999994</v>
      </c>
      <c r="K47" s="100">
        <v>70.7</v>
      </c>
      <c r="L47" s="100">
        <v>70.7</v>
      </c>
      <c r="M47" s="100">
        <v>70.599999999999994</v>
      </c>
      <c r="N47" s="100">
        <v>70.7</v>
      </c>
      <c r="O47" s="100">
        <v>70.599999999999994</v>
      </c>
      <c r="P47" s="100">
        <v>70.400000000000006</v>
      </c>
      <c r="Q47" s="100">
        <v>70.3</v>
      </c>
      <c r="R47" s="100">
        <v>70.2</v>
      </c>
      <c r="S47" s="100">
        <v>70.3</v>
      </c>
      <c r="T47" s="100">
        <v>70.3</v>
      </c>
      <c r="U47" s="100">
        <v>70.400000000000006</v>
      </c>
      <c r="V47" s="100">
        <v>70.400000000000006</v>
      </c>
      <c r="W47" s="100">
        <v>70.5</v>
      </c>
      <c r="X47" s="100">
        <v>70.599999999999994</v>
      </c>
      <c r="Y47" s="103">
        <v>70.7</v>
      </c>
      <c r="Z47" s="100">
        <v>70.8</v>
      </c>
      <c r="AA47" s="100">
        <v>71</v>
      </c>
      <c r="AB47" s="100">
        <v>71.2</v>
      </c>
      <c r="AC47" s="100">
        <v>71.3</v>
      </c>
      <c r="AD47" s="100">
        <v>71.2</v>
      </c>
      <c r="AE47" s="100">
        <v>71.2</v>
      </c>
      <c r="AF47" s="100">
        <v>71.5</v>
      </c>
      <c r="AG47" s="100">
        <v>71.599999999999994</v>
      </c>
      <c r="AH47" s="100">
        <v>71.5</v>
      </c>
      <c r="AI47" s="100">
        <v>71.400000000000006</v>
      </c>
      <c r="AJ47" s="100">
        <v>71.400000000000006</v>
      </c>
      <c r="AK47" s="102">
        <v>71.5</v>
      </c>
      <c r="AL47" s="100"/>
      <c r="AM47" s="100"/>
      <c r="AN47" s="100"/>
      <c r="AO47" s="100"/>
      <c r="AP47" s="100"/>
      <c r="AQ47" s="100"/>
      <c r="AR47" s="100"/>
      <c r="AS47" s="100"/>
      <c r="AT47" s="100"/>
      <c r="AU47" s="100"/>
      <c r="AV47" s="100"/>
      <c r="AW47" s="100"/>
      <c r="AX47" s="100"/>
      <c r="AY47" s="100"/>
      <c r="AZ47" s="100"/>
      <c r="BA47" s="100"/>
      <c r="BB47" s="100"/>
      <c r="BC47" s="100"/>
      <c r="BD47" s="100"/>
      <c r="BE47" s="100"/>
      <c r="BF47" s="100"/>
      <c r="BG47" s="100"/>
      <c r="BH47" s="100"/>
      <c r="BI47" s="100"/>
      <c r="BJ47" s="100"/>
      <c r="BK47" s="100"/>
      <c r="BL47" s="100"/>
      <c r="BM47" s="100"/>
      <c r="BN47" s="100"/>
      <c r="BO47" s="100"/>
      <c r="BP47" s="100"/>
      <c r="BQ47" s="100"/>
      <c r="BR47" s="100"/>
      <c r="BS47" s="100"/>
      <c r="BT47" s="100"/>
      <c r="BU47" s="100"/>
      <c r="BV47" s="100"/>
      <c r="BW47" s="100"/>
      <c r="BX47" s="100"/>
      <c r="BY47" s="100"/>
      <c r="BZ47" s="100"/>
      <c r="CA47" s="100"/>
      <c r="CB47" s="100"/>
      <c r="CC47" s="100"/>
      <c r="CD47" s="100"/>
      <c r="CE47" s="100"/>
      <c r="CF47" s="100"/>
      <c r="CG47" s="100"/>
      <c r="CH47" s="100"/>
      <c r="CI47" s="100"/>
      <c r="CJ47" s="100"/>
      <c r="CK47" s="100"/>
      <c r="CL47" s="100"/>
      <c r="CM47" s="100"/>
      <c r="CN47" s="100"/>
      <c r="CO47" s="100"/>
      <c r="CP47" s="100"/>
      <c r="CQ47" s="100"/>
      <c r="CR47" s="100"/>
      <c r="CS47" s="100"/>
      <c r="CT47" s="100"/>
      <c r="CU47" s="100"/>
      <c r="CV47" s="100"/>
      <c r="CW47" s="100"/>
      <c r="CX47" s="100"/>
      <c r="CY47" s="100"/>
      <c r="CZ47" s="100"/>
      <c r="DA47" s="100"/>
      <c r="DB47" s="100"/>
      <c r="DC47" s="100"/>
      <c r="DD47" s="100"/>
      <c r="DE47" s="100"/>
      <c r="DF47" s="100"/>
      <c r="DG47" s="100"/>
      <c r="DH47" s="100"/>
      <c r="DI47" s="100"/>
      <c r="DJ47" s="100"/>
      <c r="DK47" s="100"/>
      <c r="DL47" s="100"/>
      <c r="DM47" s="100"/>
      <c r="DN47" s="100"/>
      <c r="DO47" s="100"/>
      <c r="DP47" s="100"/>
      <c r="DQ47" s="100"/>
      <c r="DR47" s="100"/>
      <c r="DS47" s="100"/>
      <c r="DT47" s="100"/>
      <c r="DU47" s="100"/>
      <c r="DV47" s="100"/>
      <c r="DW47" s="100"/>
      <c r="DX47" s="100"/>
      <c r="DY47" s="100"/>
      <c r="DZ47" s="100"/>
      <c r="EA47" s="100"/>
      <c r="EB47" s="100"/>
      <c r="EC47" s="100"/>
      <c r="ED47" s="100"/>
      <c r="EE47" s="100"/>
      <c r="EF47" s="100"/>
      <c r="EG47" s="100"/>
      <c r="EH47" s="100"/>
      <c r="EI47" s="100"/>
      <c r="EJ47" s="100"/>
      <c r="EK47" s="100"/>
      <c r="EL47" s="100"/>
      <c r="EM47" s="100"/>
      <c r="EN47" s="100"/>
      <c r="EO47" s="100"/>
      <c r="EP47" s="100"/>
      <c r="EQ47" s="106"/>
      <c r="ER47" s="106"/>
      <c r="ES47" s="106"/>
      <c r="ET47" s="106"/>
      <c r="EU47" s="106"/>
      <c r="EV47" s="106"/>
      <c r="EW47" s="106"/>
      <c r="EX47" s="106"/>
      <c r="EY47" s="106"/>
      <c r="EZ47" s="106"/>
      <c r="FA47" s="106"/>
      <c r="FB47" s="106"/>
      <c r="FC47" s="106"/>
      <c r="FD47" s="106"/>
      <c r="FE47" s="106"/>
      <c r="FF47" s="106"/>
      <c r="FG47" s="106"/>
      <c r="FH47" s="106"/>
      <c r="FI47" s="106"/>
      <c r="FJ47" s="106"/>
      <c r="FK47" s="106"/>
      <c r="FL47" s="106"/>
      <c r="FM47" s="106"/>
      <c r="FN47" s="106"/>
      <c r="FO47" s="106"/>
      <c r="FP47" s="106"/>
      <c r="FQ47" s="106"/>
      <c r="FR47" s="106"/>
      <c r="FS47" s="106"/>
      <c r="FT47" s="106"/>
      <c r="FU47" s="106"/>
      <c r="FV47" s="106"/>
      <c r="FW47" s="106"/>
      <c r="FX47" s="106"/>
      <c r="FY47" s="106"/>
      <c r="FZ47" s="106"/>
      <c r="GA47" s="106"/>
      <c r="GB47" s="106"/>
      <c r="GC47" s="106"/>
      <c r="GD47" s="106"/>
      <c r="GE47" s="106"/>
      <c r="GF47" s="106"/>
      <c r="GG47" s="159"/>
    </row>
    <row r="48" spans="2:189" x14ac:dyDescent="0.2">
      <c r="B48" s="97">
        <v>41456</v>
      </c>
      <c r="C48" s="100">
        <v>70.400000000000006</v>
      </c>
      <c r="D48" s="101">
        <v>70.7</v>
      </c>
      <c r="E48" s="101">
        <v>70.7</v>
      </c>
      <c r="F48" s="101">
        <v>70.8</v>
      </c>
      <c r="G48" s="100">
        <v>70.599999999999994</v>
      </c>
      <c r="H48" s="100">
        <v>70.5</v>
      </c>
      <c r="I48" s="100">
        <v>70.5</v>
      </c>
      <c r="J48" s="100">
        <v>70.599999999999994</v>
      </c>
      <c r="K48" s="100">
        <v>70.7</v>
      </c>
      <c r="L48" s="100">
        <v>70.7</v>
      </c>
      <c r="M48" s="100">
        <v>70.599999999999994</v>
      </c>
      <c r="N48" s="100">
        <v>70.7</v>
      </c>
      <c r="O48" s="100">
        <v>70.599999999999994</v>
      </c>
      <c r="P48" s="100">
        <v>70.400000000000006</v>
      </c>
      <c r="Q48" s="100">
        <v>70.3</v>
      </c>
      <c r="R48" s="100">
        <v>70.2</v>
      </c>
      <c r="S48" s="100">
        <v>70.3</v>
      </c>
      <c r="T48" s="100">
        <v>70.3</v>
      </c>
      <c r="U48" s="100">
        <v>70.400000000000006</v>
      </c>
      <c r="V48" s="100">
        <v>70.400000000000006</v>
      </c>
      <c r="W48" s="100">
        <v>70.5</v>
      </c>
      <c r="X48" s="100">
        <v>70.599999999999994</v>
      </c>
      <c r="Y48" s="100">
        <v>70.7</v>
      </c>
      <c r="Z48" s="103">
        <v>70.8</v>
      </c>
      <c r="AA48" s="100">
        <v>71</v>
      </c>
      <c r="AB48" s="100">
        <v>71.2</v>
      </c>
      <c r="AC48" s="100">
        <v>71.3</v>
      </c>
      <c r="AD48" s="100">
        <v>71.2</v>
      </c>
      <c r="AE48" s="100">
        <v>71.2</v>
      </c>
      <c r="AF48" s="100">
        <v>71.5</v>
      </c>
      <c r="AG48" s="100">
        <v>71.599999999999994</v>
      </c>
      <c r="AH48" s="100">
        <v>71.5</v>
      </c>
      <c r="AI48" s="100">
        <v>71.400000000000006</v>
      </c>
      <c r="AJ48" s="100">
        <v>71.400000000000006</v>
      </c>
      <c r="AK48" s="100">
        <v>71.5</v>
      </c>
      <c r="AL48" s="102">
        <v>71.400000000000006</v>
      </c>
      <c r="AM48" s="100"/>
      <c r="AN48" s="100"/>
      <c r="AO48" s="100"/>
      <c r="AP48" s="100"/>
      <c r="AQ48" s="100"/>
      <c r="AR48" s="100"/>
      <c r="AS48" s="100"/>
      <c r="AT48" s="100"/>
      <c r="AU48" s="100"/>
      <c r="AV48" s="100"/>
      <c r="AW48" s="100"/>
      <c r="AX48" s="100"/>
      <c r="AY48" s="100"/>
      <c r="AZ48" s="100"/>
      <c r="BA48" s="100"/>
      <c r="BB48" s="100"/>
      <c r="BC48" s="100"/>
      <c r="BD48" s="100"/>
      <c r="BE48" s="100"/>
      <c r="BF48" s="100"/>
      <c r="BG48" s="100"/>
      <c r="BH48" s="100"/>
      <c r="BI48" s="100"/>
      <c r="BJ48" s="100"/>
      <c r="BK48" s="100"/>
      <c r="BL48" s="100"/>
      <c r="BM48" s="100"/>
      <c r="BN48" s="100"/>
      <c r="BO48" s="100"/>
      <c r="BP48" s="100"/>
      <c r="BQ48" s="100"/>
      <c r="BR48" s="100"/>
      <c r="BS48" s="100"/>
      <c r="BT48" s="100"/>
      <c r="BU48" s="100"/>
      <c r="BV48" s="100"/>
      <c r="BW48" s="100"/>
      <c r="BX48" s="100"/>
      <c r="BY48" s="100"/>
      <c r="BZ48" s="100"/>
      <c r="CA48" s="100"/>
      <c r="CB48" s="100"/>
      <c r="CC48" s="100"/>
      <c r="CD48" s="100"/>
      <c r="CE48" s="100"/>
      <c r="CF48" s="100"/>
      <c r="CG48" s="100"/>
      <c r="CH48" s="100"/>
      <c r="CI48" s="100"/>
      <c r="CJ48" s="100"/>
      <c r="CK48" s="100"/>
      <c r="CL48" s="100"/>
      <c r="CM48" s="100"/>
      <c r="CN48" s="100"/>
      <c r="CO48" s="100"/>
      <c r="CP48" s="100"/>
      <c r="CQ48" s="100"/>
      <c r="CR48" s="100"/>
      <c r="CS48" s="100"/>
      <c r="CT48" s="100"/>
      <c r="CU48" s="100"/>
      <c r="CV48" s="100"/>
      <c r="CW48" s="100"/>
      <c r="CX48" s="100"/>
      <c r="CY48" s="100"/>
      <c r="CZ48" s="100"/>
      <c r="DA48" s="100"/>
      <c r="DB48" s="100"/>
      <c r="DC48" s="100"/>
      <c r="DD48" s="100"/>
      <c r="DE48" s="100"/>
      <c r="DF48" s="100"/>
      <c r="DG48" s="100"/>
      <c r="DH48" s="100"/>
      <c r="DI48" s="100"/>
      <c r="DJ48" s="100"/>
      <c r="DK48" s="100"/>
      <c r="DL48" s="100"/>
      <c r="DM48" s="100"/>
      <c r="DN48" s="100"/>
      <c r="DO48" s="100"/>
      <c r="DP48" s="100"/>
      <c r="DQ48" s="100"/>
      <c r="DR48" s="100"/>
      <c r="DS48" s="100"/>
      <c r="DT48" s="100"/>
      <c r="DU48" s="100"/>
      <c r="DV48" s="100"/>
      <c r="DW48" s="100"/>
      <c r="DX48" s="100"/>
      <c r="DY48" s="100"/>
      <c r="DZ48" s="100"/>
      <c r="EA48" s="100"/>
      <c r="EB48" s="100"/>
      <c r="EC48" s="100"/>
      <c r="ED48" s="100"/>
      <c r="EE48" s="100"/>
      <c r="EF48" s="100"/>
      <c r="EG48" s="100"/>
      <c r="EH48" s="100"/>
      <c r="EI48" s="100"/>
      <c r="EJ48" s="100"/>
      <c r="EK48" s="100"/>
      <c r="EL48" s="100"/>
      <c r="EM48" s="100"/>
      <c r="EN48" s="100"/>
      <c r="EO48" s="100"/>
      <c r="EP48" s="100"/>
      <c r="EQ48" s="106"/>
      <c r="ER48" s="106"/>
      <c r="ES48" s="106"/>
      <c r="ET48" s="106"/>
      <c r="EU48" s="106"/>
      <c r="EV48" s="106"/>
      <c r="EW48" s="106"/>
      <c r="EX48" s="106"/>
      <c r="EY48" s="106"/>
      <c r="EZ48" s="106"/>
      <c r="FA48" s="106"/>
      <c r="FB48" s="106"/>
      <c r="FC48" s="106"/>
      <c r="FD48" s="106"/>
      <c r="FE48" s="106"/>
      <c r="FF48" s="106"/>
      <c r="FG48" s="106"/>
      <c r="FH48" s="106"/>
      <c r="FI48" s="106"/>
      <c r="FJ48" s="106"/>
      <c r="FK48" s="106"/>
      <c r="FL48" s="106"/>
      <c r="FM48" s="106"/>
      <c r="FN48" s="106"/>
      <c r="FO48" s="106"/>
      <c r="FP48" s="106"/>
      <c r="FQ48" s="106"/>
      <c r="FR48" s="106"/>
      <c r="FS48" s="106"/>
      <c r="FT48" s="106"/>
      <c r="FU48" s="106"/>
      <c r="FV48" s="106"/>
      <c r="FW48" s="106"/>
      <c r="FX48" s="106"/>
      <c r="FY48" s="106"/>
      <c r="FZ48" s="106"/>
      <c r="GA48" s="106"/>
      <c r="GB48" s="106"/>
      <c r="GC48" s="106"/>
      <c r="GD48" s="106"/>
      <c r="GE48" s="106"/>
      <c r="GF48" s="106"/>
      <c r="GG48" s="159"/>
    </row>
    <row r="49" spans="2:189" x14ac:dyDescent="0.2">
      <c r="B49" s="97">
        <v>41487</v>
      </c>
      <c r="C49" s="100">
        <v>70.400000000000006</v>
      </c>
      <c r="D49" s="101">
        <v>70.7</v>
      </c>
      <c r="E49" s="101">
        <v>70.7</v>
      </c>
      <c r="F49" s="101">
        <v>70.8</v>
      </c>
      <c r="G49" s="100">
        <v>70.599999999999994</v>
      </c>
      <c r="H49" s="100">
        <v>70.5</v>
      </c>
      <c r="I49" s="100">
        <v>70.5</v>
      </c>
      <c r="J49" s="100">
        <v>70.599999999999994</v>
      </c>
      <c r="K49" s="100">
        <v>70.7</v>
      </c>
      <c r="L49" s="100">
        <v>70.7</v>
      </c>
      <c r="M49" s="100">
        <v>70.599999999999994</v>
      </c>
      <c r="N49" s="100">
        <v>70.7</v>
      </c>
      <c r="O49" s="100">
        <v>70.599999999999994</v>
      </c>
      <c r="P49" s="100">
        <v>70.400000000000006</v>
      </c>
      <c r="Q49" s="100">
        <v>70.3</v>
      </c>
      <c r="R49" s="100">
        <v>70.2</v>
      </c>
      <c r="S49" s="100">
        <v>70.3</v>
      </c>
      <c r="T49" s="100">
        <v>70.3</v>
      </c>
      <c r="U49" s="100">
        <v>70.400000000000006</v>
      </c>
      <c r="V49" s="100">
        <v>70.400000000000006</v>
      </c>
      <c r="W49" s="100">
        <v>70.5</v>
      </c>
      <c r="X49" s="100">
        <v>70.599999999999994</v>
      </c>
      <c r="Y49" s="100">
        <v>70.7</v>
      </c>
      <c r="Z49" s="100">
        <v>70.8</v>
      </c>
      <c r="AA49" s="103">
        <v>71</v>
      </c>
      <c r="AB49" s="100">
        <v>71.2</v>
      </c>
      <c r="AC49" s="100">
        <v>71.3</v>
      </c>
      <c r="AD49" s="100">
        <v>71.2</v>
      </c>
      <c r="AE49" s="100">
        <v>71.2</v>
      </c>
      <c r="AF49" s="100">
        <v>71.5</v>
      </c>
      <c r="AG49" s="100">
        <v>71.599999999999994</v>
      </c>
      <c r="AH49" s="100">
        <v>71.5</v>
      </c>
      <c r="AI49" s="100">
        <v>71.400000000000006</v>
      </c>
      <c r="AJ49" s="100">
        <v>71.400000000000006</v>
      </c>
      <c r="AK49" s="100">
        <v>71.5</v>
      </c>
      <c r="AL49" s="100">
        <v>71.400000000000006</v>
      </c>
      <c r="AM49" s="102">
        <v>71.5</v>
      </c>
      <c r="AN49" s="100"/>
      <c r="AO49" s="100"/>
      <c r="AP49" s="100"/>
      <c r="AQ49" s="100"/>
      <c r="AR49" s="100"/>
      <c r="AS49" s="100"/>
      <c r="AT49" s="100"/>
      <c r="AU49" s="100"/>
      <c r="AV49" s="100"/>
      <c r="AW49" s="100"/>
      <c r="AX49" s="100"/>
      <c r="AY49" s="100"/>
      <c r="AZ49" s="100"/>
      <c r="BA49" s="100"/>
      <c r="BB49" s="100"/>
      <c r="BC49" s="100"/>
      <c r="BD49" s="100"/>
      <c r="BE49" s="100"/>
      <c r="BF49" s="100"/>
      <c r="BG49" s="100"/>
      <c r="BH49" s="100"/>
      <c r="BI49" s="100"/>
      <c r="BJ49" s="100"/>
      <c r="BK49" s="100"/>
      <c r="BL49" s="100"/>
      <c r="BM49" s="100"/>
      <c r="BN49" s="100"/>
      <c r="BO49" s="100"/>
      <c r="BP49" s="100"/>
      <c r="BQ49" s="100"/>
      <c r="BR49" s="100"/>
      <c r="BS49" s="100"/>
      <c r="BT49" s="100"/>
      <c r="BU49" s="100"/>
      <c r="BV49" s="100"/>
      <c r="BW49" s="100"/>
      <c r="BX49" s="100"/>
      <c r="BY49" s="100"/>
      <c r="BZ49" s="100"/>
      <c r="CA49" s="100"/>
      <c r="CB49" s="100"/>
      <c r="CC49" s="100"/>
      <c r="CD49" s="100"/>
      <c r="CE49" s="100"/>
      <c r="CF49" s="100"/>
      <c r="CG49" s="100"/>
      <c r="CH49" s="100"/>
      <c r="CI49" s="100"/>
      <c r="CJ49" s="100"/>
      <c r="CK49" s="100"/>
      <c r="CL49" s="100"/>
      <c r="CM49" s="100"/>
      <c r="CN49" s="100"/>
      <c r="CO49" s="100"/>
      <c r="CP49" s="100"/>
      <c r="CQ49" s="100"/>
      <c r="CR49" s="100"/>
      <c r="CS49" s="100"/>
      <c r="CT49" s="100"/>
      <c r="CU49" s="100"/>
      <c r="CV49" s="100"/>
      <c r="CW49" s="100"/>
      <c r="CX49" s="100"/>
      <c r="CY49" s="100"/>
      <c r="CZ49" s="100"/>
      <c r="DA49" s="100"/>
      <c r="DB49" s="100"/>
      <c r="DC49" s="100"/>
      <c r="DD49" s="100"/>
      <c r="DE49" s="100"/>
      <c r="DF49" s="100"/>
      <c r="DG49" s="100"/>
      <c r="DH49" s="100"/>
      <c r="DI49" s="100"/>
      <c r="DJ49" s="100"/>
      <c r="DK49" s="100"/>
      <c r="DL49" s="100"/>
      <c r="DM49" s="100"/>
      <c r="DN49" s="100"/>
      <c r="DO49" s="100"/>
      <c r="DP49" s="100"/>
      <c r="DQ49" s="100"/>
      <c r="DR49" s="100"/>
      <c r="DS49" s="100"/>
      <c r="DT49" s="100"/>
      <c r="DU49" s="100"/>
      <c r="DV49" s="100"/>
      <c r="DW49" s="100"/>
      <c r="DX49" s="100"/>
      <c r="DY49" s="100"/>
      <c r="DZ49" s="100"/>
      <c r="EA49" s="100"/>
      <c r="EB49" s="100"/>
      <c r="EC49" s="100"/>
      <c r="ED49" s="100"/>
      <c r="EE49" s="100"/>
      <c r="EF49" s="100"/>
      <c r="EG49" s="100"/>
      <c r="EH49" s="100"/>
      <c r="EI49" s="100"/>
      <c r="EJ49" s="100"/>
      <c r="EK49" s="100"/>
      <c r="EL49" s="100"/>
      <c r="EM49" s="100"/>
      <c r="EN49" s="100"/>
      <c r="EO49" s="100"/>
      <c r="EP49" s="100"/>
      <c r="EQ49" s="106"/>
      <c r="ER49" s="106"/>
      <c r="ES49" s="106"/>
      <c r="ET49" s="106"/>
      <c r="EU49" s="106"/>
      <c r="EV49" s="106"/>
      <c r="EW49" s="106"/>
      <c r="EX49" s="106"/>
      <c r="EY49" s="106"/>
      <c r="EZ49" s="106"/>
      <c r="FA49" s="106"/>
      <c r="FB49" s="106"/>
      <c r="FC49" s="106"/>
      <c r="FD49" s="106"/>
      <c r="FE49" s="106"/>
      <c r="FF49" s="106"/>
      <c r="FG49" s="106"/>
      <c r="FH49" s="106"/>
      <c r="FI49" s="106"/>
      <c r="FJ49" s="106"/>
      <c r="FK49" s="106"/>
      <c r="FL49" s="106"/>
      <c r="FM49" s="106"/>
      <c r="FN49" s="106"/>
      <c r="FO49" s="106"/>
      <c r="FP49" s="106"/>
      <c r="FQ49" s="106"/>
      <c r="FR49" s="106"/>
      <c r="FS49" s="106"/>
      <c r="FT49" s="106"/>
      <c r="FU49" s="106"/>
      <c r="FV49" s="106"/>
      <c r="FW49" s="106"/>
      <c r="FX49" s="106"/>
      <c r="FY49" s="106"/>
      <c r="FZ49" s="106"/>
      <c r="GA49" s="106"/>
      <c r="GB49" s="106"/>
      <c r="GC49" s="106"/>
      <c r="GD49" s="106"/>
      <c r="GE49" s="106"/>
      <c r="GF49" s="106"/>
      <c r="GG49" s="159"/>
    </row>
    <row r="50" spans="2:189" x14ac:dyDescent="0.2">
      <c r="B50" s="97">
        <v>41518</v>
      </c>
      <c r="C50" s="100">
        <v>70.400000000000006</v>
      </c>
      <c r="D50" s="101">
        <v>70.7</v>
      </c>
      <c r="E50" s="101">
        <v>70.7</v>
      </c>
      <c r="F50" s="101">
        <v>70.8</v>
      </c>
      <c r="G50" s="100">
        <v>70.599999999999994</v>
      </c>
      <c r="H50" s="100">
        <v>70.5</v>
      </c>
      <c r="I50" s="100">
        <v>70.5</v>
      </c>
      <c r="J50" s="100">
        <v>70.599999999999994</v>
      </c>
      <c r="K50" s="100">
        <v>70.7</v>
      </c>
      <c r="L50" s="100">
        <v>70.7</v>
      </c>
      <c r="M50" s="100">
        <v>70.599999999999994</v>
      </c>
      <c r="N50" s="100">
        <v>70.7</v>
      </c>
      <c r="O50" s="100">
        <v>70.599999999999994</v>
      </c>
      <c r="P50" s="100">
        <v>70.400000000000006</v>
      </c>
      <c r="Q50" s="100">
        <v>70.3</v>
      </c>
      <c r="R50" s="100">
        <v>70.2</v>
      </c>
      <c r="S50" s="100">
        <v>70.3</v>
      </c>
      <c r="T50" s="100">
        <v>70.3</v>
      </c>
      <c r="U50" s="100">
        <v>70.400000000000006</v>
      </c>
      <c r="V50" s="100">
        <v>70.400000000000006</v>
      </c>
      <c r="W50" s="100">
        <v>70.5</v>
      </c>
      <c r="X50" s="100">
        <v>70.599999999999994</v>
      </c>
      <c r="Y50" s="100">
        <v>70.7</v>
      </c>
      <c r="Z50" s="100">
        <v>70.8</v>
      </c>
      <c r="AA50" s="100">
        <v>71</v>
      </c>
      <c r="AB50" s="103">
        <v>71.2</v>
      </c>
      <c r="AC50" s="100">
        <v>71.3</v>
      </c>
      <c r="AD50" s="100">
        <v>71.2</v>
      </c>
      <c r="AE50" s="100">
        <v>71.2</v>
      </c>
      <c r="AF50" s="100">
        <v>71.5</v>
      </c>
      <c r="AG50" s="100">
        <v>71.599999999999994</v>
      </c>
      <c r="AH50" s="100">
        <v>71.5</v>
      </c>
      <c r="AI50" s="100">
        <v>71.400000000000006</v>
      </c>
      <c r="AJ50" s="100">
        <v>71.400000000000006</v>
      </c>
      <c r="AK50" s="100">
        <v>71.5</v>
      </c>
      <c r="AL50" s="100">
        <v>71.400000000000006</v>
      </c>
      <c r="AM50" s="100">
        <v>71.5</v>
      </c>
      <c r="AN50" s="102">
        <v>71.599999999999994</v>
      </c>
      <c r="AO50" s="100"/>
      <c r="AP50" s="100"/>
      <c r="AQ50" s="100"/>
      <c r="AR50" s="100"/>
      <c r="AS50" s="100"/>
      <c r="AT50" s="100"/>
      <c r="AU50" s="100"/>
      <c r="AV50" s="100"/>
      <c r="AW50" s="100"/>
      <c r="AX50" s="100"/>
      <c r="AY50" s="100"/>
      <c r="AZ50" s="100"/>
      <c r="BA50" s="100"/>
      <c r="BB50" s="100"/>
      <c r="BC50" s="100"/>
      <c r="BD50" s="100"/>
      <c r="BE50" s="100"/>
      <c r="BF50" s="100"/>
      <c r="BG50" s="100"/>
      <c r="BH50" s="100"/>
      <c r="BI50" s="100"/>
      <c r="BJ50" s="100"/>
      <c r="BK50" s="100"/>
      <c r="BL50" s="100"/>
      <c r="BM50" s="100"/>
      <c r="BN50" s="100"/>
      <c r="BO50" s="100"/>
      <c r="BP50" s="100"/>
      <c r="BQ50" s="100"/>
      <c r="BR50" s="100"/>
      <c r="BS50" s="100"/>
      <c r="BT50" s="100"/>
      <c r="BU50" s="100"/>
      <c r="BV50" s="100"/>
      <c r="BW50" s="100"/>
      <c r="BX50" s="100"/>
      <c r="BY50" s="100"/>
      <c r="BZ50" s="100"/>
      <c r="CA50" s="100"/>
      <c r="CB50" s="100"/>
      <c r="CC50" s="100"/>
      <c r="CD50" s="100"/>
      <c r="CE50" s="100"/>
      <c r="CF50" s="100"/>
      <c r="CG50" s="100"/>
      <c r="CH50" s="100"/>
      <c r="CI50" s="100"/>
      <c r="CJ50" s="100"/>
      <c r="CK50" s="100"/>
      <c r="CL50" s="100"/>
      <c r="CM50" s="100"/>
      <c r="CN50" s="100"/>
      <c r="CO50" s="100"/>
      <c r="CP50" s="100"/>
      <c r="CQ50" s="100"/>
      <c r="CR50" s="100"/>
      <c r="CS50" s="100"/>
      <c r="CT50" s="100"/>
      <c r="CU50" s="100"/>
      <c r="CV50" s="100"/>
      <c r="CW50" s="100"/>
      <c r="CX50" s="100"/>
      <c r="CY50" s="100"/>
      <c r="CZ50" s="100"/>
      <c r="DA50" s="100"/>
      <c r="DB50" s="100"/>
      <c r="DC50" s="100"/>
      <c r="DD50" s="100"/>
      <c r="DE50" s="100"/>
      <c r="DF50" s="100"/>
      <c r="DG50" s="100"/>
      <c r="DH50" s="100"/>
      <c r="DI50" s="100"/>
      <c r="DJ50" s="100"/>
      <c r="DK50" s="100"/>
      <c r="DL50" s="100"/>
      <c r="DM50" s="100"/>
      <c r="DN50" s="100"/>
      <c r="DO50" s="100"/>
      <c r="DP50" s="100"/>
      <c r="DQ50" s="100"/>
      <c r="DR50" s="100"/>
      <c r="DS50" s="100"/>
      <c r="DT50" s="100"/>
      <c r="DU50" s="100"/>
      <c r="DV50" s="100"/>
      <c r="DW50" s="100"/>
      <c r="DX50" s="100"/>
      <c r="DY50" s="100"/>
      <c r="DZ50" s="100"/>
      <c r="EA50" s="100"/>
      <c r="EB50" s="100"/>
      <c r="EC50" s="100"/>
      <c r="ED50" s="100"/>
      <c r="EE50" s="100"/>
      <c r="EF50" s="100"/>
      <c r="EG50" s="100"/>
      <c r="EH50" s="100"/>
      <c r="EI50" s="100"/>
      <c r="EJ50" s="100"/>
      <c r="EK50" s="100"/>
      <c r="EL50" s="100"/>
      <c r="EM50" s="100"/>
      <c r="EN50" s="100"/>
      <c r="EO50" s="100"/>
      <c r="EP50" s="100"/>
      <c r="EQ50" s="106"/>
      <c r="ER50" s="106"/>
      <c r="ES50" s="106"/>
      <c r="ET50" s="106"/>
      <c r="EU50" s="106"/>
      <c r="EV50" s="106"/>
      <c r="EW50" s="106"/>
      <c r="EX50" s="106"/>
      <c r="EY50" s="106"/>
      <c r="EZ50" s="106"/>
      <c r="FA50" s="106"/>
      <c r="FB50" s="106"/>
      <c r="FC50" s="106"/>
      <c r="FD50" s="106"/>
      <c r="FE50" s="106"/>
      <c r="FF50" s="106"/>
      <c r="FG50" s="106"/>
      <c r="FH50" s="106"/>
      <c r="FI50" s="106"/>
      <c r="FJ50" s="106"/>
      <c r="FK50" s="106"/>
      <c r="FL50" s="106"/>
      <c r="FM50" s="106"/>
      <c r="FN50" s="106"/>
      <c r="FO50" s="106"/>
      <c r="FP50" s="106"/>
      <c r="FQ50" s="106"/>
      <c r="FR50" s="106"/>
      <c r="FS50" s="106"/>
      <c r="FT50" s="106"/>
      <c r="FU50" s="106"/>
      <c r="FV50" s="106"/>
      <c r="FW50" s="106"/>
      <c r="FX50" s="106"/>
      <c r="FY50" s="106"/>
      <c r="FZ50" s="106"/>
      <c r="GA50" s="106"/>
      <c r="GB50" s="106"/>
      <c r="GC50" s="106"/>
      <c r="GD50" s="106"/>
      <c r="GE50" s="106"/>
      <c r="GF50" s="106"/>
      <c r="GG50" s="159"/>
    </row>
    <row r="51" spans="2:189" x14ac:dyDescent="0.2">
      <c r="B51" s="97">
        <v>41548</v>
      </c>
      <c r="C51" s="100">
        <v>70.400000000000006</v>
      </c>
      <c r="D51" s="101">
        <v>70.7</v>
      </c>
      <c r="E51" s="101">
        <v>70.7</v>
      </c>
      <c r="F51" s="101">
        <v>70.8</v>
      </c>
      <c r="G51" s="100">
        <v>70.599999999999994</v>
      </c>
      <c r="H51" s="100">
        <v>70.5</v>
      </c>
      <c r="I51" s="100">
        <v>70.5</v>
      </c>
      <c r="J51" s="100">
        <v>70.599999999999994</v>
      </c>
      <c r="K51" s="100">
        <v>70.7</v>
      </c>
      <c r="L51" s="100">
        <v>70.7</v>
      </c>
      <c r="M51" s="100">
        <v>70.599999999999994</v>
      </c>
      <c r="N51" s="100">
        <v>70.7</v>
      </c>
      <c r="O51" s="100">
        <v>70.599999999999994</v>
      </c>
      <c r="P51" s="100">
        <v>70.400000000000006</v>
      </c>
      <c r="Q51" s="100">
        <v>70.3</v>
      </c>
      <c r="R51" s="100">
        <v>70.2</v>
      </c>
      <c r="S51" s="100">
        <v>70.3</v>
      </c>
      <c r="T51" s="100">
        <v>70.3</v>
      </c>
      <c r="U51" s="100">
        <v>70.400000000000006</v>
      </c>
      <c r="V51" s="100">
        <v>70.400000000000006</v>
      </c>
      <c r="W51" s="100">
        <v>70.5</v>
      </c>
      <c r="X51" s="100">
        <v>70.599999999999994</v>
      </c>
      <c r="Y51" s="100">
        <v>70.7</v>
      </c>
      <c r="Z51" s="100">
        <v>70.8</v>
      </c>
      <c r="AA51" s="100">
        <v>71</v>
      </c>
      <c r="AB51" s="100">
        <v>71.2</v>
      </c>
      <c r="AC51" s="103">
        <v>71.3</v>
      </c>
      <c r="AD51" s="100">
        <v>71.2</v>
      </c>
      <c r="AE51" s="100">
        <v>71.2</v>
      </c>
      <c r="AF51" s="100">
        <v>71.5</v>
      </c>
      <c r="AG51" s="100">
        <v>71.599999999999994</v>
      </c>
      <c r="AH51" s="100">
        <v>71.5</v>
      </c>
      <c r="AI51" s="100">
        <v>71.400000000000006</v>
      </c>
      <c r="AJ51" s="100">
        <v>71.400000000000006</v>
      </c>
      <c r="AK51" s="100">
        <v>71.5</v>
      </c>
      <c r="AL51" s="100">
        <v>71.400000000000006</v>
      </c>
      <c r="AM51" s="100">
        <v>71.5</v>
      </c>
      <c r="AN51" s="100">
        <v>71.599999999999994</v>
      </c>
      <c r="AO51" s="102">
        <v>71.7</v>
      </c>
      <c r="AP51" s="100"/>
      <c r="AQ51" s="100"/>
      <c r="AR51" s="100"/>
      <c r="AS51" s="100"/>
      <c r="AT51" s="100"/>
      <c r="AU51" s="100"/>
      <c r="AV51" s="100"/>
      <c r="AW51" s="100"/>
      <c r="AX51" s="100"/>
      <c r="AY51" s="100"/>
      <c r="AZ51" s="100"/>
      <c r="BA51" s="100"/>
      <c r="BB51" s="100"/>
      <c r="BC51" s="100"/>
      <c r="BD51" s="100"/>
      <c r="BE51" s="100"/>
      <c r="BF51" s="100"/>
      <c r="BG51" s="100"/>
      <c r="BH51" s="100"/>
      <c r="BI51" s="100"/>
      <c r="BJ51" s="100"/>
      <c r="BK51" s="100"/>
      <c r="BL51" s="100"/>
      <c r="BM51" s="100"/>
      <c r="BN51" s="100"/>
      <c r="BO51" s="100"/>
      <c r="BP51" s="100"/>
      <c r="BQ51" s="100"/>
      <c r="BR51" s="100"/>
      <c r="BS51" s="100"/>
      <c r="BT51" s="100"/>
      <c r="BU51" s="100"/>
      <c r="BV51" s="100"/>
      <c r="BW51" s="100"/>
      <c r="BX51" s="100"/>
      <c r="BY51" s="100"/>
      <c r="BZ51" s="100"/>
      <c r="CA51" s="100"/>
      <c r="CB51" s="100"/>
      <c r="CC51" s="100"/>
      <c r="CD51" s="100"/>
      <c r="CE51" s="100"/>
      <c r="CF51" s="100"/>
      <c r="CG51" s="100"/>
      <c r="CH51" s="100"/>
      <c r="CI51" s="100"/>
      <c r="CJ51" s="100"/>
      <c r="CK51" s="100"/>
      <c r="CL51" s="100"/>
      <c r="CM51" s="100"/>
      <c r="CN51" s="100"/>
      <c r="CO51" s="100"/>
      <c r="CP51" s="100"/>
      <c r="CQ51" s="100"/>
      <c r="CR51" s="100"/>
      <c r="CS51" s="100"/>
      <c r="CT51" s="100"/>
      <c r="CU51" s="100"/>
      <c r="CV51" s="100"/>
      <c r="CW51" s="100"/>
      <c r="CX51" s="100"/>
      <c r="CY51" s="100"/>
      <c r="CZ51" s="100"/>
      <c r="DA51" s="100"/>
      <c r="DB51" s="100"/>
      <c r="DC51" s="100"/>
      <c r="DD51" s="100"/>
      <c r="DE51" s="100"/>
      <c r="DF51" s="100"/>
      <c r="DG51" s="100"/>
      <c r="DH51" s="100"/>
      <c r="DI51" s="100"/>
      <c r="DJ51" s="100"/>
      <c r="DK51" s="100"/>
      <c r="DL51" s="100"/>
      <c r="DM51" s="100"/>
      <c r="DN51" s="100"/>
      <c r="DO51" s="100"/>
      <c r="DP51" s="100"/>
      <c r="DQ51" s="100"/>
      <c r="DR51" s="100"/>
      <c r="DS51" s="100"/>
      <c r="DT51" s="100"/>
      <c r="DU51" s="100"/>
      <c r="DV51" s="100"/>
      <c r="DW51" s="100"/>
      <c r="DX51" s="100"/>
      <c r="DY51" s="100"/>
      <c r="DZ51" s="100"/>
      <c r="EA51" s="100"/>
      <c r="EB51" s="100"/>
      <c r="EC51" s="100"/>
      <c r="ED51" s="100"/>
      <c r="EE51" s="100"/>
      <c r="EF51" s="100"/>
      <c r="EG51" s="100"/>
      <c r="EH51" s="100"/>
      <c r="EI51" s="100"/>
      <c r="EJ51" s="100"/>
      <c r="EK51" s="100"/>
      <c r="EL51" s="100"/>
      <c r="EM51" s="100"/>
      <c r="EN51" s="100"/>
      <c r="EO51" s="100"/>
      <c r="EP51" s="100"/>
      <c r="EQ51" s="106"/>
      <c r="ER51" s="106"/>
      <c r="ES51" s="106"/>
      <c r="ET51" s="106"/>
      <c r="EU51" s="106"/>
      <c r="EV51" s="106"/>
      <c r="EW51" s="106"/>
      <c r="EX51" s="106"/>
      <c r="EY51" s="106"/>
      <c r="EZ51" s="106"/>
      <c r="FA51" s="106"/>
      <c r="FB51" s="106"/>
      <c r="FC51" s="106"/>
      <c r="FD51" s="106"/>
      <c r="FE51" s="106"/>
      <c r="FF51" s="106"/>
      <c r="FG51" s="106"/>
      <c r="FH51" s="106"/>
      <c r="FI51" s="106"/>
      <c r="FJ51" s="106"/>
      <c r="FK51" s="106"/>
      <c r="FL51" s="106"/>
      <c r="FM51" s="106"/>
      <c r="FN51" s="106"/>
      <c r="FO51" s="106"/>
      <c r="FP51" s="106"/>
      <c r="FQ51" s="106"/>
      <c r="FR51" s="106"/>
      <c r="FS51" s="106"/>
      <c r="FT51" s="106"/>
      <c r="FU51" s="106"/>
      <c r="FV51" s="106"/>
      <c r="FW51" s="106"/>
      <c r="FX51" s="106"/>
      <c r="FY51" s="106"/>
      <c r="FZ51" s="106"/>
      <c r="GA51" s="106"/>
      <c r="GB51" s="106"/>
      <c r="GC51" s="106"/>
      <c r="GD51" s="106"/>
      <c r="GE51" s="106"/>
      <c r="GF51" s="106"/>
      <c r="GG51" s="159"/>
    </row>
    <row r="52" spans="2:189" x14ac:dyDescent="0.2">
      <c r="B52" s="97">
        <v>41579</v>
      </c>
      <c r="C52" s="100">
        <v>70.400000000000006</v>
      </c>
      <c r="D52" s="101">
        <v>70.7</v>
      </c>
      <c r="E52" s="101">
        <v>70.7</v>
      </c>
      <c r="F52" s="101">
        <v>70.8</v>
      </c>
      <c r="G52" s="100">
        <v>70.599999999999994</v>
      </c>
      <c r="H52" s="100">
        <v>70.5</v>
      </c>
      <c r="I52" s="100">
        <v>70.5</v>
      </c>
      <c r="J52" s="100">
        <v>70.599999999999994</v>
      </c>
      <c r="K52" s="100">
        <v>70.7</v>
      </c>
      <c r="L52" s="100">
        <v>70.7</v>
      </c>
      <c r="M52" s="100">
        <v>70.599999999999994</v>
      </c>
      <c r="N52" s="100">
        <v>70.7</v>
      </c>
      <c r="O52" s="100">
        <v>70.599999999999994</v>
      </c>
      <c r="P52" s="100">
        <v>70.400000000000006</v>
      </c>
      <c r="Q52" s="100">
        <v>70.3</v>
      </c>
      <c r="R52" s="100">
        <v>70.2</v>
      </c>
      <c r="S52" s="100">
        <v>70.3</v>
      </c>
      <c r="T52" s="100">
        <v>70.3</v>
      </c>
      <c r="U52" s="100">
        <v>70.400000000000006</v>
      </c>
      <c r="V52" s="100">
        <v>70.400000000000006</v>
      </c>
      <c r="W52" s="100">
        <v>70.5</v>
      </c>
      <c r="X52" s="100">
        <v>70.599999999999994</v>
      </c>
      <c r="Y52" s="100">
        <v>70.7</v>
      </c>
      <c r="Z52" s="100">
        <v>70.8</v>
      </c>
      <c r="AA52" s="100">
        <v>71</v>
      </c>
      <c r="AB52" s="100">
        <v>71.2</v>
      </c>
      <c r="AC52" s="100">
        <v>71.3</v>
      </c>
      <c r="AD52" s="103">
        <v>71.2</v>
      </c>
      <c r="AE52" s="100">
        <v>71.2</v>
      </c>
      <c r="AF52" s="100">
        <v>71.5</v>
      </c>
      <c r="AG52" s="100">
        <v>71.599999999999994</v>
      </c>
      <c r="AH52" s="100">
        <v>71.5</v>
      </c>
      <c r="AI52" s="100">
        <v>71.400000000000006</v>
      </c>
      <c r="AJ52" s="100">
        <v>71.400000000000006</v>
      </c>
      <c r="AK52" s="100">
        <v>71.5</v>
      </c>
      <c r="AL52" s="100">
        <v>71.400000000000006</v>
      </c>
      <c r="AM52" s="100">
        <v>71.5</v>
      </c>
      <c r="AN52" s="100">
        <v>71.599999999999994</v>
      </c>
      <c r="AO52" s="100">
        <v>71.7</v>
      </c>
      <c r="AP52" s="102">
        <v>71.8</v>
      </c>
      <c r="AQ52" s="100"/>
      <c r="AR52" s="100"/>
      <c r="AS52" s="100"/>
      <c r="AT52" s="100"/>
      <c r="AU52" s="100"/>
      <c r="AV52" s="100"/>
      <c r="AW52" s="100"/>
      <c r="AX52" s="100"/>
      <c r="AY52" s="100"/>
      <c r="AZ52" s="100"/>
      <c r="BA52" s="100"/>
      <c r="BB52" s="100"/>
      <c r="BC52" s="100"/>
      <c r="BD52" s="100"/>
      <c r="BE52" s="100"/>
      <c r="BF52" s="100"/>
      <c r="BG52" s="100"/>
      <c r="BH52" s="100"/>
      <c r="BI52" s="100"/>
      <c r="BJ52" s="100"/>
      <c r="BK52" s="100"/>
      <c r="BL52" s="100"/>
      <c r="BM52" s="100"/>
      <c r="BN52" s="100"/>
      <c r="BO52" s="100"/>
      <c r="BP52" s="100"/>
      <c r="BQ52" s="100"/>
      <c r="BR52" s="100"/>
      <c r="BS52" s="100"/>
      <c r="BT52" s="100"/>
      <c r="BU52" s="100"/>
      <c r="BV52" s="100"/>
      <c r="BW52" s="100"/>
      <c r="BX52" s="100"/>
      <c r="BY52" s="100"/>
      <c r="BZ52" s="100"/>
      <c r="CA52" s="100"/>
      <c r="CB52" s="100"/>
      <c r="CC52" s="100"/>
      <c r="CD52" s="100"/>
      <c r="CE52" s="100"/>
      <c r="CF52" s="100"/>
      <c r="CG52" s="100"/>
      <c r="CH52" s="100"/>
      <c r="CI52" s="100"/>
      <c r="CJ52" s="100"/>
      <c r="CK52" s="100"/>
      <c r="CL52" s="100"/>
      <c r="CM52" s="100"/>
      <c r="CN52" s="100"/>
      <c r="CO52" s="100"/>
      <c r="CP52" s="100"/>
      <c r="CQ52" s="100"/>
      <c r="CR52" s="100"/>
      <c r="CS52" s="100"/>
      <c r="CT52" s="100"/>
      <c r="CU52" s="100"/>
      <c r="CV52" s="100"/>
      <c r="CW52" s="100"/>
      <c r="CX52" s="100"/>
      <c r="CY52" s="100"/>
      <c r="CZ52" s="100"/>
      <c r="DA52" s="100"/>
      <c r="DB52" s="100"/>
      <c r="DC52" s="100"/>
      <c r="DD52" s="100"/>
      <c r="DE52" s="100"/>
      <c r="DF52" s="100"/>
      <c r="DG52" s="100"/>
      <c r="DH52" s="100"/>
      <c r="DI52" s="100"/>
      <c r="DJ52" s="100"/>
      <c r="DK52" s="100"/>
      <c r="DL52" s="100"/>
      <c r="DM52" s="100"/>
      <c r="DN52" s="100"/>
      <c r="DO52" s="100"/>
      <c r="DP52" s="100"/>
      <c r="DQ52" s="100"/>
      <c r="DR52" s="100"/>
      <c r="DS52" s="100"/>
      <c r="DT52" s="100"/>
      <c r="DU52" s="100"/>
      <c r="DV52" s="100"/>
      <c r="DW52" s="100"/>
      <c r="DX52" s="100"/>
      <c r="DY52" s="100"/>
      <c r="DZ52" s="100"/>
      <c r="EA52" s="100"/>
      <c r="EB52" s="100"/>
      <c r="EC52" s="100"/>
      <c r="ED52" s="100"/>
      <c r="EE52" s="100"/>
      <c r="EF52" s="100"/>
      <c r="EG52" s="100"/>
      <c r="EH52" s="100"/>
      <c r="EI52" s="100"/>
      <c r="EJ52" s="100"/>
      <c r="EK52" s="100"/>
      <c r="EL52" s="100"/>
      <c r="EM52" s="100"/>
      <c r="EN52" s="100"/>
      <c r="EO52" s="100"/>
      <c r="EP52" s="100"/>
      <c r="EQ52" s="106"/>
      <c r="ER52" s="106"/>
      <c r="ES52" s="106"/>
      <c r="ET52" s="106"/>
      <c r="EU52" s="106"/>
      <c r="EV52" s="106"/>
      <c r="EW52" s="106"/>
      <c r="EX52" s="106"/>
      <c r="EY52" s="106"/>
      <c r="EZ52" s="106"/>
      <c r="FA52" s="106"/>
      <c r="FB52" s="106"/>
      <c r="FC52" s="106"/>
      <c r="FD52" s="106"/>
      <c r="FE52" s="106"/>
      <c r="FF52" s="106"/>
      <c r="FG52" s="106"/>
      <c r="FH52" s="106"/>
      <c r="FI52" s="106"/>
      <c r="FJ52" s="106"/>
      <c r="FK52" s="106"/>
      <c r="FL52" s="106"/>
      <c r="FM52" s="106"/>
      <c r="FN52" s="106"/>
      <c r="FO52" s="106"/>
      <c r="FP52" s="106"/>
      <c r="FQ52" s="106"/>
      <c r="FR52" s="106"/>
      <c r="FS52" s="106"/>
      <c r="FT52" s="106"/>
      <c r="FU52" s="106"/>
      <c r="FV52" s="106"/>
      <c r="FW52" s="106"/>
      <c r="FX52" s="106"/>
      <c r="FY52" s="106"/>
      <c r="FZ52" s="106"/>
      <c r="GA52" s="106"/>
      <c r="GB52" s="106"/>
      <c r="GC52" s="106"/>
      <c r="GD52" s="106"/>
      <c r="GE52" s="106"/>
      <c r="GF52" s="106"/>
      <c r="GG52" s="159"/>
    </row>
    <row r="53" spans="2:189" x14ac:dyDescent="0.2">
      <c r="B53" s="97">
        <v>41609</v>
      </c>
      <c r="C53" s="100">
        <v>70.400000000000006</v>
      </c>
      <c r="D53" s="101">
        <v>70.7</v>
      </c>
      <c r="E53" s="101">
        <v>70.7</v>
      </c>
      <c r="F53" s="101">
        <v>70.8</v>
      </c>
      <c r="G53" s="100">
        <v>70.599999999999994</v>
      </c>
      <c r="H53" s="100">
        <v>70.5</v>
      </c>
      <c r="I53" s="100">
        <v>70.5</v>
      </c>
      <c r="J53" s="100">
        <v>70.599999999999994</v>
      </c>
      <c r="K53" s="100">
        <v>70.7</v>
      </c>
      <c r="L53" s="100">
        <v>70.7</v>
      </c>
      <c r="M53" s="100">
        <v>70.599999999999994</v>
      </c>
      <c r="N53" s="100">
        <v>70.7</v>
      </c>
      <c r="O53" s="100">
        <v>70.599999999999994</v>
      </c>
      <c r="P53" s="100">
        <v>70.400000000000006</v>
      </c>
      <c r="Q53" s="100">
        <v>70.3</v>
      </c>
      <c r="R53" s="100">
        <v>70.2</v>
      </c>
      <c r="S53" s="100">
        <v>70.3</v>
      </c>
      <c r="T53" s="100">
        <v>70.3</v>
      </c>
      <c r="U53" s="100">
        <v>70.400000000000006</v>
      </c>
      <c r="V53" s="100">
        <v>70.400000000000006</v>
      </c>
      <c r="W53" s="100">
        <v>70.5</v>
      </c>
      <c r="X53" s="100">
        <v>70.599999999999994</v>
      </c>
      <c r="Y53" s="100">
        <v>70.7</v>
      </c>
      <c r="Z53" s="100">
        <v>70.8</v>
      </c>
      <c r="AA53" s="100">
        <v>71</v>
      </c>
      <c r="AB53" s="100">
        <v>71.2</v>
      </c>
      <c r="AC53" s="100">
        <v>71.3</v>
      </c>
      <c r="AD53" s="100">
        <v>71.2</v>
      </c>
      <c r="AE53" s="103">
        <v>71.2</v>
      </c>
      <c r="AF53" s="100">
        <v>71.5</v>
      </c>
      <c r="AG53" s="100">
        <v>71.599999999999994</v>
      </c>
      <c r="AH53" s="100">
        <v>71.5</v>
      </c>
      <c r="AI53" s="100">
        <v>71.400000000000006</v>
      </c>
      <c r="AJ53" s="100">
        <v>71.400000000000006</v>
      </c>
      <c r="AK53" s="100">
        <v>71.5</v>
      </c>
      <c r="AL53" s="100">
        <v>71.400000000000006</v>
      </c>
      <c r="AM53" s="100">
        <v>71.5</v>
      </c>
      <c r="AN53" s="100">
        <v>71.599999999999994</v>
      </c>
      <c r="AO53" s="100">
        <v>71.7</v>
      </c>
      <c r="AP53" s="100">
        <v>71.8</v>
      </c>
      <c r="AQ53" s="102">
        <v>72</v>
      </c>
      <c r="AR53" s="100"/>
      <c r="AS53" s="100"/>
      <c r="AT53" s="100"/>
      <c r="AU53" s="100"/>
      <c r="AV53" s="100"/>
      <c r="AW53" s="100"/>
      <c r="AX53" s="100"/>
      <c r="AY53" s="100"/>
      <c r="AZ53" s="100"/>
      <c r="BA53" s="100"/>
      <c r="BB53" s="100"/>
      <c r="BC53" s="100"/>
      <c r="BD53" s="100"/>
      <c r="BE53" s="100"/>
      <c r="BF53" s="100"/>
      <c r="BG53" s="100"/>
      <c r="BH53" s="100"/>
      <c r="BI53" s="100"/>
      <c r="BJ53" s="100"/>
      <c r="BK53" s="100"/>
      <c r="BL53" s="100"/>
      <c r="BM53" s="100"/>
      <c r="BN53" s="100"/>
      <c r="BO53" s="100"/>
      <c r="BP53" s="100"/>
      <c r="BQ53" s="100"/>
      <c r="BR53" s="100"/>
      <c r="BS53" s="100"/>
      <c r="BT53" s="100"/>
      <c r="BU53" s="100"/>
      <c r="BV53" s="100"/>
      <c r="BW53" s="100"/>
      <c r="BX53" s="100"/>
      <c r="BY53" s="100"/>
      <c r="BZ53" s="100"/>
      <c r="CA53" s="100"/>
      <c r="CB53" s="100"/>
      <c r="CC53" s="100"/>
      <c r="CD53" s="100"/>
      <c r="CE53" s="100"/>
      <c r="CF53" s="100"/>
      <c r="CG53" s="100"/>
      <c r="CH53" s="100"/>
      <c r="CI53" s="100"/>
      <c r="CJ53" s="100"/>
      <c r="CK53" s="100"/>
      <c r="CL53" s="100"/>
      <c r="CM53" s="100"/>
      <c r="CN53" s="100"/>
      <c r="CO53" s="100"/>
      <c r="CP53" s="100"/>
      <c r="CQ53" s="100"/>
      <c r="CR53" s="100"/>
      <c r="CS53" s="100"/>
      <c r="CT53" s="100"/>
      <c r="CU53" s="100"/>
      <c r="CV53" s="100"/>
      <c r="CW53" s="100"/>
      <c r="CX53" s="100"/>
      <c r="CY53" s="100"/>
      <c r="CZ53" s="100"/>
      <c r="DA53" s="100"/>
      <c r="DB53" s="100"/>
      <c r="DC53" s="100"/>
      <c r="DD53" s="100"/>
      <c r="DE53" s="100"/>
      <c r="DF53" s="100"/>
      <c r="DG53" s="100"/>
      <c r="DH53" s="100"/>
      <c r="DI53" s="100"/>
      <c r="DJ53" s="100"/>
      <c r="DK53" s="100"/>
      <c r="DL53" s="100"/>
      <c r="DM53" s="100"/>
      <c r="DN53" s="100"/>
      <c r="DO53" s="100"/>
      <c r="DP53" s="100"/>
      <c r="DQ53" s="100"/>
      <c r="DR53" s="100"/>
      <c r="DS53" s="100"/>
      <c r="DT53" s="100"/>
      <c r="DU53" s="100"/>
      <c r="DV53" s="100"/>
      <c r="DW53" s="100"/>
      <c r="DX53" s="100"/>
      <c r="DY53" s="100"/>
      <c r="DZ53" s="100"/>
      <c r="EA53" s="100"/>
      <c r="EB53" s="100"/>
      <c r="EC53" s="100"/>
      <c r="ED53" s="100"/>
      <c r="EE53" s="100"/>
      <c r="EF53" s="100"/>
      <c r="EG53" s="100"/>
      <c r="EH53" s="100"/>
      <c r="EI53" s="100"/>
      <c r="EJ53" s="100"/>
      <c r="EK53" s="100"/>
      <c r="EL53" s="100"/>
      <c r="EM53" s="100"/>
      <c r="EN53" s="100"/>
      <c r="EO53" s="100"/>
      <c r="EP53" s="100"/>
      <c r="EQ53" s="106"/>
      <c r="ER53" s="106"/>
      <c r="ES53" s="106"/>
      <c r="ET53" s="106"/>
      <c r="EU53" s="106"/>
      <c r="EV53" s="106"/>
      <c r="EW53" s="106"/>
      <c r="EX53" s="106"/>
      <c r="EY53" s="106"/>
      <c r="EZ53" s="106"/>
      <c r="FA53" s="106"/>
      <c r="FB53" s="106"/>
      <c r="FC53" s="106"/>
      <c r="FD53" s="106"/>
      <c r="FE53" s="106"/>
      <c r="FF53" s="106"/>
      <c r="FG53" s="106"/>
      <c r="FH53" s="106"/>
      <c r="FI53" s="106"/>
      <c r="FJ53" s="106"/>
      <c r="FK53" s="106"/>
      <c r="FL53" s="106"/>
      <c r="FM53" s="106"/>
      <c r="FN53" s="106"/>
      <c r="FO53" s="106"/>
      <c r="FP53" s="106"/>
      <c r="FQ53" s="106"/>
      <c r="FR53" s="106"/>
      <c r="FS53" s="106"/>
      <c r="FT53" s="106"/>
      <c r="FU53" s="106"/>
      <c r="FV53" s="106"/>
      <c r="FW53" s="106"/>
      <c r="FX53" s="106"/>
      <c r="FY53" s="106"/>
      <c r="FZ53" s="106"/>
      <c r="GA53" s="106"/>
      <c r="GB53" s="106"/>
      <c r="GC53" s="106"/>
      <c r="GD53" s="106"/>
      <c r="GE53" s="106"/>
      <c r="GF53" s="106"/>
      <c r="GG53" s="159"/>
    </row>
    <row r="54" spans="2:189" x14ac:dyDescent="0.2">
      <c r="B54" s="97">
        <v>41640</v>
      </c>
      <c r="C54" s="100">
        <v>70.400000000000006</v>
      </c>
      <c r="D54" s="101">
        <v>70.7</v>
      </c>
      <c r="E54" s="101">
        <v>70.7</v>
      </c>
      <c r="F54" s="101">
        <v>70.8</v>
      </c>
      <c r="G54" s="100">
        <v>70.599999999999994</v>
      </c>
      <c r="H54" s="100">
        <v>70.5</v>
      </c>
      <c r="I54" s="100">
        <v>70.5</v>
      </c>
      <c r="J54" s="100">
        <v>70.599999999999994</v>
      </c>
      <c r="K54" s="100">
        <v>70.7</v>
      </c>
      <c r="L54" s="100">
        <v>70.7</v>
      </c>
      <c r="M54" s="100">
        <v>70.599999999999994</v>
      </c>
      <c r="N54" s="100">
        <v>70.7</v>
      </c>
      <c r="O54" s="100">
        <v>70.599999999999994</v>
      </c>
      <c r="P54" s="100">
        <v>70.400000000000006</v>
      </c>
      <c r="Q54" s="100">
        <v>70.3</v>
      </c>
      <c r="R54" s="100">
        <v>70.2</v>
      </c>
      <c r="S54" s="100">
        <v>70.3</v>
      </c>
      <c r="T54" s="100">
        <v>70.3</v>
      </c>
      <c r="U54" s="100">
        <v>70.400000000000006</v>
      </c>
      <c r="V54" s="100">
        <v>70.400000000000006</v>
      </c>
      <c r="W54" s="100">
        <v>70.5</v>
      </c>
      <c r="X54" s="100">
        <v>70.599999999999994</v>
      </c>
      <c r="Y54" s="100">
        <v>70.7</v>
      </c>
      <c r="Z54" s="100">
        <v>70.8</v>
      </c>
      <c r="AA54" s="100">
        <v>71</v>
      </c>
      <c r="AB54" s="100">
        <v>71.2</v>
      </c>
      <c r="AC54" s="100">
        <v>71.3</v>
      </c>
      <c r="AD54" s="100">
        <v>71.2</v>
      </c>
      <c r="AE54" s="100">
        <v>71.2</v>
      </c>
      <c r="AF54" s="103">
        <v>71.5</v>
      </c>
      <c r="AG54" s="100">
        <v>71.599999999999994</v>
      </c>
      <c r="AH54" s="100">
        <v>71.5</v>
      </c>
      <c r="AI54" s="100">
        <v>71.400000000000006</v>
      </c>
      <c r="AJ54" s="100">
        <v>71.400000000000006</v>
      </c>
      <c r="AK54" s="100">
        <v>71.5</v>
      </c>
      <c r="AL54" s="100">
        <v>71.400000000000006</v>
      </c>
      <c r="AM54" s="100">
        <v>71.5</v>
      </c>
      <c r="AN54" s="100">
        <v>71.599999999999994</v>
      </c>
      <c r="AO54" s="100">
        <v>71.7</v>
      </c>
      <c r="AP54" s="100">
        <v>71.8</v>
      </c>
      <c r="AQ54" s="100">
        <v>72</v>
      </c>
      <c r="AR54" s="102">
        <v>72.099999999999994</v>
      </c>
      <c r="AS54" s="100"/>
      <c r="AT54" s="100"/>
      <c r="AU54" s="100"/>
      <c r="AV54" s="100"/>
      <c r="AW54" s="100"/>
      <c r="AX54" s="100"/>
      <c r="AY54" s="100"/>
      <c r="AZ54" s="100"/>
      <c r="BA54" s="100"/>
      <c r="BB54" s="100"/>
      <c r="BC54" s="100"/>
      <c r="BD54" s="100"/>
      <c r="BE54" s="100"/>
      <c r="BF54" s="100"/>
      <c r="BG54" s="100"/>
      <c r="BH54" s="100"/>
      <c r="BI54" s="100"/>
      <c r="BJ54" s="100"/>
      <c r="BK54" s="100"/>
      <c r="BL54" s="100"/>
      <c r="BM54" s="100"/>
      <c r="BN54" s="100"/>
      <c r="BO54" s="100"/>
      <c r="BP54" s="100"/>
      <c r="BQ54" s="100"/>
      <c r="BR54" s="100"/>
      <c r="BS54" s="100"/>
      <c r="BT54" s="100"/>
      <c r="BU54" s="100"/>
      <c r="BV54" s="100"/>
      <c r="BW54" s="100"/>
      <c r="BX54" s="100"/>
      <c r="BY54" s="100"/>
      <c r="BZ54" s="100"/>
      <c r="CA54" s="100"/>
      <c r="CB54" s="100"/>
      <c r="CC54" s="100"/>
      <c r="CD54" s="100"/>
      <c r="CE54" s="100"/>
      <c r="CF54" s="100"/>
      <c r="CG54" s="100"/>
      <c r="CH54" s="100"/>
      <c r="CI54" s="100"/>
      <c r="CJ54" s="100"/>
      <c r="CK54" s="100"/>
      <c r="CL54" s="100"/>
      <c r="CM54" s="100"/>
      <c r="CN54" s="100"/>
      <c r="CO54" s="100"/>
      <c r="CP54" s="100"/>
      <c r="CQ54" s="100"/>
      <c r="CR54" s="100"/>
      <c r="CS54" s="100"/>
      <c r="CT54" s="100"/>
      <c r="CU54" s="100"/>
      <c r="CV54" s="100"/>
      <c r="CW54" s="100"/>
      <c r="CX54" s="100"/>
      <c r="CY54" s="100"/>
      <c r="CZ54" s="100"/>
      <c r="DA54" s="100"/>
      <c r="DB54" s="100"/>
      <c r="DC54" s="100"/>
      <c r="DD54" s="100"/>
      <c r="DE54" s="100"/>
      <c r="DF54" s="100"/>
      <c r="DG54" s="100"/>
      <c r="DH54" s="100"/>
      <c r="DI54" s="100"/>
      <c r="DJ54" s="100"/>
      <c r="DK54" s="100"/>
      <c r="DL54" s="100"/>
      <c r="DM54" s="100"/>
      <c r="DN54" s="100"/>
      <c r="DO54" s="100"/>
      <c r="DP54" s="100"/>
      <c r="DQ54" s="100"/>
      <c r="DR54" s="100"/>
      <c r="DS54" s="100"/>
      <c r="DT54" s="100"/>
      <c r="DU54" s="100"/>
      <c r="DV54" s="100"/>
      <c r="DW54" s="100"/>
      <c r="DX54" s="100"/>
      <c r="DY54" s="100"/>
      <c r="DZ54" s="100"/>
      <c r="EA54" s="100"/>
      <c r="EB54" s="100"/>
      <c r="EC54" s="100"/>
      <c r="ED54" s="100"/>
      <c r="EE54" s="100"/>
      <c r="EF54" s="100"/>
      <c r="EG54" s="100"/>
      <c r="EH54" s="100"/>
      <c r="EI54" s="100"/>
      <c r="EJ54" s="100"/>
      <c r="EK54" s="100"/>
      <c r="EL54" s="100"/>
      <c r="EM54" s="100"/>
      <c r="EN54" s="100"/>
      <c r="EO54" s="100"/>
      <c r="EP54" s="100"/>
      <c r="EQ54" s="106"/>
      <c r="ER54" s="106"/>
      <c r="ES54" s="106"/>
      <c r="ET54" s="106"/>
      <c r="EU54" s="106"/>
      <c r="EV54" s="106"/>
      <c r="EW54" s="106"/>
      <c r="EX54" s="106"/>
      <c r="EY54" s="106"/>
      <c r="EZ54" s="106"/>
      <c r="FA54" s="106"/>
      <c r="FB54" s="106"/>
      <c r="FC54" s="106"/>
      <c r="FD54" s="106"/>
      <c r="FE54" s="106"/>
      <c r="FF54" s="106"/>
      <c r="FG54" s="106"/>
      <c r="FH54" s="106"/>
      <c r="FI54" s="106"/>
      <c r="FJ54" s="106"/>
      <c r="FK54" s="106"/>
      <c r="FL54" s="106"/>
      <c r="FM54" s="106"/>
      <c r="FN54" s="106"/>
      <c r="FO54" s="106"/>
      <c r="FP54" s="106"/>
      <c r="FQ54" s="106"/>
      <c r="FR54" s="106"/>
      <c r="FS54" s="106"/>
      <c r="FT54" s="106"/>
      <c r="FU54" s="106"/>
      <c r="FV54" s="106"/>
      <c r="FW54" s="106"/>
      <c r="FX54" s="106"/>
      <c r="FY54" s="106"/>
      <c r="FZ54" s="106"/>
      <c r="GA54" s="106"/>
      <c r="GB54" s="106"/>
      <c r="GC54" s="106"/>
      <c r="GD54" s="106"/>
      <c r="GE54" s="106"/>
      <c r="GF54" s="106"/>
      <c r="GG54" s="159"/>
    </row>
    <row r="55" spans="2:189" x14ac:dyDescent="0.2">
      <c r="B55" s="97">
        <v>41671</v>
      </c>
      <c r="C55" s="100">
        <v>70.400000000000006</v>
      </c>
      <c r="D55" s="101">
        <v>70.7</v>
      </c>
      <c r="E55" s="101">
        <v>70.7</v>
      </c>
      <c r="F55" s="101">
        <v>70.8</v>
      </c>
      <c r="G55" s="100">
        <v>70.599999999999994</v>
      </c>
      <c r="H55" s="100">
        <v>70.5</v>
      </c>
      <c r="I55" s="100">
        <v>70.5</v>
      </c>
      <c r="J55" s="100">
        <v>70.599999999999994</v>
      </c>
      <c r="K55" s="100">
        <v>70.7</v>
      </c>
      <c r="L55" s="100">
        <v>70.7</v>
      </c>
      <c r="M55" s="100">
        <v>70.599999999999994</v>
      </c>
      <c r="N55" s="100">
        <v>70.7</v>
      </c>
      <c r="O55" s="100">
        <v>70.599999999999994</v>
      </c>
      <c r="P55" s="100">
        <v>70.400000000000006</v>
      </c>
      <c r="Q55" s="100">
        <v>70.3</v>
      </c>
      <c r="R55" s="100">
        <v>70.2</v>
      </c>
      <c r="S55" s="100">
        <v>70.3</v>
      </c>
      <c r="T55" s="100">
        <v>70.3</v>
      </c>
      <c r="U55" s="100">
        <v>70.400000000000006</v>
      </c>
      <c r="V55" s="100">
        <v>70.400000000000006</v>
      </c>
      <c r="W55" s="100">
        <v>70.5</v>
      </c>
      <c r="X55" s="100">
        <v>70.599999999999994</v>
      </c>
      <c r="Y55" s="100">
        <v>70.7</v>
      </c>
      <c r="Z55" s="100">
        <v>70.8</v>
      </c>
      <c r="AA55" s="100">
        <v>71</v>
      </c>
      <c r="AB55" s="100">
        <v>71.2</v>
      </c>
      <c r="AC55" s="100">
        <v>71.3</v>
      </c>
      <c r="AD55" s="100">
        <v>71.2</v>
      </c>
      <c r="AE55" s="100">
        <v>71.2</v>
      </c>
      <c r="AF55" s="100">
        <v>71.5</v>
      </c>
      <c r="AG55" s="103">
        <v>71.599999999999994</v>
      </c>
      <c r="AH55" s="100">
        <v>71.5</v>
      </c>
      <c r="AI55" s="100">
        <v>71.400000000000006</v>
      </c>
      <c r="AJ55" s="100">
        <v>71.400000000000006</v>
      </c>
      <c r="AK55" s="100">
        <v>71.5</v>
      </c>
      <c r="AL55" s="100">
        <v>71.400000000000006</v>
      </c>
      <c r="AM55" s="100">
        <v>71.5</v>
      </c>
      <c r="AN55" s="100">
        <v>71.599999999999994</v>
      </c>
      <c r="AO55" s="100">
        <v>71.7</v>
      </c>
      <c r="AP55" s="100">
        <v>71.8</v>
      </c>
      <c r="AQ55" s="100">
        <v>72</v>
      </c>
      <c r="AR55" s="100">
        <v>72.099999999999994</v>
      </c>
      <c r="AS55" s="102">
        <v>72.099999999999994</v>
      </c>
      <c r="AT55" s="100"/>
      <c r="AU55" s="100"/>
      <c r="AV55" s="100"/>
      <c r="AW55" s="100"/>
      <c r="AX55" s="100"/>
      <c r="AY55" s="100"/>
      <c r="AZ55" s="100"/>
      <c r="BA55" s="100"/>
      <c r="BB55" s="100"/>
      <c r="BC55" s="100"/>
      <c r="BD55" s="100"/>
      <c r="BE55" s="100"/>
      <c r="BF55" s="100"/>
      <c r="BG55" s="100"/>
      <c r="BH55" s="100"/>
      <c r="BI55" s="100"/>
      <c r="BJ55" s="100"/>
      <c r="BK55" s="100"/>
      <c r="BL55" s="100"/>
      <c r="BM55" s="100"/>
      <c r="BN55" s="100"/>
      <c r="BO55" s="100"/>
      <c r="BP55" s="100"/>
      <c r="BQ55" s="100"/>
      <c r="BR55" s="100"/>
      <c r="BS55" s="100"/>
      <c r="BT55" s="100"/>
      <c r="BU55" s="100"/>
      <c r="BV55" s="100"/>
      <c r="BW55" s="100"/>
      <c r="BX55" s="100"/>
      <c r="BY55" s="100"/>
      <c r="BZ55" s="100"/>
      <c r="CA55" s="100"/>
      <c r="CB55" s="100"/>
      <c r="CC55" s="100"/>
      <c r="CD55" s="100"/>
      <c r="CE55" s="100"/>
      <c r="CF55" s="100"/>
      <c r="CG55" s="100"/>
      <c r="CH55" s="100"/>
      <c r="CI55" s="100"/>
      <c r="CJ55" s="100"/>
      <c r="CK55" s="100"/>
      <c r="CL55" s="100"/>
      <c r="CM55" s="100"/>
      <c r="CN55" s="100"/>
      <c r="CO55" s="100"/>
      <c r="CP55" s="100"/>
      <c r="CQ55" s="100"/>
      <c r="CR55" s="100"/>
      <c r="CS55" s="100"/>
      <c r="CT55" s="100"/>
      <c r="CU55" s="100"/>
      <c r="CV55" s="100"/>
      <c r="CW55" s="100"/>
      <c r="CX55" s="100"/>
      <c r="CY55" s="100"/>
      <c r="CZ55" s="100"/>
      <c r="DA55" s="100"/>
      <c r="DB55" s="100"/>
      <c r="DC55" s="100"/>
      <c r="DD55" s="100"/>
      <c r="DE55" s="100"/>
      <c r="DF55" s="100"/>
      <c r="DG55" s="100"/>
      <c r="DH55" s="100"/>
      <c r="DI55" s="100"/>
      <c r="DJ55" s="100"/>
      <c r="DK55" s="100"/>
      <c r="DL55" s="100"/>
      <c r="DM55" s="100"/>
      <c r="DN55" s="100"/>
      <c r="DO55" s="100"/>
      <c r="DP55" s="100"/>
      <c r="DQ55" s="100"/>
      <c r="DR55" s="100"/>
      <c r="DS55" s="100"/>
      <c r="DT55" s="100"/>
      <c r="DU55" s="100"/>
      <c r="DV55" s="100"/>
      <c r="DW55" s="100"/>
      <c r="DX55" s="100"/>
      <c r="DY55" s="100"/>
      <c r="DZ55" s="100"/>
      <c r="EA55" s="100"/>
      <c r="EB55" s="100"/>
      <c r="EC55" s="100"/>
      <c r="ED55" s="100"/>
      <c r="EE55" s="100"/>
      <c r="EF55" s="100"/>
      <c r="EG55" s="100"/>
      <c r="EH55" s="100"/>
      <c r="EI55" s="100"/>
      <c r="EJ55" s="100"/>
      <c r="EK55" s="100"/>
      <c r="EL55" s="100"/>
      <c r="EM55" s="100"/>
      <c r="EN55" s="100"/>
      <c r="EO55" s="100"/>
      <c r="EP55" s="100"/>
      <c r="EQ55" s="106"/>
      <c r="ER55" s="106"/>
      <c r="ES55" s="106"/>
      <c r="ET55" s="106"/>
      <c r="EU55" s="106"/>
      <c r="EV55" s="106"/>
      <c r="EW55" s="106"/>
      <c r="EX55" s="106"/>
      <c r="EY55" s="106"/>
      <c r="EZ55" s="106"/>
      <c r="FA55" s="106"/>
      <c r="FB55" s="106"/>
      <c r="FC55" s="106"/>
      <c r="FD55" s="106"/>
      <c r="FE55" s="106"/>
      <c r="FF55" s="106"/>
      <c r="FG55" s="106"/>
      <c r="FH55" s="106"/>
      <c r="FI55" s="106"/>
      <c r="FJ55" s="106"/>
      <c r="FK55" s="106"/>
      <c r="FL55" s="106"/>
      <c r="FM55" s="106"/>
      <c r="FN55" s="106"/>
      <c r="FO55" s="106"/>
      <c r="FP55" s="106"/>
      <c r="FQ55" s="106"/>
      <c r="FR55" s="106"/>
      <c r="FS55" s="106"/>
      <c r="FT55" s="106"/>
      <c r="FU55" s="106"/>
      <c r="FV55" s="106"/>
      <c r="FW55" s="106"/>
      <c r="FX55" s="106"/>
      <c r="FY55" s="106"/>
      <c r="FZ55" s="106"/>
      <c r="GA55" s="106"/>
      <c r="GB55" s="106"/>
      <c r="GC55" s="106"/>
      <c r="GD55" s="106"/>
      <c r="GE55" s="106"/>
      <c r="GF55" s="106"/>
      <c r="GG55" s="159"/>
    </row>
    <row r="56" spans="2:189" x14ac:dyDescent="0.2">
      <c r="B56" s="97">
        <v>41699</v>
      </c>
      <c r="C56" s="100">
        <v>70.400000000000006</v>
      </c>
      <c r="D56" s="101">
        <v>70.7</v>
      </c>
      <c r="E56" s="101">
        <v>70.7</v>
      </c>
      <c r="F56" s="101">
        <v>70.8</v>
      </c>
      <c r="G56" s="100">
        <v>70.599999999999994</v>
      </c>
      <c r="H56" s="100">
        <v>70.5</v>
      </c>
      <c r="I56" s="100">
        <v>70.5</v>
      </c>
      <c r="J56" s="100">
        <v>70.599999999999994</v>
      </c>
      <c r="K56" s="100">
        <v>70.7</v>
      </c>
      <c r="L56" s="100">
        <v>70.7</v>
      </c>
      <c r="M56" s="100">
        <v>70.599999999999994</v>
      </c>
      <c r="N56" s="100">
        <v>70.7</v>
      </c>
      <c r="O56" s="100">
        <v>70.599999999999994</v>
      </c>
      <c r="P56" s="100">
        <v>70.400000000000006</v>
      </c>
      <c r="Q56" s="100">
        <v>70.3</v>
      </c>
      <c r="R56" s="100">
        <v>70.2</v>
      </c>
      <c r="S56" s="100">
        <v>70.3</v>
      </c>
      <c r="T56" s="100">
        <v>70.3</v>
      </c>
      <c r="U56" s="100">
        <v>70.400000000000006</v>
      </c>
      <c r="V56" s="100">
        <v>70.400000000000006</v>
      </c>
      <c r="W56" s="100">
        <v>70.5</v>
      </c>
      <c r="X56" s="100">
        <v>70.599999999999994</v>
      </c>
      <c r="Y56" s="100">
        <v>70.7</v>
      </c>
      <c r="Z56" s="100">
        <v>70.8</v>
      </c>
      <c r="AA56" s="100">
        <v>71</v>
      </c>
      <c r="AB56" s="100">
        <v>71.2</v>
      </c>
      <c r="AC56" s="100">
        <v>71.3</v>
      </c>
      <c r="AD56" s="100">
        <v>71.2</v>
      </c>
      <c r="AE56" s="100">
        <v>71.2</v>
      </c>
      <c r="AF56" s="100">
        <v>71.5</v>
      </c>
      <c r="AG56" s="100">
        <v>71.599999999999994</v>
      </c>
      <c r="AH56" s="103">
        <v>71.5</v>
      </c>
      <c r="AI56" s="100">
        <v>71.400000000000006</v>
      </c>
      <c r="AJ56" s="100">
        <v>71.400000000000006</v>
      </c>
      <c r="AK56" s="100">
        <v>71.5</v>
      </c>
      <c r="AL56" s="100">
        <v>71.400000000000006</v>
      </c>
      <c r="AM56" s="100">
        <v>71.5</v>
      </c>
      <c r="AN56" s="100">
        <v>71.599999999999994</v>
      </c>
      <c r="AO56" s="100">
        <v>71.7</v>
      </c>
      <c r="AP56" s="100">
        <v>71.8</v>
      </c>
      <c r="AQ56" s="100">
        <v>72</v>
      </c>
      <c r="AR56" s="100">
        <v>72.099999999999994</v>
      </c>
      <c r="AS56" s="100">
        <v>72.099999999999994</v>
      </c>
      <c r="AT56" s="102">
        <v>72.3</v>
      </c>
      <c r="AU56" s="100"/>
      <c r="AV56" s="100"/>
      <c r="AW56" s="100"/>
      <c r="AX56" s="100"/>
      <c r="AY56" s="100"/>
      <c r="AZ56" s="100"/>
      <c r="BA56" s="100"/>
      <c r="BB56" s="100"/>
      <c r="BC56" s="100"/>
      <c r="BD56" s="100"/>
      <c r="BE56" s="100"/>
      <c r="BF56" s="100"/>
      <c r="BG56" s="100"/>
      <c r="BH56" s="100"/>
      <c r="BI56" s="100"/>
      <c r="BJ56" s="100"/>
      <c r="BK56" s="100"/>
      <c r="BL56" s="100"/>
      <c r="BM56" s="100"/>
      <c r="BN56" s="100"/>
      <c r="BO56" s="100"/>
      <c r="BP56" s="100"/>
      <c r="BQ56" s="100"/>
      <c r="BR56" s="100"/>
      <c r="BS56" s="100"/>
      <c r="BT56" s="100"/>
      <c r="BU56" s="100"/>
      <c r="BV56" s="100"/>
      <c r="BW56" s="100"/>
      <c r="BX56" s="100"/>
      <c r="BY56" s="100"/>
      <c r="BZ56" s="100"/>
      <c r="CA56" s="100"/>
      <c r="CB56" s="100"/>
      <c r="CC56" s="100"/>
      <c r="CD56" s="100"/>
      <c r="CE56" s="100"/>
      <c r="CF56" s="100"/>
      <c r="CG56" s="100"/>
      <c r="CH56" s="100"/>
      <c r="CI56" s="100"/>
      <c r="CJ56" s="100"/>
      <c r="CK56" s="100"/>
      <c r="CL56" s="100"/>
      <c r="CM56" s="100"/>
      <c r="CN56" s="100"/>
      <c r="CO56" s="100"/>
      <c r="CP56" s="100"/>
      <c r="CQ56" s="100"/>
      <c r="CR56" s="100"/>
      <c r="CS56" s="100"/>
      <c r="CT56" s="100"/>
      <c r="CU56" s="100"/>
      <c r="CV56" s="100"/>
      <c r="CW56" s="100"/>
      <c r="CX56" s="100"/>
      <c r="CY56" s="100"/>
      <c r="CZ56" s="100"/>
      <c r="DA56" s="100"/>
      <c r="DB56" s="100"/>
      <c r="DC56" s="100"/>
      <c r="DD56" s="100"/>
      <c r="DE56" s="100"/>
      <c r="DF56" s="100"/>
      <c r="DG56" s="100"/>
      <c r="DH56" s="100"/>
      <c r="DI56" s="100"/>
      <c r="DJ56" s="100"/>
      <c r="DK56" s="100"/>
      <c r="DL56" s="100"/>
      <c r="DM56" s="100"/>
      <c r="DN56" s="100"/>
      <c r="DO56" s="100"/>
      <c r="DP56" s="100"/>
      <c r="DQ56" s="100"/>
      <c r="DR56" s="100"/>
      <c r="DS56" s="100"/>
      <c r="DT56" s="100"/>
      <c r="DU56" s="100"/>
      <c r="DV56" s="100"/>
      <c r="DW56" s="100"/>
      <c r="DX56" s="100"/>
      <c r="DY56" s="100"/>
      <c r="DZ56" s="100"/>
      <c r="EA56" s="100"/>
      <c r="EB56" s="100"/>
      <c r="EC56" s="100"/>
      <c r="ED56" s="100"/>
      <c r="EE56" s="100"/>
      <c r="EF56" s="100"/>
      <c r="EG56" s="100"/>
      <c r="EH56" s="100"/>
      <c r="EI56" s="100"/>
      <c r="EJ56" s="100"/>
      <c r="EK56" s="100"/>
      <c r="EL56" s="100"/>
      <c r="EM56" s="100"/>
      <c r="EN56" s="100"/>
      <c r="EO56" s="100"/>
      <c r="EP56" s="100"/>
      <c r="EQ56" s="106"/>
      <c r="ER56" s="106"/>
      <c r="ES56" s="106"/>
      <c r="ET56" s="106"/>
      <c r="EU56" s="106"/>
      <c r="EV56" s="106"/>
      <c r="EW56" s="106"/>
      <c r="EX56" s="106"/>
      <c r="EY56" s="106"/>
      <c r="EZ56" s="106"/>
      <c r="FA56" s="106"/>
      <c r="FB56" s="106"/>
      <c r="FC56" s="106"/>
      <c r="FD56" s="106"/>
      <c r="FE56" s="106"/>
      <c r="FF56" s="106"/>
      <c r="FG56" s="106"/>
      <c r="FH56" s="106"/>
      <c r="FI56" s="106"/>
      <c r="FJ56" s="106"/>
      <c r="FK56" s="106"/>
      <c r="FL56" s="106"/>
      <c r="FM56" s="106"/>
      <c r="FN56" s="106"/>
      <c r="FO56" s="106"/>
      <c r="FP56" s="106"/>
      <c r="FQ56" s="106"/>
      <c r="FR56" s="106"/>
      <c r="FS56" s="106"/>
      <c r="FT56" s="106"/>
      <c r="FU56" s="106"/>
      <c r="FV56" s="106"/>
      <c r="FW56" s="106"/>
      <c r="FX56" s="106"/>
      <c r="FY56" s="106"/>
      <c r="FZ56" s="106"/>
      <c r="GA56" s="106"/>
      <c r="GB56" s="106"/>
      <c r="GC56" s="106"/>
      <c r="GD56" s="106"/>
      <c r="GE56" s="106"/>
      <c r="GF56" s="106"/>
      <c r="GG56" s="159"/>
    </row>
    <row r="57" spans="2:189" x14ac:dyDescent="0.2">
      <c r="B57" s="97">
        <v>41730</v>
      </c>
      <c r="C57" s="100">
        <v>70.400000000000006</v>
      </c>
      <c r="D57" s="101">
        <v>70.7</v>
      </c>
      <c r="E57" s="101">
        <v>70.7</v>
      </c>
      <c r="F57" s="101">
        <v>70.8</v>
      </c>
      <c r="G57" s="100">
        <v>70.599999999999994</v>
      </c>
      <c r="H57" s="100">
        <v>70.5</v>
      </c>
      <c r="I57" s="100">
        <v>70.5</v>
      </c>
      <c r="J57" s="100">
        <v>70.599999999999994</v>
      </c>
      <c r="K57" s="100">
        <v>70.7</v>
      </c>
      <c r="L57" s="100">
        <v>70.7</v>
      </c>
      <c r="M57" s="100">
        <v>70.599999999999994</v>
      </c>
      <c r="N57" s="100">
        <v>70.7</v>
      </c>
      <c r="O57" s="100">
        <v>70.599999999999994</v>
      </c>
      <c r="P57" s="100">
        <v>70.400000000000006</v>
      </c>
      <c r="Q57" s="100">
        <v>70.3</v>
      </c>
      <c r="R57" s="100">
        <v>70.2</v>
      </c>
      <c r="S57" s="100">
        <v>70.3</v>
      </c>
      <c r="T57" s="100">
        <v>70.3</v>
      </c>
      <c r="U57" s="100">
        <v>70.400000000000006</v>
      </c>
      <c r="V57" s="100">
        <v>70.400000000000006</v>
      </c>
      <c r="W57" s="100">
        <v>70.5</v>
      </c>
      <c r="X57" s="100">
        <v>70.599999999999994</v>
      </c>
      <c r="Y57" s="100">
        <v>70.7</v>
      </c>
      <c r="Z57" s="100">
        <v>70.8</v>
      </c>
      <c r="AA57" s="100">
        <v>71</v>
      </c>
      <c r="AB57" s="100">
        <v>71.2</v>
      </c>
      <c r="AC57" s="100">
        <v>71.3</v>
      </c>
      <c r="AD57" s="100">
        <v>71.2</v>
      </c>
      <c r="AE57" s="100">
        <v>71.2</v>
      </c>
      <c r="AF57" s="100">
        <v>71.5</v>
      </c>
      <c r="AG57" s="100">
        <v>71.599999999999994</v>
      </c>
      <c r="AH57" s="100">
        <v>71.5</v>
      </c>
      <c r="AI57" s="103">
        <v>71.400000000000006</v>
      </c>
      <c r="AJ57" s="100">
        <v>71.400000000000006</v>
      </c>
      <c r="AK57" s="100">
        <v>71.5</v>
      </c>
      <c r="AL57" s="100">
        <v>71.400000000000006</v>
      </c>
      <c r="AM57" s="100">
        <v>71.5</v>
      </c>
      <c r="AN57" s="100">
        <v>71.599999999999994</v>
      </c>
      <c r="AO57" s="100">
        <v>71.7</v>
      </c>
      <c r="AP57" s="100">
        <v>71.8</v>
      </c>
      <c r="AQ57" s="100">
        <v>72</v>
      </c>
      <c r="AR57" s="100">
        <v>72.099999999999994</v>
      </c>
      <c r="AS57" s="100">
        <v>72.099999999999994</v>
      </c>
      <c r="AT57" s="100">
        <v>72.3</v>
      </c>
      <c r="AU57" s="102">
        <v>72.599999999999994</v>
      </c>
      <c r="AV57" s="100"/>
      <c r="AW57" s="100"/>
      <c r="AX57" s="100"/>
      <c r="AY57" s="100"/>
      <c r="AZ57" s="100"/>
      <c r="BA57" s="100"/>
      <c r="BB57" s="100"/>
      <c r="BC57" s="100"/>
      <c r="BD57" s="100"/>
      <c r="BE57" s="100"/>
      <c r="BF57" s="100"/>
      <c r="BG57" s="100"/>
      <c r="BH57" s="100"/>
      <c r="BI57" s="100"/>
      <c r="BJ57" s="100"/>
      <c r="BK57" s="100"/>
      <c r="BL57" s="100"/>
      <c r="BM57" s="100"/>
      <c r="BN57" s="100"/>
      <c r="BO57" s="100"/>
      <c r="BP57" s="100"/>
      <c r="BQ57" s="100"/>
      <c r="BR57" s="100"/>
      <c r="BS57" s="100"/>
      <c r="BT57" s="100"/>
      <c r="BU57" s="100"/>
      <c r="BV57" s="100"/>
      <c r="BW57" s="100"/>
      <c r="BX57" s="100"/>
      <c r="BY57" s="100"/>
      <c r="BZ57" s="100"/>
      <c r="CA57" s="100"/>
      <c r="CB57" s="100"/>
      <c r="CC57" s="100"/>
      <c r="CD57" s="100"/>
      <c r="CE57" s="100"/>
      <c r="CF57" s="100"/>
      <c r="CG57" s="100"/>
      <c r="CH57" s="100"/>
      <c r="CI57" s="100"/>
      <c r="CJ57" s="100"/>
      <c r="CK57" s="100"/>
      <c r="CL57" s="100"/>
      <c r="CM57" s="100"/>
      <c r="CN57" s="100"/>
      <c r="CO57" s="100"/>
      <c r="CP57" s="100"/>
      <c r="CQ57" s="100"/>
      <c r="CR57" s="100"/>
      <c r="CS57" s="100"/>
      <c r="CT57" s="100"/>
      <c r="CU57" s="100"/>
      <c r="CV57" s="100"/>
      <c r="CW57" s="100"/>
      <c r="CX57" s="100"/>
      <c r="CY57" s="100"/>
      <c r="CZ57" s="100"/>
      <c r="DA57" s="100"/>
      <c r="DB57" s="100"/>
      <c r="DC57" s="100"/>
      <c r="DD57" s="100"/>
      <c r="DE57" s="100"/>
      <c r="DF57" s="100"/>
      <c r="DG57" s="100"/>
      <c r="DH57" s="100"/>
      <c r="DI57" s="100"/>
      <c r="DJ57" s="100"/>
      <c r="DK57" s="100"/>
      <c r="DL57" s="100"/>
      <c r="DM57" s="100"/>
      <c r="DN57" s="100"/>
      <c r="DO57" s="100"/>
      <c r="DP57" s="100"/>
      <c r="DQ57" s="100"/>
      <c r="DR57" s="100"/>
      <c r="DS57" s="100"/>
      <c r="DT57" s="100"/>
      <c r="DU57" s="100"/>
      <c r="DV57" s="100"/>
      <c r="DW57" s="100"/>
      <c r="DX57" s="100"/>
      <c r="DY57" s="100"/>
      <c r="DZ57" s="100"/>
      <c r="EA57" s="100"/>
      <c r="EB57" s="100"/>
      <c r="EC57" s="100"/>
      <c r="ED57" s="100"/>
      <c r="EE57" s="100"/>
      <c r="EF57" s="100"/>
      <c r="EG57" s="100"/>
      <c r="EH57" s="100"/>
      <c r="EI57" s="100"/>
      <c r="EJ57" s="100"/>
      <c r="EK57" s="100"/>
      <c r="EL57" s="100"/>
      <c r="EM57" s="100"/>
      <c r="EN57" s="100"/>
      <c r="EO57" s="100"/>
      <c r="EP57" s="100"/>
      <c r="EQ57" s="106"/>
      <c r="ER57" s="106"/>
      <c r="ES57" s="106"/>
      <c r="ET57" s="106"/>
      <c r="EU57" s="106"/>
      <c r="EV57" s="106"/>
      <c r="EW57" s="106"/>
      <c r="EX57" s="106"/>
      <c r="EY57" s="106"/>
      <c r="EZ57" s="106"/>
      <c r="FA57" s="106"/>
      <c r="FB57" s="106"/>
      <c r="FC57" s="106"/>
      <c r="FD57" s="106"/>
      <c r="FE57" s="106"/>
      <c r="FF57" s="106"/>
      <c r="FG57" s="106"/>
      <c r="FH57" s="106"/>
      <c r="FI57" s="106"/>
      <c r="FJ57" s="106"/>
      <c r="FK57" s="106"/>
      <c r="FL57" s="106"/>
      <c r="FM57" s="106"/>
      <c r="FN57" s="106"/>
      <c r="FO57" s="106"/>
      <c r="FP57" s="106"/>
      <c r="FQ57" s="106"/>
      <c r="FR57" s="106"/>
      <c r="FS57" s="106"/>
      <c r="FT57" s="106"/>
      <c r="FU57" s="106"/>
      <c r="FV57" s="106"/>
      <c r="FW57" s="106"/>
      <c r="FX57" s="106"/>
      <c r="FY57" s="106"/>
      <c r="FZ57" s="106"/>
      <c r="GA57" s="106"/>
      <c r="GB57" s="106"/>
      <c r="GC57" s="106"/>
      <c r="GD57" s="106"/>
      <c r="GE57" s="106"/>
      <c r="GF57" s="106"/>
      <c r="GG57" s="159"/>
    </row>
    <row r="58" spans="2:189" x14ac:dyDescent="0.2">
      <c r="B58" s="97">
        <v>41760</v>
      </c>
      <c r="C58" s="100">
        <v>70.400000000000006</v>
      </c>
      <c r="D58" s="101">
        <v>70.7</v>
      </c>
      <c r="E58" s="101">
        <v>70.7</v>
      </c>
      <c r="F58" s="101">
        <v>70.8</v>
      </c>
      <c r="G58" s="100">
        <v>70.599999999999994</v>
      </c>
      <c r="H58" s="100">
        <v>70.5</v>
      </c>
      <c r="I58" s="100">
        <v>70.5</v>
      </c>
      <c r="J58" s="100">
        <v>70.599999999999994</v>
      </c>
      <c r="K58" s="100">
        <v>70.7</v>
      </c>
      <c r="L58" s="100">
        <v>70.7</v>
      </c>
      <c r="M58" s="100">
        <v>70.599999999999994</v>
      </c>
      <c r="N58" s="100">
        <v>70.7</v>
      </c>
      <c r="O58" s="100">
        <v>70.599999999999994</v>
      </c>
      <c r="P58" s="100">
        <v>70.400000000000006</v>
      </c>
      <c r="Q58" s="100">
        <v>70.3</v>
      </c>
      <c r="R58" s="100">
        <v>70.2</v>
      </c>
      <c r="S58" s="100">
        <v>70.3</v>
      </c>
      <c r="T58" s="100">
        <v>70.3</v>
      </c>
      <c r="U58" s="100">
        <v>70.400000000000006</v>
      </c>
      <c r="V58" s="100">
        <v>70.400000000000006</v>
      </c>
      <c r="W58" s="100">
        <v>70.5</v>
      </c>
      <c r="X58" s="100">
        <v>70.599999999999994</v>
      </c>
      <c r="Y58" s="100">
        <v>70.7</v>
      </c>
      <c r="Z58" s="100">
        <v>70.8</v>
      </c>
      <c r="AA58" s="100">
        <v>71</v>
      </c>
      <c r="AB58" s="100">
        <v>71.2</v>
      </c>
      <c r="AC58" s="100">
        <v>71.3</v>
      </c>
      <c r="AD58" s="100">
        <v>71.2</v>
      </c>
      <c r="AE58" s="100">
        <v>71.2</v>
      </c>
      <c r="AF58" s="100">
        <v>71.5</v>
      </c>
      <c r="AG58" s="100">
        <v>71.599999999999994</v>
      </c>
      <c r="AH58" s="100">
        <v>71.5</v>
      </c>
      <c r="AI58" s="100">
        <v>71.400000000000006</v>
      </c>
      <c r="AJ58" s="103">
        <v>71.400000000000006</v>
      </c>
      <c r="AK58" s="100">
        <v>71.5</v>
      </c>
      <c r="AL58" s="100">
        <v>71.400000000000006</v>
      </c>
      <c r="AM58" s="100">
        <v>71.5</v>
      </c>
      <c r="AN58" s="100">
        <v>71.599999999999994</v>
      </c>
      <c r="AO58" s="100">
        <v>71.7</v>
      </c>
      <c r="AP58" s="100">
        <v>71.8</v>
      </c>
      <c r="AQ58" s="100">
        <v>72</v>
      </c>
      <c r="AR58" s="100">
        <v>72.099999999999994</v>
      </c>
      <c r="AS58" s="100">
        <v>72.099999999999994</v>
      </c>
      <c r="AT58" s="100">
        <v>72.3</v>
      </c>
      <c r="AU58" s="100">
        <v>72.599999999999994</v>
      </c>
      <c r="AV58" s="102">
        <v>72.7</v>
      </c>
      <c r="AW58" s="100"/>
      <c r="AX58" s="100"/>
      <c r="AY58" s="100"/>
      <c r="AZ58" s="100"/>
      <c r="BA58" s="100"/>
      <c r="BB58" s="100"/>
      <c r="BC58" s="100"/>
      <c r="BD58" s="100"/>
      <c r="BE58" s="100"/>
      <c r="BF58" s="100"/>
      <c r="BG58" s="100"/>
      <c r="BH58" s="100"/>
      <c r="BI58" s="100"/>
      <c r="BJ58" s="100"/>
      <c r="BK58" s="100"/>
      <c r="BL58" s="100"/>
      <c r="BM58" s="100"/>
      <c r="BN58" s="100"/>
      <c r="BO58" s="100"/>
      <c r="BP58" s="100"/>
      <c r="BQ58" s="100"/>
      <c r="BR58" s="100"/>
      <c r="BS58" s="100"/>
      <c r="BT58" s="100"/>
      <c r="BU58" s="100"/>
      <c r="BV58" s="100"/>
      <c r="BW58" s="100"/>
      <c r="BX58" s="100"/>
      <c r="BY58" s="100"/>
      <c r="BZ58" s="100"/>
      <c r="CA58" s="100"/>
      <c r="CB58" s="100"/>
      <c r="CC58" s="100"/>
      <c r="CD58" s="100"/>
      <c r="CE58" s="100"/>
      <c r="CF58" s="100"/>
      <c r="CG58" s="100"/>
      <c r="CH58" s="100"/>
      <c r="CI58" s="100"/>
      <c r="CJ58" s="100"/>
      <c r="CK58" s="100"/>
      <c r="CL58" s="100"/>
      <c r="CM58" s="100"/>
      <c r="CN58" s="100"/>
      <c r="CO58" s="100"/>
      <c r="CP58" s="100"/>
      <c r="CQ58" s="100"/>
      <c r="CR58" s="100"/>
      <c r="CS58" s="100"/>
      <c r="CT58" s="100"/>
      <c r="CU58" s="100"/>
      <c r="CV58" s="100"/>
      <c r="CW58" s="100"/>
      <c r="CX58" s="100"/>
      <c r="CY58" s="100"/>
      <c r="CZ58" s="100"/>
      <c r="DA58" s="100"/>
      <c r="DB58" s="100"/>
      <c r="DC58" s="100"/>
      <c r="DD58" s="100"/>
      <c r="DE58" s="100"/>
      <c r="DF58" s="100"/>
      <c r="DG58" s="100"/>
      <c r="DH58" s="100"/>
      <c r="DI58" s="100"/>
      <c r="DJ58" s="100"/>
      <c r="DK58" s="100"/>
      <c r="DL58" s="100"/>
      <c r="DM58" s="100"/>
      <c r="DN58" s="100"/>
      <c r="DO58" s="100"/>
      <c r="DP58" s="100"/>
      <c r="DQ58" s="100"/>
      <c r="DR58" s="100"/>
      <c r="DS58" s="100"/>
      <c r="DT58" s="100"/>
      <c r="DU58" s="100"/>
      <c r="DV58" s="100"/>
      <c r="DW58" s="100"/>
      <c r="DX58" s="100"/>
      <c r="DY58" s="100"/>
      <c r="DZ58" s="100"/>
      <c r="EA58" s="100"/>
      <c r="EB58" s="100"/>
      <c r="EC58" s="100"/>
      <c r="ED58" s="100"/>
      <c r="EE58" s="100"/>
      <c r="EF58" s="100"/>
      <c r="EG58" s="100"/>
      <c r="EH58" s="100"/>
      <c r="EI58" s="100"/>
      <c r="EJ58" s="100"/>
      <c r="EK58" s="100"/>
      <c r="EL58" s="100"/>
      <c r="EM58" s="100"/>
      <c r="EN58" s="100"/>
      <c r="EO58" s="100"/>
      <c r="EP58" s="100"/>
      <c r="EQ58" s="106"/>
      <c r="ER58" s="106"/>
      <c r="ES58" s="106"/>
      <c r="ET58" s="106"/>
      <c r="EU58" s="106"/>
      <c r="EV58" s="106"/>
      <c r="EW58" s="106"/>
      <c r="EX58" s="106"/>
      <c r="EY58" s="106"/>
      <c r="EZ58" s="106"/>
      <c r="FA58" s="106"/>
      <c r="FB58" s="106"/>
      <c r="FC58" s="106"/>
      <c r="FD58" s="106"/>
      <c r="FE58" s="106"/>
      <c r="FF58" s="106"/>
      <c r="FG58" s="106"/>
      <c r="FH58" s="106"/>
      <c r="FI58" s="106"/>
      <c r="FJ58" s="106"/>
      <c r="FK58" s="106"/>
      <c r="FL58" s="106"/>
      <c r="FM58" s="106"/>
      <c r="FN58" s="106"/>
      <c r="FO58" s="106"/>
      <c r="FP58" s="106"/>
      <c r="FQ58" s="106"/>
      <c r="FR58" s="106"/>
      <c r="FS58" s="106"/>
      <c r="FT58" s="106"/>
      <c r="FU58" s="106"/>
      <c r="FV58" s="106"/>
      <c r="FW58" s="106"/>
      <c r="FX58" s="106"/>
      <c r="FY58" s="106"/>
      <c r="FZ58" s="106"/>
      <c r="GA58" s="106"/>
      <c r="GB58" s="106"/>
      <c r="GC58" s="106"/>
      <c r="GD58" s="106"/>
      <c r="GE58" s="106"/>
      <c r="GF58" s="106"/>
      <c r="GG58" s="159"/>
    </row>
    <row r="59" spans="2:189" x14ac:dyDescent="0.2">
      <c r="B59" s="97">
        <v>41791</v>
      </c>
      <c r="C59" s="100">
        <v>70.400000000000006</v>
      </c>
      <c r="D59" s="101">
        <v>70.7</v>
      </c>
      <c r="E59" s="101">
        <v>70.7</v>
      </c>
      <c r="F59" s="101">
        <v>70.8</v>
      </c>
      <c r="G59" s="100">
        <v>70.599999999999994</v>
      </c>
      <c r="H59" s="100">
        <v>70.5</v>
      </c>
      <c r="I59" s="100">
        <v>70.5</v>
      </c>
      <c r="J59" s="100">
        <v>70.599999999999994</v>
      </c>
      <c r="K59" s="100">
        <v>70.7</v>
      </c>
      <c r="L59" s="100">
        <v>70.7</v>
      </c>
      <c r="M59" s="100">
        <v>70.599999999999994</v>
      </c>
      <c r="N59" s="100">
        <v>70.7</v>
      </c>
      <c r="O59" s="100">
        <v>70.599999999999994</v>
      </c>
      <c r="P59" s="100">
        <v>70.400000000000006</v>
      </c>
      <c r="Q59" s="100">
        <v>70.3</v>
      </c>
      <c r="R59" s="100">
        <v>70.2</v>
      </c>
      <c r="S59" s="100">
        <v>70.3</v>
      </c>
      <c r="T59" s="100">
        <v>70.3</v>
      </c>
      <c r="U59" s="100">
        <v>70.400000000000006</v>
      </c>
      <c r="V59" s="100">
        <v>70.400000000000006</v>
      </c>
      <c r="W59" s="100">
        <v>70.5</v>
      </c>
      <c r="X59" s="100">
        <v>70.599999999999994</v>
      </c>
      <c r="Y59" s="100">
        <v>70.7</v>
      </c>
      <c r="Z59" s="100">
        <v>70.8</v>
      </c>
      <c r="AA59" s="100">
        <v>71</v>
      </c>
      <c r="AB59" s="100">
        <v>71.2</v>
      </c>
      <c r="AC59" s="100">
        <v>71.3</v>
      </c>
      <c r="AD59" s="100">
        <v>71.2</v>
      </c>
      <c r="AE59" s="100">
        <v>71.2</v>
      </c>
      <c r="AF59" s="100">
        <v>71.5</v>
      </c>
      <c r="AG59" s="100">
        <v>71.599999999999994</v>
      </c>
      <c r="AH59" s="100">
        <v>71.5</v>
      </c>
      <c r="AI59" s="100">
        <v>71.400000000000006</v>
      </c>
      <c r="AJ59" s="100">
        <v>71.400000000000006</v>
      </c>
      <c r="AK59" s="103">
        <v>71.5</v>
      </c>
      <c r="AL59" s="100">
        <v>71.400000000000006</v>
      </c>
      <c r="AM59" s="100">
        <v>71.5</v>
      </c>
      <c r="AN59" s="100">
        <v>71.599999999999994</v>
      </c>
      <c r="AO59" s="100">
        <v>71.7</v>
      </c>
      <c r="AP59" s="100">
        <v>71.8</v>
      </c>
      <c r="AQ59" s="100">
        <v>72</v>
      </c>
      <c r="AR59" s="100">
        <v>72.099999999999994</v>
      </c>
      <c r="AS59" s="100">
        <v>72.099999999999994</v>
      </c>
      <c r="AT59" s="100">
        <v>72.3</v>
      </c>
      <c r="AU59" s="100">
        <v>72.599999999999994</v>
      </c>
      <c r="AV59" s="100">
        <v>72.7</v>
      </c>
      <c r="AW59" s="102">
        <v>72.900000000000006</v>
      </c>
      <c r="AX59" s="100"/>
      <c r="AY59" s="100"/>
      <c r="AZ59" s="100"/>
      <c r="BA59" s="100"/>
      <c r="BB59" s="100"/>
      <c r="BC59" s="100"/>
      <c r="BD59" s="100"/>
      <c r="BE59" s="100"/>
      <c r="BF59" s="100"/>
      <c r="BG59" s="100"/>
      <c r="BH59" s="100"/>
      <c r="BI59" s="100"/>
      <c r="BJ59" s="100"/>
      <c r="BK59" s="100"/>
      <c r="BL59" s="100"/>
      <c r="BM59" s="100"/>
      <c r="BN59" s="100"/>
      <c r="BO59" s="100"/>
      <c r="BP59" s="100"/>
      <c r="BQ59" s="100"/>
      <c r="BR59" s="100"/>
      <c r="BS59" s="100"/>
      <c r="BT59" s="100"/>
      <c r="BU59" s="100"/>
      <c r="BV59" s="100"/>
      <c r="BW59" s="100"/>
      <c r="BX59" s="100"/>
      <c r="BY59" s="100"/>
      <c r="BZ59" s="100"/>
      <c r="CA59" s="100"/>
      <c r="CB59" s="100"/>
      <c r="CC59" s="100"/>
      <c r="CD59" s="100"/>
      <c r="CE59" s="100"/>
      <c r="CF59" s="100"/>
      <c r="CG59" s="100"/>
      <c r="CH59" s="100"/>
      <c r="CI59" s="100"/>
      <c r="CJ59" s="100"/>
      <c r="CK59" s="100"/>
      <c r="CL59" s="100"/>
      <c r="CM59" s="100"/>
      <c r="CN59" s="100"/>
      <c r="CO59" s="100"/>
      <c r="CP59" s="100"/>
      <c r="CQ59" s="100"/>
      <c r="CR59" s="100"/>
      <c r="CS59" s="100"/>
      <c r="CT59" s="100"/>
      <c r="CU59" s="100"/>
      <c r="CV59" s="100"/>
      <c r="CW59" s="100"/>
      <c r="CX59" s="100"/>
      <c r="CY59" s="100"/>
      <c r="CZ59" s="100"/>
      <c r="DA59" s="100"/>
      <c r="DB59" s="100"/>
      <c r="DC59" s="100"/>
      <c r="DD59" s="100"/>
      <c r="DE59" s="100"/>
      <c r="DF59" s="100"/>
      <c r="DG59" s="100"/>
      <c r="DH59" s="100"/>
      <c r="DI59" s="100"/>
      <c r="DJ59" s="100"/>
      <c r="DK59" s="100"/>
      <c r="DL59" s="100"/>
      <c r="DM59" s="100"/>
      <c r="DN59" s="100"/>
      <c r="DO59" s="100"/>
      <c r="DP59" s="100"/>
      <c r="DQ59" s="100"/>
      <c r="DR59" s="100"/>
      <c r="DS59" s="100"/>
      <c r="DT59" s="100"/>
      <c r="DU59" s="100"/>
      <c r="DV59" s="100"/>
      <c r="DW59" s="100"/>
      <c r="DX59" s="100"/>
      <c r="DY59" s="100"/>
      <c r="DZ59" s="100"/>
      <c r="EA59" s="100"/>
      <c r="EB59" s="100"/>
      <c r="EC59" s="100"/>
      <c r="ED59" s="100"/>
      <c r="EE59" s="100"/>
      <c r="EF59" s="100"/>
      <c r="EG59" s="100"/>
      <c r="EH59" s="100"/>
      <c r="EI59" s="100"/>
      <c r="EJ59" s="100"/>
      <c r="EK59" s="100"/>
      <c r="EL59" s="100"/>
      <c r="EM59" s="100"/>
      <c r="EN59" s="100"/>
      <c r="EO59" s="100"/>
      <c r="EP59" s="100"/>
      <c r="EQ59" s="106"/>
      <c r="ER59" s="106"/>
      <c r="ES59" s="106"/>
      <c r="ET59" s="106"/>
      <c r="EU59" s="106"/>
      <c r="EV59" s="106"/>
      <c r="EW59" s="106"/>
      <c r="EX59" s="106"/>
      <c r="EY59" s="106"/>
      <c r="EZ59" s="106"/>
      <c r="FA59" s="106"/>
      <c r="FB59" s="106"/>
      <c r="FC59" s="106"/>
      <c r="FD59" s="106"/>
      <c r="FE59" s="106"/>
      <c r="FF59" s="106"/>
      <c r="FG59" s="106"/>
      <c r="FH59" s="106"/>
      <c r="FI59" s="106"/>
      <c r="FJ59" s="106"/>
      <c r="FK59" s="106"/>
      <c r="FL59" s="106"/>
      <c r="FM59" s="106"/>
      <c r="FN59" s="106"/>
      <c r="FO59" s="106"/>
      <c r="FP59" s="106"/>
      <c r="FQ59" s="106"/>
      <c r="FR59" s="106"/>
      <c r="FS59" s="106"/>
      <c r="FT59" s="106"/>
      <c r="FU59" s="106"/>
      <c r="FV59" s="106"/>
      <c r="FW59" s="106"/>
      <c r="FX59" s="106"/>
      <c r="FY59" s="106"/>
      <c r="FZ59" s="106"/>
      <c r="GA59" s="106"/>
      <c r="GB59" s="106"/>
      <c r="GC59" s="106"/>
      <c r="GD59" s="106"/>
      <c r="GE59" s="106"/>
      <c r="GF59" s="106"/>
      <c r="GG59" s="159"/>
    </row>
    <row r="60" spans="2:189" x14ac:dyDescent="0.2">
      <c r="B60" s="97">
        <v>41821</v>
      </c>
      <c r="C60" s="100">
        <v>70.400000000000006</v>
      </c>
      <c r="D60" s="101">
        <v>70.7</v>
      </c>
      <c r="E60" s="101">
        <v>70.7</v>
      </c>
      <c r="F60" s="101">
        <v>70.8</v>
      </c>
      <c r="G60" s="100">
        <v>70.599999999999994</v>
      </c>
      <c r="H60" s="100">
        <v>70.5</v>
      </c>
      <c r="I60" s="100">
        <v>70.5</v>
      </c>
      <c r="J60" s="100">
        <v>70.599999999999994</v>
      </c>
      <c r="K60" s="100">
        <v>70.7</v>
      </c>
      <c r="L60" s="100">
        <v>70.7</v>
      </c>
      <c r="M60" s="100">
        <v>70.599999999999994</v>
      </c>
      <c r="N60" s="100">
        <v>70.7</v>
      </c>
      <c r="O60" s="100">
        <v>70.599999999999994</v>
      </c>
      <c r="P60" s="100">
        <v>70.400000000000006</v>
      </c>
      <c r="Q60" s="100">
        <v>70.3</v>
      </c>
      <c r="R60" s="100">
        <v>70.2</v>
      </c>
      <c r="S60" s="100">
        <v>70.3</v>
      </c>
      <c r="T60" s="100">
        <v>70.3</v>
      </c>
      <c r="U60" s="100">
        <v>70.400000000000006</v>
      </c>
      <c r="V60" s="100">
        <v>70.400000000000006</v>
      </c>
      <c r="W60" s="100">
        <v>70.5</v>
      </c>
      <c r="X60" s="100">
        <v>70.599999999999994</v>
      </c>
      <c r="Y60" s="100">
        <v>70.7</v>
      </c>
      <c r="Z60" s="100">
        <v>70.8</v>
      </c>
      <c r="AA60" s="100">
        <v>71</v>
      </c>
      <c r="AB60" s="100">
        <v>71.2</v>
      </c>
      <c r="AC60" s="100">
        <v>71.3</v>
      </c>
      <c r="AD60" s="100">
        <v>71.2</v>
      </c>
      <c r="AE60" s="100">
        <v>71.2</v>
      </c>
      <c r="AF60" s="100">
        <v>71.5</v>
      </c>
      <c r="AG60" s="100">
        <v>71.599999999999994</v>
      </c>
      <c r="AH60" s="100">
        <v>71.5</v>
      </c>
      <c r="AI60" s="100">
        <v>71.400000000000006</v>
      </c>
      <c r="AJ60" s="100">
        <v>71.400000000000006</v>
      </c>
      <c r="AK60" s="100">
        <v>71.5</v>
      </c>
      <c r="AL60" s="103">
        <v>71.400000000000006</v>
      </c>
      <c r="AM60" s="100">
        <v>71.5</v>
      </c>
      <c r="AN60" s="100">
        <v>71.599999999999994</v>
      </c>
      <c r="AO60" s="100">
        <v>71.7</v>
      </c>
      <c r="AP60" s="100">
        <v>71.8</v>
      </c>
      <c r="AQ60" s="100">
        <v>72</v>
      </c>
      <c r="AR60" s="100">
        <v>72.099999999999994</v>
      </c>
      <c r="AS60" s="100">
        <v>72.099999999999994</v>
      </c>
      <c r="AT60" s="100">
        <v>72.3</v>
      </c>
      <c r="AU60" s="100">
        <v>72.599999999999994</v>
      </c>
      <c r="AV60" s="100">
        <v>72.7</v>
      </c>
      <c r="AW60" s="100">
        <v>72.900000000000006</v>
      </c>
      <c r="AX60" s="102">
        <v>73.099999999999994</v>
      </c>
      <c r="AY60" s="100"/>
      <c r="AZ60" s="100"/>
      <c r="BA60" s="100"/>
      <c r="BB60" s="100"/>
      <c r="BC60" s="100"/>
      <c r="BD60" s="100"/>
      <c r="BE60" s="100"/>
      <c r="BF60" s="100"/>
      <c r="BG60" s="100"/>
      <c r="BH60" s="100"/>
      <c r="BI60" s="100"/>
      <c r="BJ60" s="100"/>
      <c r="BK60" s="100"/>
      <c r="BL60" s="100"/>
      <c r="BM60" s="100"/>
      <c r="BN60" s="100"/>
      <c r="BO60" s="100"/>
      <c r="BP60" s="100"/>
      <c r="BQ60" s="100"/>
      <c r="BR60" s="100"/>
      <c r="BS60" s="100"/>
      <c r="BT60" s="100"/>
      <c r="BU60" s="100"/>
      <c r="BV60" s="100"/>
      <c r="BW60" s="100"/>
      <c r="BX60" s="100"/>
      <c r="BY60" s="100"/>
      <c r="BZ60" s="100"/>
      <c r="CA60" s="100"/>
      <c r="CB60" s="100"/>
      <c r="CC60" s="100"/>
      <c r="CD60" s="100"/>
      <c r="CE60" s="100"/>
      <c r="CF60" s="100"/>
      <c r="CG60" s="100"/>
      <c r="CH60" s="100"/>
      <c r="CI60" s="100"/>
      <c r="CJ60" s="100"/>
      <c r="CK60" s="100"/>
      <c r="CL60" s="100"/>
      <c r="CM60" s="100"/>
      <c r="CN60" s="100"/>
      <c r="CO60" s="100"/>
      <c r="CP60" s="100"/>
      <c r="CQ60" s="100"/>
      <c r="CR60" s="100"/>
      <c r="CS60" s="100"/>
      <c r="CT60" s="100"/>
      <c r="CU60" s="100"/>
      <c r="CV60" s="100"/>
      <c r="CW60" s="100"/>
      <c r="CX60" s="100"/>
      <c r="CY60" s="100"/>
      <c r="CZ60" s="100"/>
      <c r="DA60" s="100"/>
      <c r="DB60" s="100"/>
      <c r="DC60" s="100"/>
      <c r="DD60" s="100"/>
      <c r="DE60" s="100"/>
      <c r="DF60" s="100"/>
      <c r="DG60" s="100"/>
      <c r="DH60" s="100"/>
      <c r="DI60" s="100"/>
      <c r="DJ60" s="100"/>
      <c r="DK60" s="100"/>
      <c r="DL60" s="100"/>
      <c r="DM60" s="100"/>
      <c r="DN60" s="100"/>
      <c r="DO60" s="100"/>
      <c r="DP60" s="100"/>
      <c r="DQ60" s="100"/>
      <c r="DR60" s="100"/>
      <c r="DS60" s="100"/>
      <c r="DT60" s="100"/>
      <c r="DU60" s="100"/>
      <c r="DV60" s="100"/>
      <c r="DW60" s="100"/>
      <c r="DX60" s="100"/>
      <c r="DY60" s="100"/>
      <c r="DZ60" s="100"/>
      <c r="EA60" s="100"/>
      <c r="EB60" s="100"/>
      <c r="EC60" s="100"/>
      <c r="ED60" s="100"/>
      <c r="EE60" s="100"/>
      <c r="EF60" s="100"/>
      <c r="EG60" s="100"/>
      <c r="EH60" s="100"/>
      <c r="EI60" s="100"/>
      <c r="EJ60" s="100"/>
      <c r="EK60" s="100"/>
      <c r="EL60" s="100"/>
      <c r="EM60" s="100"/>
      <c r="EN60" s="100"/>
      <c r="EO60" s="100"/>
      <c r="EP60" s="100"/>
      <c r="EQ60" s="106"/>
      <c r="ER60" s="106"/>
      <c r="ES60" s="106"/>
      <c r="ET60" s="106"/>
      <c r="EU60" s="106"/>
      <c r="EV60" s="106"/>
      <c r="EW60" s="106"/>
      <c r="EX60" s="106"/>
      <c r="EY60" s="106"/>
      <c r="EZ60" s="106"/>
      <c r="FA60" s="106"/>
      <c r="FB60" s="106"/>
      <c r="FC60" s="106"/>
      <c r="FD60" s="106"/>
      <c r="FE60" s="106"/>
      <c r="FF60" s="106"/>
      <c r="FG60" s="106"/>
      <c r="FH60" s="106"/>
      <c r="FI60" s="106"/>
      <c r="FJ60" s="106"/>
      <c r="FK60" s="106"/>
      <c r="FL60" s="106"/>
      <c r="FM60" s="106"/>
      <c r="FN60" s="106"/>
      <c r="FO60" s="106"/>
      <c r="FP60" s="106"/>
      <c r="FQ60" s="106"/>
      <c r="FR60" s="106"/>
      <c r="FS60" s="106"/>
      <c r="FT60" s="106"/>
      <c r="FU60" s="106"/>
      <c r="FV60" s="106"/>
      <c r="FW60" s="106"/>
      <c r="FX60" s="106"/>
      <c r="FY60" s="106"/>
      <c r="FZ60" s="106"/>
      <c r="GA60" s="106"/>
      <c r="GB60" s="106"/>
      <c r="GC60" s="106"/>
      <c r="GD60" s="106"/>
      <c r="GE60" s="106"/>
      <c r="GF60" s="106"/>
      <c r="GG60" s="159"/>
    </row>
    <row r="61" spans="2:189" x14ac:dyDescent="0.2">
      <c r="B61" s="97">
        <v>41852</v>
      </c>
      <c r="C61" s="100">
        <v>70.400000000000006</v>
      </c>
      <c r="D61" s="101">
        <v>70.7</v>
      </c>
      <c r="E61" s="101">
        <v>70.7</v>
      </c>
      <c r="F61" s="101">
        <v>70.8</v>
      </c>
      <c r="G61" s="100">
        <v>70.599999999999994</v>
      </c>
      <c r="H61" s="100">
        <v>70.5</v>
      </c>
      <c r="I61" s="100">
        <v>70.5</v>
      </c>
      <c r="J61" s="100">
        <v>70.599999999999994</v>
      </c>
      <c r="K61" s="100">
        <v>70.7</v>
      </c>
      <c r="L61" s="100">
        <v>70.7</v>
      </c>
      <c r="M61" s="100">
        <v>70.599999999999994</v>
      </c>
      <c r="N61" s="100">
        <v>70.7</v>
      </c>
      <c r="O61" s="100">
        <v>70.599999999999994</v>
      </c>
      <c r="P61" s="100">
        <v>70.400000000000006</v>
      </c>
      <c r="Q61" s="100">
        <v>70.3</v>
      </c>
      <c r="R61" s="100">
        <v>70.2</v>
      </c>
      <c r="S61" s="100">
        <v>70.3</v>
      </c>
      <c r="T61" s="100">
        <v>70.3</v>
      </c>
      <c r="U61" s="100">
        <v>70.400000000000006</v>
      </c>
      <c r="V61" s="100">
        <v>70.400000000000006</v>
      </c>
      <c r="W61" s="100">
        <v>70.5</v>
      </c>
      <c r="X61" s="100">
        <v>70.599999999999994</v>
      </c>
      <c r="Y61" s="100">
        <v>70.7</v>
      </c>
      <c r="Z61" s="100">
        <v>70.8</v>
      </c>
      <c r="AA61" s="100">
        <v>71</v>
      </c>
      <c r="AB61" s="100">
        <v>71.2</v>
      </c>
      <c r="AC61" s="100">
        <v>71.3</v>
      </c>
      <c r="AD61" s="100">
        <v>71.2</v>
      </c>
      <c r="AE61" s="100">
        <v>71.2</v>
      </c>
      <c r="AF61" s="100">
        <v>71.5</v>
      </c>
      <c r="AG61" s="100">
        <v>71.599999999999994</v>
      </c>
      <c r="AH61" s="100">
        <v>71.5</v>
      </c>
      <c r="AI61" s="100">
        <v>71.400000000000006</v>
      </c>
      <c r="AJ61" s="100">
        <v>71.400000000000006</v>
      </c>
      <c r="AK61" s="100">
        <v>71.5</v>
      </c>
      <c r="AL61" s="100">
        <v>71.400000000000006</v>
      </c>
      <c r="AM61" s="103">
        <v>71.5</v>
      </c>
      <c r="AN61" s="100">
        <v>71.599999999999994</v>
      </c>
      <c r="AO61" s="100">
        <v>71.7</v>
      </c>
      <c r="AP61" s="100">
        <v>71.8</v>
      </c>
      <c r="AQ61" s="100">
        <v>72</v>
      </c>
      <c r="AR61" s="100">
        <v>72.099999999999994</v>
      </c>
      <c r="AS61" s="100">
        <v>72.099999999999994</v>
      </c>
      <c r="AT61" s="100">
        <v>72.3</v>
      </c>
      <c r="AU61" s="100">
        <v>72.599999999999994</v>
      </c>
      <c r="AV61" s="100">
        <v>72.7</v>
      </c>
      <c r="AW61" s="100">
        <v>72.900000000000006</v>
      </c>
      <c r="AX61" s="100">
        <v>73.099999999999994</v>
      </c>
      <c r="AY61" s="102">
        <v>73</v>
      </c>
      <c r="AZ61" s="100"/>
      <c r="BA61" s="100"/>
      <c r="BB61" s="100"/>
      <c r="BC61" s="100"/>
      <c r="BD61" s="100"/>
      <c r="BE61" s="100"/>
      <c r="BF61" s="100"/>
      <c r="BG61" s="100"/>
      <c r="BH61" s="100"/>
      <c r="BI61" s="100"/>
      <c r="BJ61" s="100"/>
      <c r="BK61" s="100"/>
      <c r="BL61" s="100"/>
      <c r="BM61" s="100"/>
      <c r="BN61" s="100"/>
      <c r="BO61" s="100"/>
      <c r="BP61" s="100"/>
      <c r="BQ61" s="100"/>
      <c r="BR61" s="100"/>
      <c r="BS61" s="100"/>
      <c r="BT61" s="100"/>
      <c r="BU61" s="100"/>
      <c r="BV61" s="100"/>
      <c r="BW61" s="100"/>
      <c r="BX61" s="100"/>
      <c r="BY61" s="100"/>
      <c r="BZ61" s="100"/>
      <c r="CA61" s="100"/>
      <c r="CB61" s="100"/>
      <c r="CC61" s="100"/>
      <c r="CD61" s="100"/>
      <c r="CE61" s="100"/>
      <c r="CF61" s="100"/>
      <c r="CG61" s="100"/>
      <c r="CH61" s="100"/>
      <c r="CI61" s="100"/>
      <c r="CJ61" s="100"/>
      <c r="CK61" s="100"/>
      <c r="CL61" s="100"/>
      <c r="CM61" s="100"/>
      <c r="CN61" s="100"/>
      <c r="CO61" s="100"/>
      <c r="CP61" s="100"/>
      <c r="CQ61" s="100"/>
      <c r="CR61" s="100"/>
      <c r="CS61" s="100"/>
      <c r="CT61" s="100"/>
      <c r="CU61" s="100"/>
      <c r="CV61" s="100"/>
      <c r="CW61" s="100"/>
      <c r="CX61" s="100"/>
      <c r="CY61" s="100"/>
      <c r="CZ61" s="100"/>
      <c r="DA61" s="100"/>
      <c r="DB61" s="100"/>
      <c r="DC61" s="100"/>
      <c r="DD61" s="100"/>
      <c r="DE61" s="100"/>
      <c r="DF61" s="100"/>
      <c r="DG61" s="100"/>
      <c r="DH61" s="100"/>
      <c r="DI61" s="100"/>
      <c r="DJ61" s="100"/>
      <c r="DK61" s="100"/>
      <c r="DL61" s="100"/>
      <c r="DM61" s="100"/>
      <c r="DN61" s="100"/>
      <c r="DO61" s="100"/>
      <c r="DP61" s="100"/>
      <c r="DQ61" s="100"/>
      <c r="DR61" s="100"/>
      <c r="DS61" s="100"/>
      <c r="DT61" s="100"/>
      <c r="DU61" s="100"/>
      <c r="DV61" s="100"/>
      <c r="DW61" s="100"/>
      <c r="DX61" s="100"/>
      <c r="DY61" s="100"/>
      <c r="DZ61" s="100"/>
      <c r="EA61" s="100"/>
      <c r="EB61" s="100"/>
      <c r="EC61" s="100"/>
      <c r="ED61" s="100"/>
      <c r="EE61" s="100"/>
      <c r="EF61" s="100"/>
      <c r="EG61" s="100"/>
      <c r="EH61" s="100"/>
      <c r="EI61" s="100"/>
      <c r="EJ61" s="100"/>
      <c r="EK61" s="100"/>
      <c r="EL61" s="100"/>
      <c r="EM61" s="100"/>
      <c r="EN61" s="100"/>
      <c r="EO61" s="100"/>
      <c r="EP61" s="100"/>
      <c r="EQ61" s="106"/>
      <c r="ER61" s="106"/>
      <c r="ES61" s="106"/>
      <c r="ET61" s="106"/>
      <c r="EU61" s="106"/>
      <c r="EV61" s="106"/>
      <c r="EW61" s="106"/>
      <c r="EX61" s="106"/>
      <c r="EY61" s="106"/>
      <c r="EZ61" s="106"/>
      <c r="FA61" s="106"/>
      <c r="FB61" s="106"/>
      <c r="FC61" s="106"/>
      <c r="FD61" s="106"/>
      <c r="FE61" s="106"/>
      <c r="FF61" s="106"/>
      <c r="FG61" s="106"/>
      <c r="FH61" s="106"/>
      <c r="FI61" s="106"/>
      <c r="FJ61" s="106"/>
      <c r="FK61" s="106"/>
      <c r="FL61" s="106"/>
      <c r="FM61" s="106"/>
      <c r="FN61" s="106"/>
      <c r="FO61" s="106"/>
      <c r="FP61" s="106"/>
      <c r="FQ61" s="106"/>
      <c r="FR61" s="106"/>
      <c r="FS61" s="106"/>
      <c r="FT61" s="106"/>
      <c r="FU61" s="106"/>
      <c r="FV61" s="106"/>
      <c r="FW61" s="106"/>
      <c r="FX61" s="106"/>
      <c r="FY61" s="106"/>
      <c r="FZ61" s="106"/>
      <c r="GA61" s="106"/>
      <c r="GB61" s="106"/>
      <c r="GC61" s="106"/>
      <c r="GD61" s="106"/>
      <c r="GE61" s="106"/>
      <c r="GF61" s="106"/>
      <c r="GG61" s="159"/>
    </row>
    <row r="62" spans="2:189" x14ac:dyDescent="0.2">
      <c r="B62" s="97">
        <v>41883</v>
      </c>
      <c r="C62" s="100">
        <v>70.400000000000006</v>
      </c>
      <c r="D62" s="101">
        <v>70.7</v>
      </c>
      <c r="E62" s="101">
        <v>70.7</v>
      </c>
      <c r="F62" s="101">
        <v>70.8</v>
      </c>
      <c r="G62" s="100">
        <v>70.599999999999994</v>
      </c>
      <c r="H62" s="100">
        <v>70.5</v>
      </c>
      <c r="I62" s="100">
        <v>70.5</v>
      </c>
      <c r="J62" s="100">
        <v>70.599999999999994</v>
      </c>
      <c r="K62" s="100">
        <v>70.7</v>
      </c>
      <c r="L62" s="100">
        <v>70.7</v>
      </c>
      <c r="M62" s="100">
        <v>70.599999999999994</v>
      </c>
      <c r="N62" s="100">
        <v>70.7</v>
      </c>
      <c r="O62" s="100">
        <v>70.599999999999994</v>
      </c>
      <c r="P62" s="100">
        <v>70.400000000000006</v>
      </c>
      <c r="Q62" s="100">
        <v>70.3</v>
      </c>
      <c r="R62" s="100">
        <v>70.2</v>
      </c>
      <c r="S62" s="100">
        <v>70.3</v>
      </c>
      <c r="T62" s="100">
        <v>70.3</v>
      </c>
      <c r="U62" s="100">
        <v>70.400000000000006</v>
      </c>
      <c r="V62" s="100">
        <v>70.400000000000006</v>
      </c>
      <c r="W62" s="100">
        <v>70.5</v>
      </c>
      <c r="X62" s="100">
        <v>70.599999999999994</v>
      </c>
      <c r="Y62" s="100">
        <v>70.7</v>
      </c>
      <c r="Z62" s="100">
        <v>70.8</v>
      </c>
      <c r="AA62" s="100">
        <v>71</v>
      </c>
      <c r="AB62" s="100">
        <v>71.2</v>
      </c>
      <c r="AC62" s="100">
        <v>71.3</v>
      </c>
      <c r="AD62" s="100">
        <v>71.2</v>
      </c>
      <c r="AE62" s="100">
        <v>71.2</v>
      </c>
      <c r="AF62" s="100">
        <v>71.5</v>
      </c>
      <c r="AG62" s="100">
        <v>71.599999999999994</v>
      </c>
      <c r="AH62" s="100">
        <v>71.5</v>
      </c>
      <c r="AI62" s="100">
        <v>71.400000000000006</v>
      </c>
      <c r="AJ62" s="100">
        <v>71.400000000000006</v>
      </c>
      <c r="AK62" s="100">
        <v>71.5</v>
      </c>
      <c r="AL62" s="100">
        <v>71.400000000000006</v>
      </c>
      <c r="AM62" s="100">
        <v>71.5</v>
      </c>
      <c r="AN62" s="103">
        <v>71.599999999999994</v>
      </c>
      <c r="AO62" s="100">
        <v>71.7</v>
      </c>
      <c r="AP62" s="100">
        <v>71.8</v>
      </c>
      <c r="AQ62" s="100">
        <v>72</v>
      </c>
      <c r="AR62" s="100">
        <v>72.099999999999994</v>
      </c>
      <c r="AS62" s="100">
        <v>72.099999999999994</v>
      </c>
      <c r="AT62" s="100">
        <v>72.3</v>
      </c>
      <c r="AU62" s="100">
        <v>72.599999999999994</v>
      </c>
      <c r="AV62" s="100">
        <v>72.7</v>
      </c>
      <c r="AW62" s="100">
        <v>72.900000000000006</v>
      </c>
      <c r="AX62" s="100">
        <v>73.099999999999994</v>
      </c>
      <c r="AY62" s="100">
        <v>73</v>
      </c>
      <c r="AZ62" s="102">
        <v>73</v>
      </c>
      <c r="BA62" s="100"/>
      <c r="BB62" s="100"/>
      <c r="BC62" s="100"/>
      <c r="BD62" s="100"/>
      <c r="BE62" s="100"/>
      <c r="BF62" s="100"/>
      <c r="BG62" s="100"/>
      <c r="BH62" s="100"/>
      <c r="BI62" s="100"/>
      <c r="BJ62" s="100"/>
      <c r="BK62" s="100"/>
      <c r="BL62" s="100"/>
      <c r="BM62" s="100"/>
      <c r="BN62" s="100"/>
      <c r="BO62" s="100"/>
      <c r="BP62" s="100"/>
      <c r="BQ62" s="100"/>
      <c r="BR62" s="100"/>
      <c r="BS62" s="100"/>
      <c r="BT62" s="100"/>
      <c r="BU62" s="100"/>
      <c r="BV62" s="100"/>
      <c r="BW62" s="100"/>
      <c r="BX62" s="100"/>
      <c r="BY62" s="100"/>
      <c r="BZ62" s="100"/>
      <c r="CA62" s="100"/>
      <c r="CB62" s="100"/>
      <c r="CC62" s="100"/>
      <c r="CD62" s="100"/>
      <c r="CE62" s="100"/>
      <c r="CF62" s="100"/>
      <c r="CG62" s="100"/>
      <c r="CH62" s="100"/>
      <c r="CI62" s="100"/>
      <c r="CJ62" s="100"/>
      <c r="CK62" s="100"/>
      <c r="CL62" s="100"/>
      <c r="CM62" s="100"/>
      <c r="CN62" s="100"/>
      <c r="CO62" s="100"/>
      <c r="CP62" s="100"/>
      <c r="CQ62" s="100"/>
      <c r="CR62" s="100"/>
      <c r="CS62" s="100"/>
      <c r="CT62" s="100"/>
      <c r="CU62" s="100"/>
      <c r="CV62" s="100"/>
      <c r="CW62" s="100"/>
      <c r="CX62" s="100"/>
      <c r="CY62" s="100"/>
      <c r="CZ62" s="100"/>
      <c r="DA62" s="100"/>
      <c r="DB62" s="100"/>
      <c r="DC62" s="100"/>
      <c r="DD62" s="100"/>
      <c r="DE62" s="100"/>
      <c r="DF62" s="100"/>
      <c r="DG62" s="100"/>
      <c r="DH62" s="100"/>
      <c r="DI62" s="100"/>
      <c r="DJ62" s="100"/>
      <c r="DK62" s="100"/>
      <c r="DL62" s="100"/>
      <c r="DM62" s="100"/>
      <c r="DN62" s="100"/>
      <c r="DO62" s="100"/>
      <c r="DP62" s="100"/>
      <c r="DQ62" s="100"/>
      <c r="DR62" s="100"/>
      <c r="DS62" s="100"/>
      <c r="DT62" s="100"/>
      <c r="DU62" s="100"/>
      <c r="DV62" s="100"/>
      <c r="DW62" s="100"/>
      <c r="DX62" s="100"/>
      <c r="DY62" s="100"/>
      <c r="DZ62" s="100"/>
      <c r="EA62" s="100"/>
      <c r="EB62" s="100"/>
      <c r="EC62" s="100"/>
      <c r="ED62" s="100"/>
      <c r="EE62" s="100"/>
      <c r="EF62" s="100"/>
      <c r="EG62" s="100"/>
      <c r="EH62" s="100"/>
      <c r="EI62" s="100"/>
      <c r="EJ62" s="100"/>
      <c r="EK62" s="100"/>
      <c r="EL62" s="100"/>
      <c r="EM62" s="100"/>
      <c r="EN62" s="100"/>
      <c r="EO62" s="100"/>
      <c r="EP62" s="100"/>
      <c r="EQ62" s="106"/>
      <c r="ER62" s="106"/>
      <c r="ES62" s="106"/>
      <c r="ET62" s="106"/>
      <c r="EU62" s="106"/>
      <c r="EV62" s="106"/>
      <c r="EW62" s="106"/>
      <c r="EX62" s="106"/>
      <c r="EY62" s="106"/>
      <c r="EZ62" s="106"/>
      <c r="FA62" s="106"/>
      <c r="FB62" s="106"/>
      <c r="FC62" s="106"/>
      <c r="FD62" s="106"/>
      <c r="FE62" s="106"/>
      <c r="FF62" s="106"/>
      <c r="FG62" s="106"/>
      <c r="FH62" s="106"/>
      <c r="FI62" s="106"/>
      <c r="FJ62" s="106"/>
      <c r="FK62" s="106"/>
      <c r="FL62" s="106"/>
      <c r="FM62" s="106"/>
      <c r="FN62" s="106"/>
      <c r="FO62" s="106"/>
      <c r="FP62" s="106"/>
      <c r="FQ62" s="106"/>
      <c r="FR62" s="106"/>
      <c r="FS62" s="106"/>
      <c r="FT62" s="106"/>
      <c r="FU62" s="106"/>
      <c r="FV62" s="106"/>
      <c r="FW62" s="106"/>
      <c r="FX62" s="106"/>
      <c r="FY62" s="106"/>
      <c r="FZ62" s="106"/>
      <c r="GA62" s="106"/>
      <c r="GB62" s="106"/>
      <c r="GC62" s="106"/>
      <c r="GD62" s="106"/>
      <c r="GE62" s="106"/>
      <c r="GF62" s="106"/>
      <c r="GG62" s="159"/>
    </row>
    <row r="63" spans="2:189" x14ac:dyDescent="0.2">
      <c r="B63" s="97">
        <v>41913</v>
      </c>
      <c r="C63" s="100">
        <v>70.400000000000006</v>
      </c>
      <c r="D63" s="101">
        <v>70.599999999999994</v>
      </c>
      <c r="E63" s="101">
        <v>70.599999999999994</v>
      </c>
      <c r="F63" s="101">
        <v>70.7</v>
      </c>
      <c r="G63" s="100">
        <v>70.5</v>
      </c>
      <c r="H63" s="100">
        <v>70.3</v>
      </c>
      <c r="I63" s="100">
        <v>70.400000000000006</v>
      </c>
      <c r="J63" s="100">
        <v>70.5</v>
      </c>
      <c r="K63" s="100">
        <v>70.599999999999994</v>
      </c>
      <c r="L63" s="100">
        <v>70.5</v>
      </c>
      <c r="M63" s="100">
        <v>70.5</v>
      </c>
      <c r="N63" s="100">
        <v>70.5</v>
      </c>
      <c r="O63" s="100">
        <v>70.5</v>
      </c>
      <c r="P63" s="100">
        <v>70.2</v>
      </c>
      <c r="Q63" s="100">
        <v>70.2</v>
      </c>
      <c r="R63" s="100">
        <v>70.099999999999994</v>
      </c>
      <c r="S63" s="100">
        <v>70.099999999999994</v>
      </c>
      <c r="T63" s="100">
        <v>70.099999999999994</v>
      </c>
      <c r="U63" s="100">
        <v>70.2</v>
      </c>
      <c r="V63" s="100">
        <v>70.3</v>
      </c>
      <c r="W63" s="100">
        <v>70.3</v>
      </c>
      <c r="X63" s="100">
        <v>70.5</v>
      </c>
      <c r="Y63" s="100">
        <v>70.5</v>
      </c>
      <c r="Z63" s="100">
        <v>70.7</v>
      </c>
      <c r="AA63" s="100">
        <v>70.900000000000006</v>
      </c>
      <c r="AB63" s="100">
        <v>71.099999999999994</v>
      </c>
      <c r="AC63" s="100">
        <v>71.2</v>
      </c>
      <c r="AD63" s="100">
        <v>71.099999999999994</v>
      </c>
      <c r="AE63" s="100">
        <v>71</v>
      </c>
      <c r="AF63" s="100">
        <v>71.3</v>
      </c>
      <c r="AG63" s="100">
        <v>71.400000000000006</v>
      </c>
      <c r="AH63" s="100">
        <v>71.400000000000006</v>
      </c>
      <c r="AI63" s="100">
        <v>71.2</v>
      </c>
      <c r="AJ63" s="100">
        <v>71.2</v>
      </c>
      <c r="AK63" s="100">
        <v>71.2</v>
      </c>
      <c r="AL63" s="100">
        <v>71.2</v>
      </c>
      <c r="AM63" s="100">
        <v>71.3</v>
      </c>
      <c r="AN63" s="100">
        <v>71.5</v>
      </c>
      <c r="AO63" s="103">
        <v>71.5</v>
      </c>
      <c r="AP63" s="100">
        <v>71.599999999999994</v>
      </c>
      <c r="AQ63" s="100">
        <v>71.8</v>
      </c>
      <c r="AR63" s="100">
        <v>72</v>
      </c>
      <c r="AS63" s="100">
        <v>72</v>
      </c>
      <c r="AT63" s="100">
        <v>72.099999999999994</v>
      </c>
      <c r="AU63" s="100">
        <v>72.400000000000006</v>
      </c>
      <c r="AV63" s="100">
        <v>72.5</v>
      </c>
      <c r="AW63" s="100">
        <v>72.7</v>
      </c>
      <c r="AX63" s="100">
        <v>72.900000000000006</v>
      </c>
      <c r="AY63" s="100">
        <v>72.8</v>
      </c>
      <c r="AZ63" s="100">
        <v>72.8</v>
      </c>
      <c r="BA63" s="102">
        <v>73</v>
      </c>
      <c r="BB63" s="100"/>
      <c r="BC63" s="100"/>
      <c r="BD63" s="100"/>
      <c r="BE63" s="100"/>
      <c r="BF63" s="100"/>
      <c r="BG63" s="100"/>
      <c r="BH63" s="100"/>
      <c r="BI63" s="100"/>
      <c r="BJ63" s="100"/>
      <c r="BK63" s="100"/>
      <c r="BL63" s="100"/>
      <c r="BM63" s="100"/>
      <c r="BN63" s="100"/>
      <c r="BO63" s="100"/>
      <c r="BP63" s="100"/>
      <c r="BQ63" s="100"/>
      <c r="BR63" s="100"/>
      <c r="BS63" s="100"/>
      <c r="BT63" s="100"/>
      <c r="BU63" s="100"/>
      <c r="BV63" s="100"/>
      <c r="BW63" s="100"/>
      <c r="BX63" s="100"/>
      <c r="BY63" s="100"/>
      <c r="BZ63" s="100"/>
      <c r="CA63" s="100"/>
      <c r="CB63" s="100"/>
      <c r="CC63" s="100"/>
      <c r="CD63" s="100"/>
      <c r="CE63" s="100"/>
      <c r="CF63" s="100"/>
      <c r="CG63" s="100"/>
      <c r="CH63" s="100"/>
      <c r="CI63" s="100"/>
      <c r="CJ63" s="100"/>
      <c r="CK63" s="100"/>
      <c r="CL63" s="100"/>
      <c r="CM63" s="100"/>
      <c r="CN63" s="100"/>
      <c r="CO63" s="100"/>
      <c r="CP63" s="100"/>
      <c r="CQ63" s="100"/>
      <c r="CR63" s="100"/>
      <c r="CS63" s="100"/>
      <c r="CT63" s="100"/>
      <c r="CU63" s="100"/>
      <c r="CV63" s="100"/>
      <c r="CW63" s="100"/>
      <c r="CX63" s="100"/>
      <c r="CY63" s="100"/>
      <c r="CZ63" s="100"/>
      <c r="DA63" s="100"/>
      <c r="DB63" s="100"/>
      <c r="DC63" s="100"/>
      <c r="DD63" s="100"/>
      <c r="DE63" s="100"/>
      <c r="DF63" s="100"/>
      <c r="DG63" s="100"/>
      <c r="DH63" s="100"/>
      <c r="DI63" s="100"/>
      <c r="DJ63" s="100"/>
      <c r="DK63" s="100"/>
      <c r="DL63" s="100"/>
      <c r="DM63" s="100"/>
      <c r="DN63" s="100"/>
      <c r="DO63" s="100"/>
      <c r="DP63" s="100"/>
      <c r="DQ63" s="100"/>
      <c r="DR63" s="100"/>
      <c r="DS63" s="100"/>
      <c r="DT63" s="100"/>
      <c r="DU63" s="100"/>
      <c r="DV63" s="100"/>
      <c r="DW63" s="100"/>
      <c r="DX63" s="100"/>
      <c r="DY63" s="100"/>
      <c r="DZ63" s="100"/>
      <c r="EA63" s="100"/>
      <c r="EB63" s="100"/>
      <c r="EC63" s="100"/>
      <c r="ED63" s="100"/>
      <c r="EE63" s="100"/>
      <c r="EF63" s="100"/>
      <c r="EG63" s="100"/>
      <c r="EH63" s="100"/>
      <c r="EI63" s="100"/>
      <c r="EJ63" s="100"/>
      <c r="EK63" s="100"/>
      <c r="EL63" s="100"/>
      <c r="EM63" s="100"/>
      <c r="EN63" s="100"/>
      <c r="EO63" s="100"/>
      <c r="EP63" s="100"/>
      <c r="EQ63" s="106"/>
      <c r="ER63" s="106"/>
      <c r="ES63" s="106"/>
      <c r="ET63" s="106"/>
      <c r="EU63" s="106"/>
      <c r="EV63" s="106"/>
      <c r="EW63" s="106"/>
      <c r="EX63" s="106"/>
      <c r="EY63" s="106"/>
      <c r="EZ63" s="106"/>
      <c r="FA63" s="106"/>
      <c r="FB63" s="106"/>
      <c r="FC63" s="106"/>
      <c r="FD63" s="106"/>
      <c r="FE63" s="106"/>
      <c r="FF63" s="106"/>
      <c r="FG63" s="106"/>
      <c r="FH63" s="106"/>
      <c r="FI63" s="106"/>
      <c r="FJ63" s="106"/>
      <c r="FK63" s="106"/>
      <c r="FL63" s="106"/>
      <c r="FM63" s="106"/>
      <c r="FN63" s="106"/>
      <c r="FO63" s="106"/>
      <c r="FP63" s="106"/>
      <c r="FQ63" s="106"/>
      <c r="FR63" s="106"/>
      <c r="FS63" s="106"/>
      <c r="FT63" s="106"/>
      <c r="FU63" s="106"/>
      <c r="FV63" s="106"/>
      <c r="FW63" s="106"/>
      <c r="FX63" s="106"/>
      <c r="FY63" s="106"/>
      <c r="FZ63" s="106"/>
      <c r="GA63" s="106"/>
      <c r="GB63" s="106"/>
      <c r="GC63" s="106"/>
      <c r="GD63" s="106"/>
      <c r="GE63" s="106"/>
      <c r="GF63" s="106"/>
      <c r="GG63" s="159"/>
    </row>
    <row r="64" spans="2:189" x14ac:dyDescent="0.2">
      <c r="B64" s="97">
        <v>41944</v>
      </c>
      <c r="C64" s="100">
        <v>70.400000000000006</v>
      </c>
      <c r="D64" s="101">
        <v>70.599999999999994</v>
      </c>
      <c r="E64" s="101">
        <v>70.599999999999994</v>
      </c>
      <c r="F64" s="101">
        <v>70.7</v>
      </c>
      <c r="G64" s="100">
        <v>70.5</v>
      </c>
      <c r="H64" s="100">
        <v>70.3</v>
      </c>
      <c r="I64" s="100">
        <v>70.400000000000006</v>
      </c>
      <c r="J64" s="100">
        <v>70.5</v>
      </c>
      <c r="K64" s="100">
        <v>70.599999999999994</v>
      </c>
      <c r="L64" s="100">
        <v>70.5</v>
      </c>
      <c r="M64" s="100">
        <v>70.5</v>
      </c>
      <c r="N64" s="100">
        <v>70.5</v>
      </c>
      <c r="O64" s="100">
        <v>70.5</v>
      </c>
      <c r="P64" s="100">
        <v>70.2</v>
      </c>
      <c r="Q64" s="100">
        <v>70.2</v>
      </c>
      <c r="R64" s="100">
        <v>70.099999999999994</v>
      </c>
      <c r="S64" s="100">
        <v>70.099999999999994</v>
      </c>
      <c r="T64" s="100">
        <v>70.099999999999994</v>
      </c>
      <c r="U64" s="100">
        <v>70.2</v>
      </c>
      <c r="V64" s="100">
        <v>70.3</v>
      </c>
      <c r="W64" s="100">
        <v>70.3</v>
      </c>
      <c r="X64" s="100">
        <v>70.5</v>
      </c>
      <c r="Y64" s="100">
        <v>70.5</v>
      </c>
      <c r="Z64" s="100">
        <v>70.7</v>
      </c>
      <c r="AA64" s="100">
        <v>70.900000000000006</v>
      </c>
      <c r="AB64" s="100">
        <v>71.099999999999994</v>
      </c>
      <c r="AC64" s="100">
        <v>71.2</v>
      </c>
      <c r="AD64" s="100">
        <v>71.099999999999994</v>
      </c>
      <c r="AE64" s="100">
        <v>71</v>
      </c>
      <c r="AF64" s="100">
        <v>71.3</v>
      </c>
      <c r="AG64" s="100">
        <v>71.400000000000006</v>
      </c>
      <c r="AH64" s="100">
        <v>71.400000000000006</v>
      </c>
      <c r="AI64" s="100">
        <v>71.2</v>
      </c>
      <c r="AJ64" s="100">
        <v>71.2</v>
      </c>
      <c r="AK64" s="100">
        <v>71.2</v>
      </c>
      <c r="AL64" s="100">
        <v>71.2</v>
      </c>
      <c r="AM64" s="100">
        <v>71.3</v>
      </c>
      <c r="AN64" s="100">
        <v>71.5</v>
      </c>
      <c r="AO64" s="100">
        <v>71.5</v>
      </c>
      <c r="AP64" s="103">
        <v>71.599999999999994</v>
      </c>
      <c r="AQ64" s="100">
        <v>71.8</v>
      </c>
      <c r="AR64" s="100">
        <v>72</v>
      </c>
      <c r="AS64" s="100">
        <v>72</v>
      </c>
      <c r="AT64" s="100">
        <v>72.099999999999994</v>
      </c>
      <c r="AU64" s="100">
        <v>72.400000000000006</v>
      </c>
      <c r="AV64" s="100">
        <v>72.5</v>
      </c>
      <c r="AW64" s="100">
        <v>72.7</v>
      </c>
      <c r="AX64" s="100">
        <v>72.900000000000006</v>
      </c>
      <c r="AY64" s="100">
        <v>72.8</v>
      </c>
      <c r="AZ64" s="100">
        <v>72.8</v>
      </c>
      <c r="BA64" s="100">
        <v>73</v>
      </c>
      <c r="BB64" s="102">
        <v>73</v>
      </c>
      <c r="BC64" s="100"/>
      <c r="BD64" s="100"/>
      <c r="BE64" s="100"/>
      <c r="BF64" s="100"/>
      <c r="BG64" s="100"/>
      <c r="BH64" s="100"/>
      <c r="BI64" s="100"/>
      <c r="BJ64" s="100"/>
      <c r="BK64" s="100"/>
      <c r="BL64" s="100"/>
      <c r="BM64" s="100"/>
      <c r="BN64" s="100"/>
      <c r="BO64" s="100"/>
      <c r="BP64" s="100"/>
      <c r="BQ64" s="100"/>
      <c r="BR64" s="100"/>
      <c r="BS64" s="100"/>
      <c r="BT64" s="100"/>
      <c r="BU64" s="100"/>
      <c r="BV64" s="100"/>
      <c r="BW64" s="100"/>
      <c r="BX64" s="100"/>
      <c r="BY64" s="100"/>
      <c r="BZ64" s="100"/>
      <c r="CA64" s="100"/>
      <c r="CB64" s="100"/>
      <c r="CC64" s="100"/>
      <c r="CD64" s="100"/>
      <c r="CE64" s="100"/>
      <c r="CF64" s="100"/>
      <c r="CG64" s="100"/>
      <c r="CH64" s="100"/>
      <c r="CI64" s="100"/>
      <c r="CJ64" s="100"/>
      <c r="CK64" s="100"/>
      <c r="CL64" s="100"/>
      <c r="CM64" s="100"/>
      <c r="CN64" s="100"/>
      <c r="CO64" s="100"/>
      <c r="CP64" s="100"/>
      <c r="CQ64" s="100"/>
      <c r="CR64" s="100"/>
      <c r="CS64" s="100"/>
      <c r="CT64" s="100"/>
      <c r="CU64" s="100"/>
      <c r="CV64" s="100"/>
      <c r="CW64" s="100"/>
      <c r="CX64" s="100"/>
      <c r="CY64" s="100"/>
      <c r="CZ64" s="100"/>
      <c r="DA64" s="100"/>
      <c r="DB64" s="100"/>
      <c r="DC64" s="100"/>
      <c r="DD64" s="100"/>
      <c r="DE64" s="100"/>
      <c r="DF64" s="100"/>
      <c r="DG64" s="100"/>
      <c r="DH64" s="100"/>
      <c r="DI64" s="100"/>
      <c r="DJ64" s="100"/>
      <c r="DK64" s="100"/>
      <c r="DL64" s="100"/>
      <c r="DM64" s="100"/>
      <c r="DN64" s="100"/>
      <c r="DO64" s="100"/>
      <c r="DP64" s="100"/>
      <c r="DQ64" s="100"/>
      <c r="DR64" s="100"/>
      <c r="DS64" s="100"/>
      <c r="DT64" s="100"/>
      <c r="DU64" s="100"/>
      <c r="DV64" s="100"/>
      <c r="DW64" s="100"/>
      <c r="DX64" s="100"/>
      <c r="DY64" s="100"/>
      <c r="DZ64" s="100"/>
      <c r="EA64" s="100"/>
      <c r="EB64" s="100"/>
      <c r="EC64" s="100"/>
      <c r="ED64" s="100"/>
      <c r="EE64" s="100"/>
      <c r="EF64" s="100"/>
      <c r="EG64" s="100"/>
      <c r="EH64" s="100"/>
      <c r="EI64" s="100"/>
      <c r="EJ64" s="100"/>
      <c r="EK64" s="100"/>
      <c r="EL64" s="100"/>
      <c r="EM64" s="100"/>
      <c r="EN64" s="100"/>
      <c r="EO64" s="100"/>
      <c r="EP64" s="100"/>
      <c r="EQ64" s="106"/>
      <c r="ER64" s="106"/>
      <c r="ES64" s="106"/>
      <c r="ET64" s="106"/>
      <c r="EU64" s="106"/>
      <c r="EV64" s="106"/>
      <c r="EW64" s="106"/>
      <c r="EX64" s="106"/>
      <c r="EY64" s="106"/>
      <c r="EZ64" s="106"/>
      <c r="FA64" s="106"/>
      <c r="FB64" s="106"/>
      <c r="FC64" s="106"/>
      <c r="FD64" s="106"/>
      <c r="FE64" s="106"/>
      <c r="FF64" s="106"/>
      <c r="FG64" s="106"/>
      <c r="FH64" s="106"/>
      <c r="FI64" s="106"/>
      <c r="FJ64" s="106"/>
      <c r="FK64" s="106"/>
      <c r="FL64" s="106"/>
      <c r="FM64" s="106"/>
      <c r="FN64" s="106"/>
      <c r="FO64" s="106"/>
      <c r="FP64" s="106"/>
      <c r="FQ64" s="106"/>
      <c r="FR64" s="106"/>
      <c r="FS64" s="106"/>
      <c r="FT64" s="106"/>
      <c r="FU64" s="106"/>
      <c r="FV64" s="106"/>
      <c r="FW64" s="106"/>
      <c r="FX64" s="106"/>
      <c r="FY64" s="106"/>
      <c r="FZ64" s="106"/>
      <c r="GA64" s="106"/>
      <c r="GB64" s="106"/>
      <c r="GC64" s="106"/>
      <c r="GD64" s="106"/>
      <c r="GE64" s="106"/>
      <c r="GF64" s="106"/>
      <c r="GG64" s="159"/>
    </row>
    <row r="65" spans="2:189" x14ac:dyDescent="0.2">
      <c r="B65" s="97">
        <v>41974</v>
      </c>
      <c r="C65" s="100">
        <v>70.400000000000006</v>
      </c>
      <c r="D65" s="101">
        <v>70.599999999999994</v>
      </c>
      <c r="E65" s="101">
        <v>70.599999999999994</v>
      </c>
      <c r="F65" s="101">
        <v>70.7</v>
      </c>
      <c r="G65" s="100">
        <v>70.5</v>
      </c>
      <c r="H65" s="100">
        <v>70.3</v>
      </c>
      <c r="I65" s="100">
        <v>70.400000000000006</v>
      </c>
      <c r="J65" s="100">
        <v>70.5</v>
      </c>
      <c r="K65" s="100">
        <v>70.599999999999994</v>
      </c>
      <c r="L65" s="100">
        <v>70.5</v>
      </c>
      <c r="M65" s="100">
        <v>70.5</v>
      </c>
      <c r="N65" s="100">
        <v>70.5</v>
      </c>
      <c r="O65" s="100">
        <v>70.5</v>
      </c>
      <c r="P65" s="100">
        <v>70.2</v>
      </c>
      <c r="Q65" s="100">
        <v>70.2</v>
      </c>
      <c r="R65" s="100">
        <v>70.099999999999994</v>
      </c>
      <c r="S65" s="100">
        <v>70.099999999999994</v>
      </c>
      <c r="T65" s="100">
        <v>70.099999999999994</v>
      </c>
      <c r="U65" s="100">
        <v>70.2</v>
      </c>
      <c r="V65" s="100">
        <v>70.3</v>
      </c>
      <c r="W65" s="100">
        <v>70.3</v>
      </c>
      <c r="X65" s="100">
        <v>70.5</v>
      </c>
      <c r="Y65" s="100">
        <v>70.5</v>
      </c>
      <c r="Z65" s="100">
        <v>70.7</v>
      </c>
      <c r="AA65" s="100">
        <v>70.900000000000006</v>
      </c>
      <c r="AB65" s="100">
        <v>71.099999999999994</v>
      </c>
      <c r="AC65" s="100">
        <v>71.2</v>
      </c>
      <c r="AD65" s="100">
        <v>71.099999999999994</v>
      </c>
      <c r="AE65" s="100">
        <v>71</v>
      </c>
      <c r="AF65" s="100">
        <v>71.3</v>
      </c>
      <c r="AG65" s="100">
        <v>71.400000000000006</v>
      </c>
      <c r="AH65" s="100">
        <v>71.400000000000006</v>
      </c>
      <c r="AI65" s="100">
        <v>71.2</v>
      </c>
      <c r="AJ65" s="100">
        <v>71.2</v>
      </c>
      <c r="AK65" s="100">
        <v>71.2</v>
      </c>
      <c r="AL65" s="100">
        <v>71.2</v>
      </c>
      <c r="AM65" s="100">
        <v>71.3</v>
      </c>
      <c r="AN65" s="100">
        <v>71.5</v>
      </c>
      <c r="AO65" s="100">
        <v>71.5</v>
      </c>
      <c r="AP65" s="100">
        <v>71.599999999999994</v>
      </c>
      <c r="AQ65" s="103">
        <v>71.8</v>
      </c>
      <c r="AR65" s="100">
        <v>72</v>
      </c>
      <c r="AS65" s="100">
        <v>72</v>
      </c>
      <c r="AT65" s="100">
        <v>72.099999999999994</v>
      </c>
      <c r="AU65" s="100">
        <v>72.400000000000006</v>
      </c>
      <c r="AV65" s="100">
        <v>72.5</v>
      </c>
      <c r="AW65" s="100">
        <v>72.7</v>
      </c>
      <c r="AX65" s="100">
        <v>72.900000000000006</v>
      </c>
      <c r="AY65" s="100">
        <v>72.8</v>
      </c>
      <c r="AZ65" s="100">
        <v>72.8</v>
      </c>
      <c r="BA65" s="100">
        <v>73</v>
      </c>
      <c r="BB65" s="100">
        <v>73</v>
      </c>
      <c r="BC65" s="102">
        <v>73</v>
      </c>
      <c r="BD65" s="100"/>
      <c r="BE65" s="100"/>
      <c r="BF65" s="100"/>
      <c r="BG65" s="100"/>
      <c r="BH65" s="100"/>
      <c r="BI65" s="100"/>
      <c r="BJ65" s="100"/>
      <c r="BK65" s="100"/>
      <c r="BL65" s="100"/>
      <c r="BM65" s="100"/>
      <c r="BN65" s="100"/>
      <c r="BO65" s="100"/>
      <c r="BP65" s="100"/>
      <c r="BQ65" s="100"/>
      <c r="BR65" s="100"/>
      <c r="BS65" s="100"/>
      <c r="BT65" s="100"/>
      <c r="BU65" s="100"/>
      <c r="BV65" s="100"/>
      <c r="BW65" s="100"/>
      <c r="BX65" s="100"/>
      <c r="BY65" s="100"/>
      <c r="BZ65" s="100"/>
      <c r="CA65" s="100"/>
      <c r="CB65" s="100"/>
      <c r="CC65" s="100"/>
      <c r="CD65" s="100"/>
      <c r="CE65" s="100"/>
      <c r="CF65" s="100"/>
      <c r="CG65" s="100"/>
      <c r="CH65" s="100"/>
      <c r="CI65" s="100"/>
      <c r="CJ65" s="100"/>
      <c r="CK65" s="100"/>
      <c r="CL65" s="100"/>
      <c r="CM65" s="100"/>
      <c r="CN65" s="100"/>
      <c r="CO65" s="100"/>
      <c r="CP65" s="100"/>
      <c r="CQ65" s="100"/>
      <c r="CR65" s="100"/>
      <c r="CS65" s="100"/>
      <c r="CT65" s="100"/>
      <c r="CU65" s="100"/>
      <c r="CV65" s="100"/>
      <c r="CW65" s="100"/>
      <c r="CX65" s="100"/>
      <c r="CY65" s="100"/>
      <c r="CZ65" s="100"/>
      <c r="DA65" s="100"/>
      <c r="DB65" s="100"/>
      <c r="DC65" s="100"/>
      <c r="DD65" s="100"/>
      <c r="DE65" s="100"/>
      <c r="DF65" s="100"/>
      <c r="DG65" s="100"/>
      <c r="DH65" s="100"/>
      <c r="DI65" s="100"/>
      <c r="DJ65" s="100"/>
      <c r="DK65" s="100"/>
      <c r="DL65" s="100"/>
      <c r="DM65" s="100"/>
      <c r="DN65" s="100"/>
      <c r="DO65" s="100"/>
      <c r="DP65" s="100"/>
      <c r="DQ65" s="100"/>
      <c r="DR65" s="100"/>
      <c r="DS65" s="100"/>
      <c r="DT65" s="100"/>
      <c r="DU65" s="100"/>
      <c r="DV65" s="100"/>
      <c r="DW65" s="100"/>
      <c r="DX65" s="100"/>
      <c r="DY65" s="100"/>
      <c r="DZ65" s="100"/>
      <c r="EA65" s="100"/>
      <c r="EB65" s="100"/>
      <c r="EC65" s="100"/>
      <c r="ED65" s="100"/>
      <c r="EE65" s="100"/>
      <c r="EF65" s="100"/>
      <c r="EG65" s="100"/>
      <c r="EH65" s="100"/>
      <c r="EI65" s="100"/>
      <c r="EJ65" s="100"/>
      <c r="EK65" s="100"/>
      <c r="EL65" s="100"/>
      <c r="EM65" s="100"/>
      <c r="EN65" s="100"/>
      <c r="EO65" s="100"/>
      <c r="EP65" s="100"/>
      <c r="EQ65" s="106"/>
      <c r="ER65" s="106"/>
      <c r="ES65" s="106"/>
      <c r="ET65" s="106"/>
      <c r="EU65" s="106"/>
      <c r="EV65" s="106"/>
      <c r="EW65" s="106"/>
      <c r="EX65" s="106"/>
      <c r="EY65" s="106"/>
      <c r="EZ65" s="106"/>
      <c r="FA65" s="106"/>
      <c r="FB65" s="106"/>
      <c r="FC65" s="106"/>
      <c r="FD65" s="106"/>
      <c r="FE65" s="106"/>
      <c r="FF65" s="106"/>
      <c r="FG65" s="106"/>
      <c r="FH65" s="106"/>
      <c r="FI65" s="106"/>
      <c r="FJ65" s="106"/>
      <c r="FK65" s="106"/>
      <c r="FL65" s="106"/>
      <c r="FM65" s="106"/>
      <c r="FN65" s="106"/>
      <c r="FO65" s="106"/>
      <c r="FP65" s="106"/>
      <c r="FQ65" s="106"/>
      <c r="FR65" s="106"/>
      <c r="FS65" s="106"/>
      <c r="FT65" s="106"/>
      <c r="FU65" s="106"/>
      <c r="FV65" s="106"/>
      <c r="FW65" s="106"/>
      <c r="FX65" s="106"/>
      <c r="FY65" s="106"/>
      <c r="FZ65" s="106"/>
      <c r="GA65" s="106"/>
      <c r="GB65" s="106"/>
      <c r="GC65" s="106"/>
      <c r="GD65" s="106"/>
      <c r="GE65" s="106"/>
      <c r="GF65" s="106"/>
      <c r="GG65" s="159"/>
    </row>
    <row r="66" spans="2:189" x14ac:dyDescent="0.2">
      <c r="B66" s="97">
        <v>42005</v>
      </c>
      <c r="C66" s="100">
        <v>70.400000000000006</v>
      </c>
      <c r="D66" s="101">
        <v>70.599999999999994</v>
      </c>
      <c r="E66" s="101">
        <v>70.599999999999994</v>
      </c>
      <c r="F66" s="101">
        <v>70.7</v>
      </c>
      <c r="G66" s="100">
        <v>70.5</v>
      </c>
      <c r="H66" s="100">
        <v>70.3</v>
      </c>
      <c r="I66" s="100">
        <v>70.400000000000006</v>
      </c>
      <c r="J66" s="100">
        <v>70.5</v>
      </c>
      <c r="K66" s="100">
        <v>70.599999999999994</v>
      </c>
      <c r="L66" s="100">
        <v>70.5</v>
      </c>
      <c r="M66" s="100">
        <v>70.5</v>
      </c>
      <c r="N66" s="100">
        <v>70.5</v>
      </c>
      <c r="O66" s="100">
        <v>70.5</v>
      </c>
      <c r="P66" s="100">
        <v>70.2</v>
      </c>
      <c r="Q66" s="100">
        <v>70.2</v>
      </c>
      <c r="R66" s="100">
        <v>70.099999999999994</v>
      </c>
      <c r="S66" s="100">
        <v>70.099999999999994</v>
      </c>
      <c r="T66" s="100">
        <v>70.099999999999994</v>
      </c>
      <c r="U66" s="100">
        <v>70.2</v>
      </c>
      <c r="V66" s="100">
        <v>70.3</v>
      </c>
      <c r="W66" s="100">
        <v>70.3</v>
      </c>
      <c r="X66" s="100">
        <v>70.5</v>
      </c>
      <c r="Y66" s="100">
        <v>70.5</v>
      </c>
      <c r="Z66" s="100">
        <v>70.7</v>
      </c>
      <c r="AA66" s="100">
        <v>70.900000000000006</v>
      </c>
      <c r="AB66" s="100">
        <v>71.099999999999994</v>
      </c>
      <c r="AC66" s="100">
        <v>71.2</v>
      </c>
      <c r="AD66" s="100">
        <v>71.099999999999994</v>
      </c>
      <c r="AE66" s="100">
        <v>71</v>
      </c>
      <c r="AF66" s="100">
        <v>71.3</v>
      </c>
      <c r="AG66" s="100">
        <v>71.400000000000006</v>
      </c>
      <c r="AH66" s="100">
        <v>71.400000000000006</v>
      </c>
      <c r="AI66" s="100">
        <v>71.2</v>
      </c>
      <c r="AJ66" s="100">
        <v>71.2</v>
      </c>
      <c r="AK66" s="100">
        <v>71.2</v>
      </c>
      <c r="AL66" s="100">
        <v>71.2</v>
      </c>
      <c r="AM66" s="100">
        <v>71.3</v>
      </c>
      <c r="AN66" s="100">
        <v>71.5</v>
      </c>
      <c r="AO66" s="100">
        <v>71.5</v>
      </c>
      <c r="AP66" s="100">
        <v>71.599999999999994</v>
      </c>
      <c r="AQ66" s="100">
        <v>71.8</v>
      </c>
      <c r="AR66" s="103">
        <v>72</v>
      </c>
      <c r="AS66" s="100">
        <v>72</v>
      </c>
      <c r="AT66" s="100">
        <v>72.099999999999994</v>
      </c>
      <c r="AU66" s="100">
        <v>72.400000000000006</v>
      </c>
      <c r="AV66" s="100">
        <v>72.5</v>
      </c>
      <c r="AW66" s="100">
        <v>72.7</v>
      </c>
      <c r="AX66" s="100">
        <v>72.900000000000006</v>
      </c>
      <c r="AY66" s="100">
        <v>72.8</v>
      </c>
      <c r="AZ66" s="100">
        <v>72.8</v>
      </c>
      <c r="BA66" s="100">
        <v>73</v>
      </c>
      <c r="BB66" s="100">
        <v>73</v>
      </c>
      <c r="BC66" s="100">
        <v>73</v>
      </c>
      <c r="BD66" s="102">
        <v>73</v>
      </c>
      <c r="BE66" s="100"/>
      <c r="BF66" s="100"/>
      <c r="BG66" s="100"/>
      <c r="BH66" s="100"/>
      <c r="BI66" s="100"/>
      <c r="BJ66" s="100"/>
      <c r="BK66" s="100"/>
      <c r="BL66" s="100"/>
      <c r="BM66" s="100"/>
      <c r="BN66" s="100"/>
      <c r="BO66" s="100"/>
      <c r="BP66" s="100"/>
      <c r="BQ66" s="100"/>
      <c r="BR66" s="100"/>
      <c r="BS66" s="100"/>
      <c r="BT66" s="100"/>
      <c r="BU66" s="100"/>
      <c r="BV66" s="100"/>
      <c r="BW66" s="100"/>
      <c r="BX66" s="100"/>
      <c r="BY66" s="100"/>
      <c r="BZ66" s="100"/>
      <c r="CA66" s="100"/>
      <c r="CB66" s="100"/>
      <c r="CC66" s="100"/>
      <c r="CD66" s="100"/>
      <c r="CE66" s="100"/>
      <c r="CF66" s="100"/>
      <c r="CG66" s="100"/>
      <c r="CH66" s="100"/>
      <c r="CI66" s="100"/>
      <c r="CJ66" s="100"/>
      <c r="CK66" s="100"/>
      <c r="CL66" s="100"/>
      <c r="CM66" s="100"/>
      <c r="CN66" s="100"/>
      <c r="CO66" s="100"/>
      <c r="CP66" s="100"/>
      <c r="CQ66" s="100"/>
      <c r="CR66" s="100"/>
      <c r="CS66" s="100"/>
      <c r="CT66" s="100"/>
      <c r="CU66" s="100"/>
      <c r="CV66" s="100"/>
      <c r="CW66" s="100"/>
      <c r="CX66" s="100"/>
      <c r="CY66" s="100"/>
      <c r="CZ66" s="100"/>
      <c r="DA66" s="100"/>
      <c r="DB66" s="100"/>
      <c r="DC66" s="100"/>
      <c r="DD66" s="100"/>
      <c r="DE66" s="100"/>
      <c r="DF66" s="100"/>
      <c r="DG66" s="100"/>
      <c r="DH66" s="100"/>
      <c r="DI66" s="100"/>
      <c r="DJ66" s="100"/>
      <c r="DK66" s="100"/>
      <c r="DL66" s="100"/>
      <c r="DM66" s="100"/>
      <c r="DN66" s="100"/>
      <c r="DO66" s="100"/>
      <c r="DP66" s="100"/>
      <c r="DQ66" s="100"/>
      <c r="DR66" s="100"/>
      <c r="DS66" s="100"/>
      <c r="DT66" s="100"/>
      <c r="DU66" s="100"/>
      <c r="DV66" s="100"/>
      <c r="DW66" s="100"/>
      <c r="DX66" s="100"/>
      <c r="DY66" s="100"/>
      <c r="DZ66" s="100"/>
      <c r="EA66" s="100"/>
      <c r="EB66" s="100"/>
      <c r="EC66" s="100"/>
      <c r="ED66" s="100"/>
      <c r="EE66" s="100"/>
      <c r="EF66" s="100"/>
      <c r="EG66" s="100"/>
      <c r="EH66" s="100"/>
      <c r="EI66" s="100"/>
      <c r="EJ66" s="100"/>
      <c r="EK66" s="100"/>
      <c r="EL66" s="100"/>
      <c r="EM66" s="100"/>
      <c r="EN66" s="100"/>
      <c r="EO66" s="100"/>
      <c r="EP66" s="100"/>
      <c r="EQ66" s="106"/>
      <c r="ER66" s="106"/>
      <c r="ES66" s="106"/>
      <c r="ET66" s="106"/>
      <c r="EU66" s="106"/>
      <c r="EV66" s="106"/>
      <c r="EW66" s="106"/>
      <c r="EX66" s="106"/>
      <c r="EY66" s="106"/>
      <c r="EZ66" s="106"/>
      <c r="FA66" s="106"/>
      <c r="FB66" s="106"/>
      <c r="FC66" s="106"/>
      <c r="FD66" s="106"/>
      <c r="FE66" s="106"/>
      <c r="FF66" s="106"/>
      <c r="FG66" s="106"/>
      <c r="FH66" s="106"/>
      <c r="FI66" s="106"/>
      <c r="FJ66" s="106"/>
      <c r="FK66" s="106"/>
      <c r="FL66" s="106"/>
      <c r="FM66" s="106"/>
      <c r="FN66" s="106"/>
      <c r="FO66" s="106"/>
      <c r="FP66" s="106"/>
      <c r="FQ66" s="106"/>
      <c r="FR66" s="106"/>
      <c r="FS66" s="106"/>
      <c r="FT66" s="106"/>
      <c r="FU66" s="106"/>
      <c r="FV66" s="106"/>
      <c r="FW66" s="106"/>
      <c r="FX66" s="106"/>
      <c r="FY66" s="106"/>
      <c r="FZ66" s="106"/>
      <c r="GA66" s="106"/>
      <c r="GB66" s="106"/>
      <c r="GC66" s="106"/>
      <c r="GD66" s="106"/>
      <c r="GE66" s="106"/>
      <c r="GF66" s="106"/>
      <c r="GG66" s="159"/>
    </row>
    <row r="67" spans="2:189" x14ac:dyDescent="0.2">
      <c r="B67" s="97">
        <v>42036</v>
      </c>
      <c r="C67" s="100">
        <v>70.400000000000006</v>
      </c>
      <c r="D67" s="101">
        <v>70.599999999999994</v>
      </c>
      <c r="E67" s="101">
        <v>70.599999999999994</v>
      </c>
      <c r="F67" s="101">
        <v>70.7</v>
      </c>
      <c r="G67" s="100">
        <v>70.5</v>
      </c>
      <c r="H67" s="100">
        <v>70.3</v>
      </c>
      <c r="I67" s="100">
        <v>70.400000000000006</v>
      </c>
      <c r="J67" s="100">
        <v>70.5</v>
      </c>
      <c r="K67" s="100">
        <v>70.599999999999994</v>
      </c>
      <c r="L67" s="100">
        <v>70.5</v>
      </c>
      <c r="M67" s="100">
        <v>70.5</v>
      </c>
      <c r="N67" s="100">
        <v>70.5</v>
      </c>
      <c r="O67" s="100">
        <v>70.5</v>
      </c>
      <c r="P67" s="100">
        <v>70.2</v>
      </c>
      <c r="Q67" s="100">
        <v>70.2</v>
      </c>
      <c r="R67" s="100">
        <v>70.099999999999994</v>
      </c>
      <c r="S67" s="100">
        <v>70.099999999999994</v>
      </c>
      <c r="T67" s="100">
        <v>70.099999999999994</v>
      </c>
      <c r="U67" s="100">
        <v>70.2</v>
      </c>
      <c r="V67" s="100">
        <v>70.3</v>
      </c>
      <c r="W67" s="100">
        <v>70.3</v>
      </c>
      <c r="X67" s="100">
        <v>70.5</v>
      </c>
      <c r="Y67" s="100">
        <v>70.5</v>
      </c>
      <c r="Z67" s="100">
        <v>70.7</v>
      </c>
      <c r="AA67" s="100">
        <v>70.900000000000006</v>
      </c>
      <c r="AB67" s="100">
        <v>71.099999999999994</v>
      </c>
      <c r="AC67" s="100">
        <v>71.2</v>
      </c>
      <c r="AD67" s="100">
        <v>71.099999999999994</v>
      </c>
      <c r="AE67" s="100">
        <v>71</v>
      </c>
      <c r="AF67" s="100">
        <v>71.3</v>
      </c>
      <c r="AG67" s="100">
        <v>71.400000000000006</v>
      </c>
      <c r="AH67" s="100">
        <v>71.400000000000006</v>
      </c>
      <c r="AI67" s="100">
        <v>71.2</v>
      </c>
      <c r="AJ67" s="100">
        <v>71.2</v>
      </c>
      <c r="AK67" s="100">
        <v>71.2</v>
      </c>
      <c r="AL67" s="100">
        <v>71.2</v>
      </c>
      <c r="AM67" s="100">
        <v>71.3</v>
      </c>
      <c r="AN67" s="100">
        <v>71.5</v>
      </c>
      <c r="AO67" s="100">
        <v>71.5</v>
      </c>
      <c r="AP67" s="100">
        <v>71.599999999999994</v>
      </c>
      <c r="AQ67" s="100">
        <v>71.8</v>
      </c>
      <c r="AR67" s="100">
        <v>72</v>
      </c>
      <c r="AS67" s="103">
        <v>72</v>
      </c>
      <c r="AT67" s="100">
        <v>72.099999999999994</v>
      </c>
      <c r="AU67" s="100">
        <v>72.400000000000006</v>
      </c>
      <c r="AV67" s="100">
        <v>72.5</v>
      </c>
      <c r="AW67" s="100">
        <v>72.7</v>
      </c>
      <c r="AX67" s="100">
        <v>72.900000000000006</v>
      </c>
      <c r="AY67" s="100">
        <v>72.8</v>
      </c>
      <c r="AZ67" s="100">
        <v>72.8</v>
      </c>
      <c r="BA67" s="100">
        <v>73</v>
      </c>
      <c r="BB67" s="100">
        <v>73</v>
      </c>
      <c r="BC67" s="100">
        <v>73</v>
      </c>
      <c r="BD67" s="100">
        <v>73</v>
      </c>
      <c r="BE67" s="102">
        <v>73.2</v>
      </c>
      <c r="BF67" s="100"/>
      <c r="BG67" s="100"/>
      <c r="BH67" s="100"/>
      <c r="BI67" s="100"/>
      <c r="BJ67" s="100"/>
      <c r="BK67" s="100"/>
      <c r="BL67" s="100"/>
      <c r="BM67" s="100"/>
      <c r="BN67" s="100"/>
      <c r="BO67" s="100"/>
      <c r="BP67" s="100"/>
      <c r="BQ67" s="100"/>
      <c r="BR67" s="100"/>
      <c r="BS67" s="100"/>
      <c r="BT67" s="100"/>
      <c r="BU67" s="100"/>
      <c r="BV67" s="100"/>
      <c r="BW67" s="100"/>
      <c r="BX67" s="100"/>
      <c r="BY67" s="100"/>
      <c r="BZ67" s="100"/>
      <c r="CA67" s="100"/>
      <c r="CB67" s="100"/>
      <c r="CC67" s="100"/>
      <c r="CD67" s="100"/>
      <c r="CE67" s="100"/>
      <c r="CF67" s="100"/>
      <c r="CG67" s="100"/>
      <c r="CH67" s="100"/>
      <c r="CI67" s="100"/>
      <c r="CJ67" s="100"/>
      <c r="CK67" s="100"/>
      <c r="CL67" s="100"/>
      <c r="CM67" s="100"/>
      <c r="CN67" s="100"/>
      <c r="CO67" s="100"/>
      <c r="CP67" s="100"/>
      <c r="CQ67" s="100"/>
      <c r="CR67" s="100"/>
      <c r="CS67" s="100"/>
      <c r="CT67" s="100"/>
      <c r="CU67" s="100"/>
      <c r="CV67" s="100"/>
      <c r="CW67" s="100"/>
      <c r="CX67" s="100"/>
      <c r="CY67" s="100"/>
      <c r="CZ67" s="100"/>
      <c r="DA67" s="100"/>
      <c r="DB67" s="100"/>
      <c r="DC67" s="100"/>
      <c r="DD67" s="100"/>
      <c r="DE67" s="100"/>
      <c r="DF67" s="100"/>
      <c r="DG67" s="100"/>
      <c r="DH67" s="100"/>
      <c r="DI67" s="100"/>
      <c r="DJ67" s="100"/>
      <c r="DK67" s="100"/>
      <c r="DL67" s="100"/>
      <c r="DM67" s="100"/>
      <c r="DN67" s="100"/>
      <c r="DO67" s="100"/>
      <c r="DP67" s="100"/>
      <c r="DQ67" s="100"/>
      <c r="DR67" s="100"/>
      <c r="DS67" s="100"/>
      <c r="DT67" s="100"/>
      <c r="DU67" s="100"/>
      <c r="DV67" s="100"/>
      <c r="DW67" s="100"/>
      <c r="DX67" s="100"/>
      <c r="DY67" s="100"/>
      <c r="DZ67" s="100"/>
      <c r="EA67" s="100"/>
      <c r="EB67" s="100"/>
      <c r="EC67" s="100"/>
      <c r="ED67" s="100"/>
      <c r="EE67" s="100"/>
      <c r="EF67" s="100"/>
      <c r="EG67" s="100"/>
      <c r="EH67" s="100"/>
      <c r="EI67" s="100"/>
      <c r="EJ67" s="100"/>
      <c r="EK67" s="100"/>
      <c r="EL67" s="100"/>
      <c r="EM67" s="100"/>
      <c r="EN67" s="100"/>
      <c r="EO67" s="100"/>
      <c r="EP67" s="100"/>
      <c r="EQ67" s="106"/>
      <c r="ER67" s="106"/>
      <c r="ES67" s="106"/>
      <c r="ET67" s="106"/>
      <c r="EU67" s="106"/>
      <c r="EV67" s="106"/>
      <c r="EW67" s="106"/>
      <c r="EX67" s="106"/>
      <c r="EY67" s="106"/>
      <c r="EZ67" s="106"/>
      <c r="FA67" s="106"/>
      <c r="FB67" s="106"/>
      <c r="FC67" s="106"/>
      <c r="FD67" s="106"/>
      <c r="FE67" s="106"/>
      <c r="FF67" s="106"/>
      <c r="FG67" s="106"/>
      <c r="FH67" s="106"/>
      <c r="FI67" s="106"/>
      <c r="FJ67" s="106"/>
      <c r="FK67" s="106"/>
      <c r="FL67" s="106"/>
      <c r="FM67" s="106"/>
      <c r="FN67" s="106"/>
      <c r="FO67" s="106"/>
      <c r="FP67" s="106"/>
      <c r="FQ67" s="106"/>
      <c r="FR67" s="106"/>
      <c r="FS67" s="106"/>
      <c r="FT67" s="106"/>
      <c r="FU67" s="106"/>
      <c r="FV67" s="106"/>
      <c r="FW67" s="106"/>
      <c r="FX67" s="106"/>
      <c r="FY67" s="106"/>
      <c r="FZ67" s="106"/>
      <c r="GA67" s="106"/>
      <c r="GB67" s="106"/>
      <c r="GC67" s="106"/>
      <c r="GD67" s="106"/>
      <c r="GE67" s="106"/>
      <c r="GF67" s="106"/>
      <c r="GG67" s="159"/>
    </row>
    <row r="68" spans="2:189" x14ac:dyDescent="0.2">
      <c r="B68" s="97">
        <v>42064</v>
      </c>
      <c r="C68" s="100">
        <v>70.400000000000006</v>
      </c>
      <c r="D68" s="101">
        <v>70.599999999999994</v>
      </c>
      <c r="E68" s="101">
        <v>70.599999999999994</v>
      </c>
      <c r="F68" s="101">
        <v>70.7</v>
      </c>
      <c r="G68" s="100">
        <v>70.5</v>
      </c>
      <c r="H68" s="100">
        <v>70.3</v>
      </c>
      <c r="I68" s="100">
        <v>70.400000000000006</v>
      </c>
      <c r="J68" s="100">
        <v>70.5</v>
      </c>
      <c r="K68" s="100">
        <v>70.599999999999994</v>
      </c>
      <c r="L68" s="100">
        <v>70.5</v>
      </c>
      <c r="M68" s="100">
        <v>70.5</v>
      </c>
      <c r="N68" s="100">
        <v>70.5</v>
      </c>
      <c r="O68" s="100">
        <v>70.5</v>
      </c>
      <c r="P68" s="100">
        <v>70.2</v>
      </c>
      <c r="Q68" s="100">
        <v>70.2</v>
      </c>
      <c r="R68" s="100">
        <v>70.099999999999994</v>
      </c>
      <c r="S68" s="100">
        <v>70.099999999999994</v>
      </c>
      <c r="T68" s="100">
        <v>70.099999999999994</v>
      </c>
      <c r="U68" s="100">
        <v>70.2</v>
      </c>
      <c r="V68" s="100">
        <v>70.3</v>
      </c>
      <c r="W68" s="100">
        <v>70.3</v>
      </c>
      <c r="X68" s="100">
        <v>70.5</v>
      </c>
      <c r="Y68" s="100">
        <v>70.5</v>
      </c>
      <c r="Z68" s="100">
        <v>70.7</v>
      </c>
      <c r="AA68" s="100">
        <v>70.900000000000006</v>
      </c>
      <c r="AB68" s="100">
        <v>71.099999999999994</v>
      </c>
      <c r="AC68" s="100">
        <v>71.2</v>
      </c>
      <c r="AD68" s="100">
        <v>71.099999999999994</v>
      </c>
      <c r="AE68" s="100">
        <v>71</v>
      </c>
      <c r="AF68" s="100">
        <v>71.3</v>
      </c>
      <c r="AG68" s="100">
        <v>71.400000000000006</v>
      </c>
      <c r="AH68" s="100">
        <v>71.400000000000006</v>
      </c>
      <c r="AI68" s="100">
        <v>71.2</v>
      </c>
      <c r="AJ68" s="100">
        <v>71.2</v>
      </c>
      <c r="AK68" s="100">
        <v>71.2</v>
      </c>
      <c r="AL68" s="100">
        <v>71.2</v>
      </c>
      <c r="AM68" s="100">
        <v>71.3</v>
      </c>
      <c r="AN68" s="100">
        <v>71.5</v>
      </c>
      <c r="AO68" s="100">
        <v>71.5</v>
      </c>
      <c r="AP68" s="100">
        <v>71.599999999999994</v>
      </c>
      <c r="AQ68" s="100">
        <v>71.8</v>
      </c>
      <c r="AR68" s="100">
        <v>72</v>
      </c>
      <c r="AS68" s="100">
        <v>72</v>
      </c>
      <c r="AT68" s="103">
        <v>72.099999999999994</v>
      </c>
      <c r="AU68" s="100">
        <v>72.400000000000006</v>
      </c>
      <c r="AV68" s="100">
        <v>72.5</v>
      </c>
      <c r="AW68" s="100">
        <v>72.7</v>
      </c>
      <c r="AX68" s="100">
        <v>72.900000000000006</v>
      </c>
      <c r="AY68" s="100">
        <v>72.8</v>
      </c>
      <c r="AZ68" s="100">
        <v>72.8</v>
      </c>
      <c r="BA68" s="100">
        <v>73</v>
      </c>
      <c r="BB68" s="100">
        <v>73</v>
      </c>
      <c r="BC68" s="100">
        <v>73</v>
      </c>
      <c r="BD68" s="100">
        <v>73</v>
      </c>
      <c r="BE68" s="100">
        <v>73.2</v>
      </c>
      <c r="BF68" s="102">
        <v>73.3</v>
      </c>
      <c r="BG68" s="100"/>
      <c r="BH68" s="100"/>
      <c r="BI68" s="100"/>
      <c r="BJ68" s="100"/>
      <c r="BK68" s="100"/>
      <c r="BL68" s="100"/>
      <c r="BM68" s="100"/>
      <c r="BN68" s="100"/>
      <c r="BO68" s="100"/>
      <c r="BP68" s="100"/>
      <c r="BQ68" s="100"/>
      <c r="BR68" s="100"/>
      <c r="BS68" s="100"/>
      <c r="BT68" s="100"/>
      <c r="BU68" s="100"/>
      <c r="BV68" s="100"/>
      <c r="BW68" s="100"/>
      <c r="BX68" s="100"/>
      <c r="BY68" s="100"/>
      <c r="BZ68" s="100"/>
      <c r="CA68" s="100"/>
      <c r="CB68" s="100"/>
      <c r="CC68" s="100"/>
      <c r="CD68" s="100"/>
      <c r="CE68" s="100"/>
      <c r="CF68" s="100"/>
      <c r="CG68" s="100"/>
      <c r="CH68" s="100"/>
      <c r="CI68" s="100"/>
      <c r="CJ68" s="100"/>
      <c r="CK68" s="100"/>
      <c r="CL68" s="100"/>
      <c r="CM68" s="100"/>
      <c r="CN68" s="100"/>
      <c r="CO68" s="100"/>
      <c r="CP68" s="100"/>
      <c r="CQ68" s="100"/>
      <c r="CR68" s="100"/>
      <c r="CS68" s="100"/>
      <c r="CT68" s="100"/>
      <c r="CU68" s="100"/>
      <c r="CV68" s="100"/>
      <c r="CW68" s="100"/>
      <c r="CX68" s="100"/>
      <c r="CY68" s="100"/>
      <c r="CZ68" s="100"/>
      <c r="DA68" s="100"/>
      <c r="DB68" s="100"/>
      <c r="DC68" s="100"/>
      <c r="DD68" s="100"/>
      <c r="DE68" s="100"/>
      <c r="DF68" s="100"/>
      <c r="DG68" s="100"/>
      <c r="DH68" s="100"/>
      <c r="DI68" s="100"/>
      <c r="DJ68" s="100"/>
      <c r="DK68" s="100"/>
      <c r="DL68" s="100"/>
      <c r="DM68" s="100"/>
      <c r="DN68" s="100"/>
      <c r="DO68" s="100"/>
      <c r="DP68" s="100"/>
      <c r="DQ68" s="100"/>
      <c r="DR68" s="100"/>
      <c r="DS68" s="100"/>
      <c r="DT68" s="100"/>
      <c r="DU68" s="100"/>
      <c r="DV68" s="100"/>
      <c r="DW68" s="100"/>
      <c r="DX68" s="100"/>
      <c r="DY68" s="100"/>
      <c r="DZ68" s="100"/>
      <c r="EA68" s="100"/>
      <c r="EB68" s="100"/>
      <c r="EC68" s="100"/>
      <c r="ED68" s="100"/>
      <c r="EE68" s="100"/>
      <c r="EF68" s="100"/>
      <c r="EG68" s="100"/>
      <c r="EH68" s="100"/>
      <c r="EI68" s="100"/>
      <c r="EJ68" s="100"/>
      <c r="EK68" s="100"/>
      <c r="EL68" s="100"/>
      <c r="EM68" s="100"/>
      <c r="EN68" s="100"/>
      <c r="EO68" s="100"/>
      <c r="EP68" s="100"/>
      <c r="EQ68" s="106"/>
      <c r="ER68" s="106"/>
      <c r="ES68" s="106"/>
      <c r="ET68" s="106"/>
      <c r="EU68" s="106"/>
      <c r="EV68" s="106"/>
      <c r="EW68" s="106"/>
      <c r="EX68" s="106"/>
      <c r="EY68" s="106"/>
      <c r="EZ68" s="106"/>
      <c r="FA68" s="106"/>
      <c r="FB68" s="106"/>
      <c r="FC68" s="106"/>
      <c r="FD68" s="106"/>
      <c r="FE68" s="106"/>
      <c r="FF68" s="106"/>
      <c r="FG68" s="106"/>
      <c r="FH68" s="106"/>
      <c r="FI68" s="106"/>
      <c r="FJ68" s="106"/>
      <c r="FK68" s="106"/>
      <c r="FL68" s="106"/>
      <c r="FM68" s="106"/>
      <c r="FN68" s="106"/>
      <c r="FO68" s="106"/>
      <c r="FP68" s="106"/>
      <c r="FQ68" s="106"/>
      <c r="FR68" s="106"/>
      <c r="FS68" s="106"/>
      <c r="FT68" s="106"/>
      <c r="FU68" s="106"/>
      <c r="FV68" s="106"/>
      <c r="FW68" s="106"/>
      <c r="FX68" s="106"/>
      <c r="FY68" s="106"/>
      <c r="FZ68" s="106"/>
      <c r="GA68" s="106"/>
      <c r="GB68" s="106"/>
      <c r="GC68" s="106"/>
      <c r="GD68" s="106"/>
      <c r="GE68" s="106"/>
      <c r="GF68" s="106"/>
      <c r="GG68" s="159"/>
    </row>
    <row r="69" spans="2:189" x14ac:dyDescent="0.2">
      <c r="B69" s="97">
        <v>42095</v>
      </c>
      <c r="C69" s="100">
        <v>70.400000000000006</v>
      </c>
      <c r="D69" s="101">
        <v>70.599999999999994</v>
      </c>
      <c r="E69" s="101">
        <v>70.599999999999994</v>
      </c>
      <c r="F69" s="101">
        <v>70.7</v>
      </c>
      <c r="G69" s="100">
        <v>70.5</v>
      </c>
      <c r="H69" s="100">
        <v>70.3</v>
      </c>
      <c r="I69" s="100">
        <v>70.400000000000006</v>
      </c>
      <c r="J69" s="100">
        <v>70.5</v>
      </c>
      <c r="K69" s="100">
        <v>70.599999999999994</v>
      </c>
      <c r="L69" s="100">
        <v>70.5</v>
      </c>
      <c r="M69" s="100">
        <v>70.5</v>
      </c>
      <c r="N69" s="100">
        <v>70.5</v>
      </c>
      <c r="O69" s="100">
        <v>70.5</v>
      </c>
      <c r="P69" s="100">
        <v>70.2</v>
      </c>
      <c r="Q69" s="100">
        <v>70.2</v>
      </c>
      <c r="R69" s="100">
        <v>70.099999999999994</v>
      </c>
      <c r="S69" s="100">
        <v>70.099999999999994</v>
      </c>
      <c r="T69" s="100">
        <v>70.099999999999994</v>
      </c>
      <c r="U69" s="100">
        <v>70.2</v>
      </c>
      <c r="V69" s="100">
        <v>70.3</v>
      </c>
      <c r="W69" s="100">
        <v>70.3</v>
      </c>
      <c r="X69" s="100">
        <v>70.5</v>
      </c>
      <c r="Y69" s="100">
        <v>70.5</v>
      </c>
      <c r="Z69" s="100">
        <v>70.7</v>
      </c>
      <c r="AA69" s="100">
        <v>70.900000000000006</v>
      </c>
      <c r="AB69" s="100">
        <v>71.099999999999994</v>
      </c>
      <c r="AC69" s="100">
        <v>71.2</v>
      </c>
      <c r="AD69" s="100">
        <v>71.099999999999994</v>
      </c>
      <c r="AE69" s="100">
        <v>71</v>
      </c>
      <c r="AF69" s="100">
        <v>71.3</v>
      </c>
      <c r="AG69" s="100">
        <v>71.400000000000006</v>
      </c>
      <c r="AH69" s="100">
        <v>71.400000000000006</v>
      </c>
      <c r="AI69" s="100">
        <v>71.2</v>
      </c>
      <c r="AJ69" s="100">
        <v>71.2</v>
      </c>
      <c r="AK69" s="100">
        <v>71.2</v>
      </c>
      <c r="AL69" s="100">
        <v>71.2</v>
      </c>
      <c r="AM69" s="100">
        <v>71.3</v>
      </c>
      <c r="AN69" s="100">
        <v>71.5</v>
      </c>
      <c r="AO69" s="100">
        <v>71.5</v>
      </c>
      <c r="AP69" s="100">
        <v>71.599999999999994</v>
      </c>
      <c r="AQ69" s="100">
        <v>71.8</v>
      </c>
      <c r="AR69" s="100">
        <v>72</v>
      </c>
      <c r="AS69" s="100">
        <v>72</v>
      </c>
      <c r="AT69" s="100">
        <v>72.099999999999994</v>
      </c>
      <c r="AU69" s="103">
        <v>72.400000000000006</v>
      </c>
      <c r="AV69" s="100">
        <v>72.5</v>
      </c>
      <c r="AW69" s="100">
        <v>72.7</v>
      </c>
      <c r="AX69" s="100">
        <v>72.900000000000006</v>
      </c>
      <c r="AY69" s="100">
        <v>72.8</v>
      </c>
      <c r="AZ69" s="100">
        <v>72.8</v>
      </c>
      <c r="BA69" s="100">
        <v>73</v>
      </c>
      <c r="BB69" s="100">
        <v>73</v>
      </c>
      <c r="BC69" s="100">
        <v>73</v>
      </c>
      <c r="BD69" s="100">
        <v>73</v>
      </c>
      <c r="BE69" s="100">
        <v>73.2</v>
      </c>
      <c r="BF69" s="100">
        <v>73.3</v>
      </c>
      <c r="BG69" s="102">
        <v>73.400000000000006</v>
      </c>
      <c r="BH69" s="100"/>
      <c r="BI69" s="100"/>
      <c r="BJ69" s="100"/>
      <c r="BK69" s="100"/>
      <c r="BL69" s="100"/>
      <c r="BM69" s="100"/>
      <c r="BN69" s="100"/>
      <c r="BO69" s="100"/>
      <c r="BP69" s="100"/>
      <c r="BQ69" s="100"/>
      <c r="BR69" s="100"/>
      <c r="BS69" s="100"/>
      <c r="BT69" s="100"/>
      <c r="BU69" s="100"/>
      <c r="BV69" s="100"/>
      <c r="BW69" s="100"/>
      <c r="BX69" s="100"/>
      <c r="BY69" s="100"/>
      <c r="BZ69" s="100"/>
      <c r="CA69" s="100"/>
      <c r="CB69" s="100"/>
      <c r="CC69" s="100"/>
      <c r="CD69" s="100"/>
      <c r="CE69" s="100"/>
      <c r="CF69" s="100"/>
      <c r="CG69" s="100"/>
      <c r="CH69" s="100"/>
      <c r="CI69" s="100"/>
      <c r="CJ69" s="100"/>
      <c r="CK69" s="100"/>
      <c r="CL69" s="100"/>
      <c r="CM69" s="100"/>
      <c r="CN69" s="100"/>
      <c r="CO69" s="100"/>
      <c r="CP69" s="100"/>
      <c r="CQ69" s="100"/>
      <c r="CR69" s="100"/>
      <c r="CS69" s="100"/>
      <c r="CT69" s="100"/>
      <c r="CU69" s="100"/>
      <c r="CV69" s="100"/>
      <c r="CW69" s="100"/>
      <c r="CX69" s="100"/>
      <c r="CY69" s="100"/>
      <c r="CZ69" s="100"/>
      <c r="DA69" s="100"/>
      <c r="DB69" s="100"/>
      <c r="DC69" s="100"/>
      <c r="DD69" s="100"/>
      <c r="DE69" s="100"/>
      <c r="DF69" s="100"/>
      <c r="DG69" s="100"/>
      <c r="DH69" s="100"/>
      <c r="DI69" s="100"/>
      <c r="DJ69" s="100"/>
      <c r="DK69" s="100"/>
      <c r="DL69" s="100"/>
      <c r="DM69" s="100"/>
      <c r="DN69" s="100"/>
      <c r="DO69" s="100"/>
      <c r="DP69" s="100"/>
      <c r="DQ69" s="100"/>
      <c r="DR69" s="100"/>
      <c r="DS69" s="100"/>
      <c r="DT69" s="100"/>
      <c r="DU69" s="100"/>
      <c r="DV69" s="100"/>
      <c r="DW69" s="100"/>
      <c r="DX69" s="100"/>
      <c r="DY69" s="100"/>
      <c r="DZ69" s="100"/>
      <c r="EA69" s="100"/>
      <c r="EB69" s="100"/>
      <c r="EC69" s="100"/>
      <c r="ED69" s="100"/>
      <c r="EE69" s="100"/>
      <c r="EF69" s="100"/>
      <c r="EG69" s="100"/>
      <c r="EH69" s="100"/>
      <c r="EI69" s="100"/>
      <c r="EJ69" s="100"/>
      <c r="EK69" s="100"/>
      <c r="EL69" s="100"/>
      <c r="EM69" s="100"/>
      <c r="EN69" s="100"/>
      <c r="EO69" s="100"/>
      <c r="EP69" s="100"/>
      <c r="EQ69" s="106"/>
      <c r="ER69" s="106"/>
      <c r="ES69" s="106"/>
      <c r="ET69" s="106"/>
      <c r="EU69" s="106"/>
      <c r="EV69" s="106"/>
      <c r="EW69" s="106"/>
      <c r="EX69" s="106"/>
      <c r="EY69" s="106"/>
      <c r="EZ69" s="106"/>
      <c r="FA69" s="106"/>
      <c r="FB69" s="106"/>
      <c r="FC69" s="106"/>
      <c r="FD69" s="106"/>
      <c r="FE69" s="106"/>
      <c r="FF69" s="106"/>
      <c r="FG69" s="106"/>
      <c r="FH69" s="106"/>
      <c r="FI69" s="106"/>
      <c r="FJ69" s="106"/>
      <c r="FK69" s="106"/>
      <c r="FL69" s="106"/>
      <c r="FM69" s="106"/>
      <c r="FN69" s="106"/>
      <c r="FO69" s="106"/>
      <c r="FP69" s="106"/>
      <c r="FQ69" s="106"/>
      <c r="FR69" s="106"/>
      <c r="FS69" s="106"/>
      <c r="FT69" s="106"/>
      <c r="FU69" s="106"/>
      <c r="FV69" s="106"/>
      <c r="FW69" s="106"/>
      <c r="FX69" s="106"/>
      <c r="FY69" s="106"/>
      <c r="FZ69" s="106"/>
      <c r="GA69" s="106"/>
      <c r="GB69" s="106"/>
      <c r="GC69" s="106"/>
      <c r="GD69" s="106"/>
      <c r="GE69" s="106"/>
      <c r="GF69" s="106"/>
      <c r="GG69" s="159"/>
    </row>
    <row r="70" spans="2:189" x14ac:dyDescent="0.2">
      <c r="B70" s="97">
        <v>42125</v>
      </c>
      <c r="C70" s="100">
        <v>70.400000000000006</v>
      </c>
      <c r="D70" s="101">
        <v>70.599999999999994</v>
      </c>
      <c r="E70" s="101">
        <v>70.599999999999994</v>
      </c>
      <c r="F70" s="101">
        <v>70.7</v>
      </c>
      <c r="G70" s="100">
        <v>70.5</v>
      </c>
      <c r="H70" s="100">
        <v>70.3</v>
      </c>
      <c r="I70" s="100">
        <v>70.400000000000006</v>
      </c>
      <c r="J70" s="100">
        <v>70.5</v>
      </c>
      <c r="K70" s="100">
        <v>70.599999999999994</v>
      </c>
      <c r="L70" s="100">
        <v>70.5</v>
      </c>
      <c r="M70" s="100">
        <v>70.5</v>
      </c>
      <c r="N70" s="100">
        <v>70.5</v>
      </c>
      <c r="O70" s="100">
        <v>70.5</v>
      </c>
      <c r="P70" s="100">
        <v>70.2</v>
      </c>
      <c r="Q70" s="100">
        <v>70.2</v>
      </c>
      <c r="R70" s="100">
        <v>70.099999999999994</v>
      </c>
      <c r="S70" s="100">
        <v>70.099999999999994</v>
      </c>
      <c r="T70" s="100">
        <v>70.099999999999994</v>
      </c>
      <c r="U70" s="100">
        <v>70.2</v>
      </c>
      <c r="V70" s="100">
        <v>70.3</v>
      </c>
      <c r="W70" s="100">
        <v>70.3</v>
      </c>
      <c r="X70" s="100">
        <v>70.5</v>
      </c>
      <c r="Y70" s="100">
        <v>70.5</v>
      </c>
      <c r="Z70" s="100">
        <v>70.7</v>
      </c>
      <c r="AA70" s="100">
        <v>70.900000000000006</v>
      </c>
      <c r="AB70" s="100">
        <v>71.099999999999994</v>
      </c>
      <c r="AC70" s="100">
        <v>71.2</v>
      </c>
      <c r="AD70" s="100">
        <v>71.099999999999994</v>
      </c>
      <c r="AE70" s="100">
        <v>71</v>
      </c>
      <c r="AF70" s="100">
        <v>71.3</v>
      </c>
      <c r="AG70" s="100">
        <v>71.400000000000006</v>
      </c>
      <c r="AH70" s="100">
        <v>71.400000000000006</v>
      </c>
      <c r="AI70" s="100">
        <v>71.2</v>
      </c>
      <c r="AJ70" s="100">
        <v>71.2</v>
      </c>
      <c r="AK70" s="100">
        <v>71.2</v>
      </c>
      <c r="AL70" s="100">
        <v>71.2</v>
      </c>
      <c r="AM70" s="100">
        <v>71.3</v>
      </c>
      <c r="AN70" s="100">
        <v>71.5</v>
      </c>
      <c r="AO70" s="100">
        <v>71.5</v>
      </c>
      <c r="AP70" s="100">
        <v>71.599999999999994</v>
      </c>
      <c r="AQ70" s="100">
        <v>71.8</v>
      </c>
      <c r="AR70" s="100">
        <v>72</v>
      </c>
      <c r="AS70" s="100">
        <v>72</v>
      </c>
      <c r="AT70" s="100">
        <v>72.099999999999994</v>
      </c>
      <c r="AU70" s="100">
        <v>72.400000000000006</v>
      </c>
      <c r="AV70" s="103">
        <v>72.5</v>
      </c>
      <c r="AW70" s="100">
        <v>72.7</v>
      </c>
      <c r="AX70" s="100">
        <v>72.900000000000006</v>
      </c>
      <c r="AY70" s="100">
        <v>72.8</v>
      </c>
      <c r="AZ70" s="100">
        <v>72.8</v>
      </c>
      <c r="BA70" s="100">
        <v>73</v>
      </c>
      <c r="BB70" s="100">
        <v>73</v>
      </c>
      <c r="BC70" s="100">
        <v>73</v>
      </c>
      <c r="BD70" s="100">
        <v>73</v>
      </c>
      <c r="BE70" s="100">
        <v>73.2</v>
      </c>
      <c r="BF70" s="100">
        <v>73.3</v>
      </c>
      <c r="BG70" s="100">
        <v>73.400000000000006</v>
      </c>
      <c r="BH70" s="102">
        <v>73.5</v>
      </c>
      <c r="BI70" s="100"/>
      <c r="BJ70" s="100"/>
      <c r="BK70" s="100"/>
      <c r="BL70" s="100"/>
      <c r="BM70" s="100"/>
      <c r="BN70" s="100"/>
      <c r="BO70" s="100"/>
      <c r="BP70" s="100"/>
      <c r="BQ70" s="100"/>
      <c r="BR70" s="100"/>
      <c r="BS70" s="100"/>
      <c r="BT70" s="100"/>
      <c r="BU70" s="100"/>
      <c r="BV70" s="100"/>
      <c r="BW70" s="100"/>
      <c r="BX70" s="100"/>
      <c r="BY70" s="100"/>
      <c r="BZ70" s="100"/>
      <c r="CA70" s="100"/>
      <c r="CB70" s="100"/>
      <c r="CC70" s="100"/>
      <c r="CD70" s="100"/>
      <c r="CE70" s="100"/>
      <c r="CF70" s="100"/>
      <c r="CG70" s="100"/>
      <c r="CH70" s="100"/>
      <c r="CI70" s="100"/>
      <c r="CJ70" s="100"/>
      <c r="CK70" s="100"/>
      <c r="CL70" s="100"/>
      <c r="CM70" s="100"/>
      <c r="CN70" s="100"/>
      <c r="CO70" s="100"/>
      <c r="CP70" s="100"/>
      <c r="CQ70" s="100"/>
      <c r="CR70" s="100"/>
      <c r="CS70" s="100"/>
      <c r="CT70" s="100"/>
      <c r="CU70" s="100"/>
      <c r="CV70" s="100"/>
      <c r="CW70" s="100"/>
      <c r="CX70" s="100"/>
      <c r="CY70" s="100"/>
      <c r="CZ70" s="100"/>
      <c r="DA70" s="100"/>
      <c r="DB70" s="100"/>
      <c r="DC70" s="100"/>
      <c r="DD70" s="100"/>
      <c r="DE70" s="100"/>
      <c r="DF70" s="100"/>
      <c r="DG70" s="100"/>
      <c r="DH70" s="100"/>
      <c r="DI70" s="100"/>
      <c r="DJ70" s="100"/>
      <c r="DK70" s="100"/>
      <c r="DL70" s="100"/>
      <c r="DM70" s="100"/>
      <c r="DN70" s="100"/>
      <c r="DO70" s="100"/>
      <c r="DP70" s="100"/>
      <c r="DQ70" s="100"/>
      <c r="DR70" s="100"/>
      <c r="DS70" s="100"/>
      <c r="DT70" s="100"/>
      <c r="DU70" s="100"/>
      <c r="DV70" s="100"/>
      <c r="DW70" s="100"/>
      <c r="DX70" s="100"/>
      <c r="DY70" s="100"/>
      <c r="DZ70" s="100"/>
      <c r="EA70" s="100"/>
      <c r="EB70" s="100"/>
      <c r="EC70" s="100"/>
      <c r="ED70" s="100"/>
      <c r="EE70" s="100"/>
      <c r="EF70" s="100"/>
      <c r="EG70" s="100"/>
      <c r="EH70" s="100"/>
      <c r="EI70" s="100"/>
      <c r="EJ70" s="100"/>
      <c r="EK70" s="100"/>
      <c r="EL70" s="100"/>
      <c r="EM70" s="100"/>
      <c r="EN70" s="100"/>
      <c r="EO70" s="100"/>
      <c r="EP70" s="100"/>
      <c r="EQ70" s="106"/>
      <c r="ER70" s="106"/>
      <c r="ES70" s="106"/>
      <c r="ET70" s="106"/>
      <c r="EU70" s="106"/>
      <c r="EV70" s="106"/>
      <c r="EW70" s="106"/>
      <c r="EX70" s="106"/>
      <c r="EY70" s="106"/>
      <c r="EZ70" s="106"/>
      <c r="FA70" s="106"/>
      <c r="FB70" s="106"/>
      <c r="FC70" s="106"/>
      <c r="FD70" s="106"/>
      <c r="FE70" s="106"/>
      <c r="FF70" s="106"/>
      <c r="FG70" s="106"/>
      <c r="FH70" s="106"/>
      <c r="FI70" s="106"/>
      <c r="FJ70" s="106"/>
      <c r="FK70" s="106"/>
      <c r="FL70" s="106"/>
      <c r="FM70" s="106"/>
      <c r="FN70" s="106"/>
      <c r="FO70" s="106"/>
      <c r="FP70" s="106"/>
      <c r="FQ70" s="106"/>
      <c r="FR70" s="106"/>
      <c r="FS70" s="106"/>
      <c r="FT70" s="106"/>
      <c r="FU70" s="106"/>
      <c r="FV70" s="106"/>
      <c r="FW70" s="106"/>
      <c r="FX70" s="106"/>
      <c r="FY70" s="106"/>
      <c r="FZ70" s="106"/>
      <c r="GA70" s="106"/>
      <c r="GB70" s="106"/>
      <c r="GC70" s="106"/>
      <c r="GD70" s="106"/>
      <c r="GE70" s="106"/>
      <c r="GF70" s="106"/>
      <c r="GG70" s="159"/>
    </row>
    <row r="71" spans="2:189" x14ac:dyDescent="0.2">
      <c r="B71" s="97">
        <v>42156</v>
      </c>
      <c r="C71" s="100">
        <v>70.400000000000006</v>
      </c>
      <c r="D71" s="101">
        <v>70.599999999999994</v>
      </c>
      <c r="E71" s="101">
        <v>70.599999999999994</v>
      </c>
      <c r="F71" s="101">
        <v>70.7</v>
      </c>
      <c r="G71" s="100">
        <v>70.5</v>
      </c>
      <c r="H71" s="100">
        <v>70.3</v>
      </c>
      <c r="I71" s="100">
        <v>70.400000000000006</v>
      </c>
      <c r="J71" s="100">
        <v>70.5</v>
      </c>
      <c r="K71" s="100">
        <v>70.599999999999994</v>
      </c>
      <c r="L71" s="100">
        <v>70.5</v>
      </c>
      <c r="M71" s="100">
        <v>70.5</v>
      </c>
      <c r="N71" s="100">
        <v>70.5</v>
      </c>
      <c r="O71" s="100">
        <v>70.5</v>
      </c>
      <c r="P71" s="100">
        <v>70.2</v>
      </c>
      <c r="Q71" s="100">
        <v>70.2</v>
      </c>
      <c r="R71" s="100">
        <v>70.099999999999994</v>
      </c>
      <c r="S71" s="100">
        <v>70.099999999999994</v>
      </c>
      <c r="T71" s="100">
        <v>70.099999999999994</v>
      </c>
      <c r="U71" s="100">
        <v>70.2</v>
      </c>
      <c r="V71" s="100">
        <v>70.3</v>
      </c>
      <c r="W71" s="100">
        <v>70.3</v>
      </c>
      <c r="X71" s="100">
        <v>70.5</v>
      </c>
      <c r="Y71" s="100">
        <v>70.5</v>
      </c>
      <c r="Z71" s="100">
        <v>70.7</v>
      </c>
      <c r="AA71" s="100">
        <v>70.900000000000006</v>
      </c>
      <c r="AB71" s="100">
        <v>71.099999999999994</v>
      </c>
      <c r="AC71" s="100">
        <v>71.2</v>
      </c>
      <c r="AD71" s="100">
        <v>71.099999999999994</v>
      </c>
      <c r="AE71" s="100">
        <v>71</v>
      </c>
      <c r="AF71" s="100">
        <v>71.3</v>
      </c>
      <c r="AG71" s="100">
        <v>71.400000000000006</v>
      </c>
      <c r="AH71" s="100">
        <v>71.400000000000006</v>
      </c>
      <c r="AI71" s="100">
        <v>71.2</v>
      </c>
      <c r="AJ71" s="100">
        <v>71.2</v>
      </c>
      <c r="AK71" s="100">
        <v>71.2</v>
      </c>
      <c r="AL71" s="100">
        <v>71.2</v>
      </c>
      <c r="AM71" s="100">
        <v>71.3</v>
      </c>
      <c r="AN71" s="100">
        <v>71.5</v>
      </c>
      <c r="AO71" s="100">
        <v>71.5</v>
      </c>
      <c r="AP71" s="100">
        <v>71.599999999999994</v>
      </c>
      <c r="AQ71" s="100">
        <v>71.8</v>
      </c>
      <c r="AR71" s="100">
        <v>72</v>
      </c>
      <c r="AS71" s="100">
        <v>72</v>
      </c>
      <c r="AT71" s="100">
        <v>72.099999999999994</v>
      </c>
      <c r="AU71" s="100">
        <v>72.400000000000006</v>
      </c>
      <c r="AV71" s="100">
        <v>72.5</v>
      </c>
      <c r="AW71" s="103">
        <v>72.7</v>
      </c>
      <c r="AX71" s="100">
        <v>72.900000000000006</v>
      </c>
      <c r="AY71" s="100">
        <v>72.8</v>
      </c>
      <c r="AZ71" s="100">
        <v>72.8</v>
      </c>
      <c r="BA71" s="100">
        <v>73</v>
      </c>
      <c r="BB71" s="100">
        <v>73</v>
      </c>
      <c r="BC71" s="100">
        <v>73</v>
      </c>
      <c r="BD71" s="100">
        <v>73</v>
      </c>
      <c r="BE71" s="100">
        <v>73.2</v>
      </c>
      <c r="BF71" s="100">
        <v>73.3</v>
      </c>
      <c r="BG71" s="100">
        <v>73.400000000000006</v>
      </c>
      <c r="BH71" s="100">
        <v>73.5</v>
      </c>
      <c r="BI71" s="102">
        <v>73.400000000000006</v>
      </c>
      <c r="BJ71" s="100"/>
      <c r="BK71" s="100"/>
      <c r="BL71" s="100"/>
      <c r="BM71" s="100"/>
      <c r="BN71" s="100"/>
      <c r="BO71" s="100"/>
      <c r="BP71" s="100"/>
      <c r="BQ71" s="100"/>
      <c r="BR71" s="100"/>
      <c r="BS71" s="100"/>
      <c r="BT71" s="100"/>
      <c r="BU71" s="100"/>
      <c r="BV71" s="100"/>
      <c r="BW71" s="100"/>
      <c r="BX71" s="100"/>
      <c r="BY71" s="100"/>
      <c r="BZ71" s="100"/>
      <c r="CA71" s="100"/>
      <c r="CB71" s="100"/>
      <c r="CC71" s="100"/>
      <c r="CD71" s="100"/>
      <c r="CE71" s="100"/>
      <c r="CF71" s="100"/>
      <c r="CG71" s="100"/>
      <c r="CH71" s="100"/>
      <c r="CI71" s="100"/>
      <c r="CJ71" s="100"/>
      <c r="CK71" s="100"/>
      <c r="CL71" s="100"/>
      <c r="CM71" s="100"/>
      <c r="CN71" s="100"/>
      <c r="CO71" s="100"/>
      <c r="CP71" s="100"/>
      <c r="CQ71" s="100"/>
      <c r="CR71" s="100"/>
      <c r="CS71" s="100"/>
      <c r="CT71" s="100"/>
      <c r="CU71" s="100"/>
      <c r="CV71" s="100"/>
      <c r="CW71" s="100"/>
      <c r="CX71" s="100"/>
      <c r="CY71" s="100"/>
      <c r="CZ71" s="100"/>
      <c r="DA71" s="100"/>
      <c r="DB71" s="100"/>
      <c r="DC71" s="100"/>
      <c r="DD71" s="100"/>
      <c r="DE71" s="100"/>
      <c r="DF71" s="100"/>
      <c r="DG71" s="100"/>
      <c r="DH71" s="100"/>
      <c r="DI71" s="100"/>
      <c r="DJ71" s="100"/>
      <c r="DK71" s="100"/>
      <c r="DL71" s="100"/>
      <c r="DM71" s="100"/>
      <c r="DN71" s="100"/>
      <c r="DO71" s="100"/>
      <c r="DP71" s="100"/>
      <c r="DQ71" s="100"/>
      <c r="DR71" s="100"/>
      <c r="DS71" s="100"/>
      <c r="DT71" s="100"/>
      <c r="DU71" s="100"/>
      <c r="DV71" s="100"/>
      <c r="DW71" s="100"/>
      <c r="DX71" s="100"/>
      <c r="DY71" s="100"/>
      <c r="DZ71" s="100"/>
      <c r="EA71" s="100"/>
      <c r="EB71" s="100"/>
      <c r="EC71" s="100"/>
      <c r="ED71" s="100"/>
      <c r="EE71" s="100"/>
      <c r="EF71" s="100"/>
      <c r="EG71" s="100"/>
      <c r="EH71" s="100"/>
      <c r="EI71" s="100"/>
      <c r="EJ71" s="100"/>
      <c r="EK71" s="100"/>
      <c r="EL71" s="100"/>
      <c r="EM71" s="100"/>
      <c r="EN71" s="100"/>
      <c r="EO71" s="100"/>
      <c r="EP71" s="100"/>
      <c r="EQ71" s="106"/>
      <c r="ER71" s="106"/>
      <c r="ES71" s="106"/>
      <c r="ET71" s="106"/>
      <c r="EU71" s="106"/>
      <c r="EV71" s="106"/>
      <c r="EW71" s="106"/>
      <c r="EX71" s="106"/>
      <c r="EY71" s="106"/>
      <c r="EZ71" s="106"/>
      <c r="FA71" s="106"/>
      <c r="FB71" s="106"/>
      <c r="FC71" s="106"/>
      <c r="FD71" s="106"/>
      <c r="FE71" s="106"/>
      <c r="FF71" s="106"/>
      <c r="FG71" s="106"/>
      <c r="FH71" s="106"/>
      <c r="FI71" s="106"/>
      <c r="FJ71" s="106"/>
      <c r="FK71" s="106"/>
      <c r="FL71" s="106"/>
      <c r="FM71" s="106"/>
      <c r="FN71" s="106"/>
      <c r="FO71" s="106"/>
      <c r="FP71" s="106"/>
      <c r="FQ71" s="106"/>
      <c r="FR71" s="106"/>
      <c r="FS71" s="106"/>
      <c r="FT71" s="106"/>
      <c r="FU71" s="106"/>
      <c r="FV71" s="106"/>
      <c r="FW71" s="106"/>
      <c r="FX71" s="106"/>
      <c r="FY71" s="106"/>
      <c r="FZ71" s="106"/>
      <c r="GA71" s="106"/>
      <c r="GB71" s="106"/>
      <c r="GC71" s="106"/>
      <c r="GD71" s="106"/>
      <c r="GE71" s="106"/>
      <c r="GF71" s="106"/>
      <c r="GG71" s="159"/>
    </row>
    <row r="72" spans="2:189" x14ac:dyDescent="0.2">
      <c r="B72" s="97">
        <v>42186</v>
      </c>
      <c r="C72" s="100">
        <v>70.400000000000006</v>
      </c>
      <c r="D72" s="101">
        <v>70.599999999999994</v>
      </c>
      <c r="E72" s="101">
        <v>70.599999999999994</v>
      </c>
      <c r="F72" s="101">
        <v>70.7</v>
      </c>
      <c r="G72" s="100">
        <v>70.5</v>
      </c>
      <c r="H72" s="100">
        <v>70.3</v>
      </c>
      <c r="I72" s="100">
        <v>70.400000000000006</v>
      </c>
      <c r="J72" s="100">
        <v>70.5</v>
      </c>
      <c r="K72" s="100">
        <v>70.599999999999994</v>
      </c>
      <c r="L72" s="100">
        <v>70.5</v>
      </c>
      <c r="M72" s="100">
        <v>70.5</v>
      </c>
      <c r="N72" s="100">
        <v>70.5</v>
      </c>
      <c r="O72" s="100">
        <v>70.5</v>
      </c>
      <c r="P72" s="100">
        <v>70.2</v>
      </c>
      <c r="Q72" s="100">
        <v>70.2</v>
      </c>
      <c r="R72" s="100">
        <v>70.099999999999994</v>
      </c>
      <c r="S72" s="100">
        <v>70.099999999999994</v>
      </c>
      <c r="T72" s="100">
        <v>70.099999999999994</v>
      </c>
      <c r="U72" s="100">
        <v>70.2</v>
      </c>
      <c r="V72" s="100">
        <v>70.3</v>
      </c>
      <c r="W72" s="100">
        <v>70.3</v>
      </c>
      <c r="X72" s="100">
        <v>70.5</v>
      </c>
      <c r="Y72" s="100">
        <v>70.5</v>
      </c>
      <c r="Z72" s="100">
        <v>70.7</v>
      </c>
      <c r="AA72" s="100">
        <v>70.900000000000006</v>
      </c>
      <c r="AB72" s="100">
        <v>71.099999999999994</v>
      </c>
      <c r="AC72" s="100">
        <v>71.2</v>
      </c>
      <c r="AD72" s="100">
        <v>71.099999999999994</v>
      </c>
      <c r="AE72" s="100">
        <v>71</v>
      </c>
      <c r="AF72" s="100">
        <v>71.3</v>
      </c>
      <c r="AG72" s="100">
        <v>71.400000000000006</v>
      </c>
      <c r="AH72" s="100">
        <v>71.400000000000006</v>
      </c>
      <c r="AI72" s="100">
        <v>71.2</v>
      </c>
      <c r="AJ72" s="100">
        <v>71.2</v>
      </c>
      <c r="AK72" s="100">
        <v>71.2</v>
      </c>
      <c r="AL72" s="100">
        <v>71.2</v>
      </c>
      <c r="AM72" s="100">
        <v>71.3</v>
      </c>
      <c r="AN72" s="100">
        <v>71.5</v>
      </c>
      <c r="AO72" s="100">
        <v>71.5</v>
      </c>
      <c r="AP72" s="100">
        <v>71.599999999999994</v>
      </c>
      <c r="AQ72" s="100">
        <v>71.8</v>
      </c>
      <c r="AR72" s="100">
        <v>72</v>
      </c>
      <c r="AS72" s="100">
        <v>72</v>
      </c>
      <c r="AT72" s="100">
        <v>72.099999999999994</v>
      </c>
      <c r="AU72" s="100">
        <v>72.400000000000006</v>
      </c>
      <c r="AV72" s="100">
        <v>72.5</v>
      </c>
      <c r="AW72" s="100">
        <v>72.7</v>
      </c>
      <c r="AX72" s="103">
        <v>72.900000000000006</v>
      </c>
      <c r="AY72" s="100">
        <v>72.8</v>
      </c>
      <c r="AZ72" s="100">
        <v>72.8</v>
      </c>
      <c r="BA72" s="100">
        <v>73</v>
      </c>
      <c r="BB72" s="100">
        <v>73</v>
      </c>
      <c r="BC72" s="100">
        <v>73</v>
      </c>
      <c r="BD72" s="100">
        <v>73</v>
      </c>
      <c r="BE72" s="100">
        <v>73.2</v>
      </c>
      <c r="BF72" s="100">
        <v>73.3</v>
      </c>
      <c r="BG72" s="100">
        <v>73.400000000000006</v>
      </c>
      <c r="BH72" s="100">
        <v>73.5</v>
      </c>
      <c r="BI72" s="100">
        <v>73.400000000000006</v>
      </c>
      <c r="BJ72" s="102">
        <v>73.3</v>
      </c>
      <c r="BK72" s="100"/>
      <c r="BL72" s="100"/>
      <c r="BM72" s="100"/>
      <c r="BN72" s="100"/>
      <c r="BO72" s="100"/>
      <c r="BP72" s="100"/>
      <c r="BQ72" s="100"/>
      <c r="BR72" s="100"/>
      <c r="BS72" s="100"/>
      <c r="BT72" s="100"/>
      <c r="BU72" s="100"/>
      <c r="BV72" s="100"/>
      <c r="BW72" s="100"/>
      <c r="BX72" s="100"/>
      <c r="BY72" s="100"/>
      <c r="BZ72" s="100"/>
      <c r="CA72" s="100"/>
      <c r="CB72" s="100"/>
      <c r="CC72" s="100"/>
      <c r="CD72" s="100"/>
      <c r="CE72" s="100"/>
      <c r="CF72" s="100"/>
      <c r="CG72" s="100"/>
      <c r="CH72" s="100"/>
      <c r="CI72" s="100"/>
      <c r="CJ72" s="100"/>
      <c r="CK72" s="100"/>
      <c r="CL72" s="100"/>
      <c r="CM72" s="100"/>
      <c r="CN72" s="100"/>
      <c r="CO72" s="100"/>
      <c r="CP72" s="100"/>
      <c r="CQ72" s="100"/>
      <c r="CR72" s="100"/>
      <c r="CS72" s="100"/>
      <c r="CT72" s="100"/>
      <c r="CU72" s="100"/>
      <c r="CV72" s="100"/>
      <c r="CW72" s="100"/>
      <c r="CX72" s="100"/>
      <c r="CY72" s="100"/>
      <c r="CZ72" s="100"/>
      <c r="DA72" s="100"/>
      <c r="DB72" s="100"/>
      <c r="DC72" s="100"/>
      <c r="DD72" s="100"/>
      <c r="DE72" s="100"/>
      <c r="DF72" s="100"/>
      <c r="DG72" s="100"/>
      <c r="DH72" s="100"/>
      <c r="DI72" s="100"/>
      <c r="DJ72" s="100"/>
      <c r="DK72" s="100"/>
      <c r="DL72" s="100"/>
      <c r="DM72" s="100"/>
      <c r="DN72" s="100"/>
      <c r="DO72" s="100"/>
      <c r="DP72" s="100"/>
      <c r="DQ72" s="100"/>
      <c r="DR72" s="100"/>
      <c r="DS72" s="100"/>
      <c r="DT72" s="100"/>
      <c r="DU72" s="100"/>
      <c r="DV72" s="100"/>
      <c r="DW72" s="100"/>
      <c r="DX72" s="100"/>
      <c r="DY72" s="100"/>
      <c r="DZ72" s="100"/>
      <c r="EA72" s="100"/>
      <c r="EB72" s="100"/>
      <c r="EC72" s="100"/>
      <c r="ED72" s="100"/>
      <c r="EE72" s="100"/>
      <c r="EF72" s="100"/>
      <c r="EG72" s="100"/>
      <c r="EH72" s="100"/>
      <c r="EI72" s="100"/>
      <c r="EJ72" s="100"/>
      <c r="EK72" s="100"/>
      <c r="EL72" s="100"/>
      <c r="EM72" s="100"/>
      <c r="EN72" s="100"/>
      <c r="EO72" s="100"/>
      <c r="EP72" s="100"/>
      <c r="EQ72" s="106"/>
      <c r="ER72" s="106"/>
      <c r="ES72" s="106"/>
      <c r="ET72" s="106"/>
      <c r="EU72" s="106"/>
      <c r="EV72" s="106"/>
      <c r="EW72" s="106"/>
      <c r="EX72" s="106"/>
      <c r="EY72" s="106"/>
      <c r="EZ72" s="106"/>
      <c r="FA72" s="106"/>
      <c r="FB72" s="106"/>
      <c r="FC72" s="106"/>
      <c r="FD72" s="106"/>
      <c r="FE72" s="106"/>
      <c r="FF72" s="106"/>
      <c r="FG72" s="106"/>
      <c r="FH72" s="106"/>
      <c r="FI72" s="106"/>
      <c r="FJ72" s="106"/>
      <c r="FK72" s="106"/>
      <c r="FL72" s="106"/>
      <c r="FM72" s="106"/>
      <c r="FN72" s="106"/>
      <c r="FO72" s="106"/>
      <c r="FP72" s="106"/>
      <c r="FQ72" s="106"/>
      <c r="FR72" s="106"/>
      <c r="FS72" s="106"/>
      <c r="FT72" s="106"/>
      <c r="FU72" s="106"/>
      <c r="FV72" s="106"/>
      <c r="FW72" s="106"/>
      <c r="FX72" s="106"/>
      <c r="FY72" s="106"/>
      <c r="FZ72" s="106"/>
      <c r="GA72" s="106"/>
      <c r="GB72" s="106"/>
      <c r="GC72" s="106"/>
      <c r="GD72" s="106"/>
      <c r="GE72" s="106"/>
      <c r="GF72" s="106"/>
      <c r="GG72" s="159"/>
    </row>
    <row r="73" spans="2:189" x14ac:dyDescent="0.2">
      <c r="B73" s="97">
        <v>42217</v>
      </c>
      <c r="C73" s="100">
        <v>70.400000000000006</v>
      </c>
      <c r="D73" s="101">
        <v>70.599999999999994</v>
      </c>
      <c r="E73" s="101">
        <v>70.599999999999994</v>
      </c>
      <c r="F73" s="101">
        <v>70.7</v>
      </c>
      <c r="G73" s="100">
        <v>70.5</v>
      </c>
      <c r="H73" s="100">
        <v>70.3</v>
      </c>
      <c r="I73" s="100">
        <v>70.400000000000006</v>
      </c>
      <c r="J73" s="100">
        <v>70.5</v>
      </c>
      <c r="K73" s="100">
        <v>70.599999999999994</v>
      </c>
      <c r="L73" s="100">
        <v>70.5</v>
      </c>
      <c r="M73" s="100">
        <v>70.5</v>
      </c>
      <c r="N73" s="100">
        <v>70.5</v>
      </c>
      <c r="O73" s="100">
        <v>70.5</v>
      </c>
      <c r="P73" s="100">
        <v>70.2</v>
      </c>
      <c r="Q73" s="100">
        <v>70.2</v>
      </c>
      <c r="R73" s="100">
        <v>70.099999999999994</v>
      </c>
      <c r="S73" s="100">
        <v>70.099999999999994</v>
      </c>
      <c r="T73" s="100">
        <v>70.099999999999994</v>
      </c>
      <c r="U73" s="100">
        <v>70.2</v>
      </c>
      <c r="V73" s="100">
        <v>70.3</v>
      </c>
      <c r="W73" s="100">
        <v>70.3</v>
      </c>
      <c r="X73" s="100">
        <v>70.5</v>
      </c>
      <c r="Y73" s="100">
        <v>70.5</v>
      </c>
      <c r="Z73" s="100">
        <v>70.7</v>
      </c>
      <c r="AA73" s="100">
        <v>70.900000000000006</v>
      </c>
      <c r="AB73" s="100">
        <v>71.099999999999994</v>
      </c>
      <c r="AC73" s="100">
        <v>71.2</v>
      </c>
      <c r="AD73" s="100">
        <v>71.099999999999994</v>
      </c>
      <c r="AE73" s="100">
        <v>71</v>
      </c>
      <c r="AF73" s="100">
        <v>71.3</v>
      </c>
      <c r="AG73" s="100">
        <v>71.400000000000006</v>
      </c>
      <c r="AH73" s="100">
        <v>71.400000000000006</v>
      </c>
      <c r="AI73" s="100">
        <v>71.2</v>
      </c>
      <c r="AJ73" s="100">
        <v>71.2</v>
      </c>
      <c r="AK73" s="100">
        <v>71.2</v>
      </c>
      <c r="AL73" s="100">
        <v>71.2</v>
      </c>
      <c r="AM73" s="100">
        <v>71.3</v>
      </c>
      <c r="AN73" s="100">
        <v>71.5</v>
      </c>
      <c r="AO73" s="100">
        <v>71.5</v>
      </c>
      <c r="AP73" s="100">
        <v>71.599999999999994</v>
      </c>
      <c r="AQ73" s="100">
        <v>71.8</v>
      </c>
      <c r="AR73" s="100">
        <v>72</v>
      </c>
      <c r="AS73" s="100">
        <v>72</v>
      </c>
      <c r="AT73" s="100">
        <v>72.099999999999994</v>
      </c>
      <c r="AU73" s="100">
        <v>72.400000000000006</v>
      </c>
      <c r="AV73" s="100">
        <v>72.5</v>
      </c>
      <c r="AW73" s="100">
        <v>72.7</v>
      </c>
      <c r="AX73" s="100">
        <v>72.900000000000006</v>
      </c>
      <c r="AY73" s="103">
        <v>72.8</v>
      </c>
      <c r="AZ73" s="100">
        <v>72.8</v>
      </c>
      <c r="BA73" s="100">
        <v>73</v>
      </c>
      <c r="BB73" s="100">
        <v>73</v>
      </c>
      <c r="BC73" s="100">
        <v>73</v>
      </c>
      <c r="BD73" s="100">
        <v>73</v>
      </c>
      <c r="BE73" s="100">
        <v>73.2</v>
      </c>
      <c r="BF73" s="100">
        <v>73.3</v>
      </c>
      <c r="BG73" s="100">
        <v>73.400000000000006</v>
      </c>
      <c r="BH73" s="100">
        <v>73.5</v>
      </c>
      <c r="BI73" s="100">
        <v>73.400000000000006</v>
      </c>
      <c r="BJ73" s="100">
        <v>73.3</v>
      </c>
      <c r="BK73" s="102">
        <v>73.400000000000006</v>
      </c>
      <c r="BL73" s="100"/>
      <c r="BM73" s="100"/>
      <c r="BN73" s="100"/>
      <c r="BO73" s="100"/>
      <c r="BP73" s="100"/>
      <c r="BQ73" s="100"/>
      <c r="BR73" s="100"/>
      <c r="BS73" s="100"/>
      <c r="BT73" s="100"/>
      <c r="BU73" s="100"/>
      <c r="BV73" s="100"/>
      <c r="BW73" s="100"/>
      <c r="BX73" s="100"/>
      <c r="BY73" s="100"/>
      <c r="BZ73" s="100"/>
      <c r="CA73" s="100"/>
      <c r="CB73" s="100"/>
      <c r="CC73" s="100"/>
      <c r="CD73" s="100"/>
      <c r="CE73" s="100"/>
      <c r="CF73" s="100"/>
      <c r="CG73" s="100"/>
      <c r="CH73" s="100"/>
      <c r="CI73" s="100"/>
      <c r="CJ73" s="100"/>
      <c r="CK73" s="100"/>
      <c r="CL73" s="100"/>
      <c r="CM73" s="100"/>
      <c r="CN73" s="100"/>
      <c r="CO73" s="100"/>
      <c r="CP73" s="100"/>
      <c r="CQ73" s="100"/>
      <c r="CR73" s="100"/>
      <c r="CS73" s="100"/>
      <c r="CT73" s="100"/>
      <c r="CU73" s="100"/>
      <c r="CV73" s="100"/>
      <c r="CW73" s="100"/>
      <c r="CX73" s="100"/>
      <c r="CY73" s="100"/>
      <c r="CZ73" s="100"/>
      <c r="DA73" s="100"/>
      <c r="DB73" s="100"/>
      <c r="DC73" s="100"/>
      <c r="DD73" s="100"/>
      <c r="DE73" s="100"/>
      <c r="DF73" s="100"/>
      <c r="DG73" s="100"/>
      <c r="DH73" s="100"/>
      <c r="DI73" s="100"/>
      <c r="DJ73" s="100"/>
      <c r="DK73" s="100"/>
      <c r="DL73" s="100"/>
      <c r="DM73" s="100"/>
      <c r="DN73" s="100"/>
      <c r="DO73" s="100"/>
      <c r="DP73" s="100"/>
      <c r="DQ73" s="100"/>
      <c r="DR73" s="100"/>
      <c r="DS73" s="100"/>
      <c r="DT73" s="100"/>
      <c r="DU73" s="100"/>
      <c r="DV73" s="100"/>
      <c r="DW73" s="100"/>
      <c r="DX73" s="100"/>
      <c r="DY73" s="100"/>
      <c r="DZ73" s="100"/>
      <c r="EA73" s="100"/>
      <c r="EB73" s="100"/>
      <c r="EC73" s="100"/>
      <c r="ED73" s="100"/>
      <c r="EE73" s="100"/>
      <c r="EF73" s="100"/>
      <c r="EG73" s="100"/>
      <c r="EH73" s="100"/>
      <c r="EI73" s="100"/>
      <c r="EJ73" s="100"/>
      <c r="EK73" s="100"/>
      <c r="EL73" s="100"/>
      <c r="EM73" s="100"/>
      <c r="EN73" s="100"/>
      <c r="EO73" s="100"/>
      <c r="EP73" s="100"/>
      <c r="EQ73" s="106"/>
      <c r="ER73" s="106"/>
      <c r="ES73" s="106"/>
      <c r="ET73" s="106"/>
      <c r="EU73" s="106"/>
      <c r="EV73" s="106"/>
      <c r="EW73" s="106"/>
      <c r="EX73" s="106"/>
      <c r="EY73" s="106"/>
      <c r="EZ73" s="106"/>
      <c r="FA73" s="106"/>
      <c r="FB73" s="106"/>
      <c r="FC73" s="106"/>
      <c r="FD73" s="106"/>
      <c r="FE73" s="106"/>
      <c r="FF73" s="106"/>
      <c r="FG73" s="106"/>
      <c r="FH73" s="106"/>
      <c r="FI73" s="106"/>
      <c r="FJ73" s="106"/>
      <c r="FK73" s="106"/>
      <c r="FL73" s="106"/>
      <c r="FM73" s="106"/>
      <c r="FN73" s="106"/>
      <c r="FO73" s="106"/>
      <c r="FP73" s="106"/>
      <c r="FQ73" s="106"/>
      <c r="FR73" s="106"/>
      <c r="FS73" s="106"/>
      <c r="FT73" s="106"/>
      <c r="FU73" s="106"/>
      <c r="FV73" s="106"/>
      <c r="FW73" s="106"/>
      <c r="FX73" s="106"/>
      <c r="FY73" s="106"/>
      <c r="FZ73" s="106"/>
      <c r="GA73" s="106"/>
      <c r="GB73" s="106"/>
      <c r="GC73" s="106"/>
      <c r="GD73" s="106"/>
      <c r="GE73" s="106"/>
      <c r="GF73" s="106"/>
      <c r="GG73" s="159"/>
    </row>
    <row r="74" spans="2:189" x14ac:dyDescent="0.2">
      <c r="B74" s="97">
        <v>42248</v>
      </c>
      <c r="C74" s="100">
        <v>70.400000000000006</v>
      </c>
      <c r="D74" s="101">
        <v>70.599999999999994</v>
      </c>
      <c r="E74" s="101">
        <v>70.599999999999994</v>
      </c>
      <c r="F74" s="101">
        <v>70.7</v>
      </c>
      <c r="G74" s="100">
        <v>70.5</v>
      </c>
      <c r="H74" s="100">
        <v>70.3</v>
      </c>
      <c r="I74" s="100">
        <v>70.400000000000006</v>
      </c>
      <c r="J74" s="100">
        <v>70.5</v>
      </c>
      <c r="K74" s="100">
        <v>70.599999999999994</v>
      </c>
      <c r="L74" s="100">
        <v>70.5</v>
      </c>
      <c r="M74" s="100">
        <v>70.5</v>
      </c>
      <c r="N74" s="100">
        <v>70.5</v>
      </c>
      <c r="O74" s="100">
        <v>70.5</v>
      </c>
      <c r="P74" s="100">
        <v>70.2</v>
      </c>
      <c r="Q74" s="100">
        <v>70.2</v>
      </c>
      <c r="R74" s="100">
        <v>70.099999999999994</v>
      </c>
      <c r="S74" s="100">
        <v>70.099999999999994</v>
      </c>
      <c r="T74" s="100">
        <v>70.099999999999994</v>
      </c>
      <c r="U74" s="100">
        <v>70.2</v>
      </c>
      <c r="V74" s="100">
        <v>70.3</v>
      </c>
      <c r="W74" s="100">
        <v>70.3</v>
      </c>
      <c r="X74" s="100">
        <v>70.5</v>
      </c>
      <c r="Y74" s="100">
        <v>70.5</v>
      </c>
      <c r="Z74" s="100">
        <v>70.7</v>
      </c>
      <c r="AA74" s="100">
        <v>70.900000000000006</v>
      </c>
      <c r="AB74" s="100">
        <v>71.099999999999994</v>
      </c>
      <c r="AC74" s="100">
        <v>71.2</v>
      </c>
      <c r="AD74" s="100">
        <v>71.099999999999994</v>
      </c>
      <c r="AE74" s="100">
        <v>71</v>
      </c>
      <c r="AF74" s="100">
        <v>71.3</v>
      </c>
      <c r="AG74" s="100">
        <v>71.400000000000006</v>
      </c>
      <c r="AH74" s="100">
        <v>71.400000000000006</v>
      </c>
      <c r="AI74" s="100">
        <v>71.2</v>
      </c>
      <c r="AJ74" s="100">
        <v>71.2</v>
      </c>
      <c r="AK74" s="100">
        <v>71.2</v>
      </c>
      <c r="AL74" s="100">
        <v>71.2</v>
      </c>
      <c r="AM74" s="100">
        <v>71.3</v>
      </c>
      <c r="AN74" s="100">
        <v>71.5</v>
      </c>
      <c r="AO74" s="100">
        <v>71.5</v>
      </c>
      <c r="AP74" s="100">
        <v>71.599999999999994</v>
      </c>
      <c r="AQ74" s="100">
        <v>71.8</v>
      </c>
      <c r="AR74" s="100">
        <v>72</v>
      </c>
      <c r="AS74" s="100">
        <v>72</v>
      </c>
      <c r="AT74" s="100">
        <v>72.099999999999994</v>
      </c>
      <c r="AU74" s="100">
        <v>72.400000000000006</v>
      </c>
      <c r="AV74" s="100">
        <v>72.5</v>
      </c>
      <c r="AW74" s="100">
        <v>72.7</v>
      </c>
      <c r="AX74" s="100">
        <v>72.900000000000006</v>
      </c>
      <c r="AY74" s="100">
        <v>72.8</v>
      </c>
      <c r="AZ74" s="103">
        <v>72.8</v>
      </c>
      <c r="BA74" s="100">
        <v>73</v>
      </c>
      <c r="BB74" s="100">
        <v>73</v>
      </c>
      <c r="BC74" s="100">
        <v>73</v>
      </c>
      <c r="BD74" s="100">
        <v>73</v>
      </c>
      <c r="BE74" s="100">
        <v>73.2</v>
      </c>
      <c r="BF74" s="100">
        <v>73.3</v>
      </c>
      <c r="BG74" s="100">
        <v>73.400000000000006</v>
      </c>
      <c r="BH74" s="100">
        <v>73.5</v>
      </c>
      <c r="BI74" s="100">
        <v>73.400000000000006</v>
      </c>
      <c r="BJ74" s="100">
        <v>73.3</v>
      </c>
      <c r="BK74" s="100">
        <v>73.400000000000006</v>
      </c>
      <c r="BL74" s="102">
        <v>73.5</v>
      </c>
      <c r="BM74" s="100"/>
      <c r="BN74" s="100"/>
      <c r="BO74" s="100"/>
      <c r="BP74" s="100"/>
      <c r="BQ74" s="100"/>
      <c r="BR74" s="100"/>
      <c r="BS74" s="100"/>
      <c r="BT74" s="100"/>
      <c r="BU74" s="100"/>
      <c r="BV74" s="100"/>
      <c r="BW74" s="100"/>
      <c r="BX74" s="100"/>
      <c r="BY74" s="100"/>
      <c r="BZ74" s="100"/>
      <c r="CA74" s="100"/>
      <c r="CB74" s="100"/>
      <c r="CC74" s="100"/>
      <c r="CD74" s="100"/>
      <c r="CE74" s="100"/>
      <c r="CF74" s="100"/>
      <c r="CG74" s="100"/>
      <c r="CH74" s="100"/>
      <c r="CI74" s="100"/>
      <c r="CJ74" s="100"/>
      <c r="CK74" s="100"/>
      <c r="CL74" s="100"/>
      <c r="CM74" s="100"/>
      <c r="CN74" s="100"/>
      <c r="CO74" s="100"/>
      <c r="CP74" s="100"/>
      <c r="CQ74" s="100"/>
      <c r="CR74" s="100"/>
      <c r="CS74" s="100"/>
      <c r="CT74" s="100"/>
      <c r="CU74" s="100"/>
      <c r="CV74" s="100"/>
      <c r="CW74" s="100"/>
      <c r="CX74" s="100"/>
      <c r="CY74" s="100"/>
      <c r="CZ74" s="100"/>
      <c r="DA74" s="100"/>
      <c r="DB74" s="100"/>
      <c r="DC74" s="100"/>
      <c r="DD74" s="100"/>
      <c r="DE74" s="100"/>
      <c r="DF74" s="100"/>
      <c r="DG74" s="100"/>
      <c r="DH74" s="100"/>
      <c r="DI74" s="100"/>
      <c r="DJ74" s="100"/>
      <c r="DK74" s="100"/>
      <c r="DL74" s="100"/>
      <c r="DM74" s="100"/>
      <c r="DN74" s="100"/>
      <c r="DO74" s="100"/>
      <c r="DP74" s="100"/>
      <c r="DQ74" s="100"/>
      <c r="DR74" s="100"/>
      <c r="DS74" s="100"/>
      <c r="DT74" s="100"/>
      <c r="DU74" s="100"/>
      <c r="DV74" s="100"/>
      <c r="DW74" s="100"/>
      <c r="DX74" s="100"/>
      <c r="DY74" s="100"/>
      <c r="DZ74" s="100"/>
      <c r="EA74" s="100"/>
      <c r="EB74" s="100"/>
      <c r="EC74" s="100"/>
      <c r="ED74" s="100"/>
      <c r="EE74" s="100"/>
      <c r="EF74" s="100"/>
      <c r="EG74" s="100"/>
      <c r="EH74" s="100"/>
      <c r="EI74" s="100"/>
      <c r="EJ74" s="100"/>
      <c r="EK74" s="100"/>
      <c r="EL74" s="100"/>
      <c r="EM74" s="100"/>
      <c r="EN74" s="100"/>
      <c r="EO74" s="100"/>
      <c r="EP74" s="100"/>
      <c r="EQ74" s="106"/>
      <c r="ER74" s="106"/>
      <c r="ES74" s="106"/>
      <c r="ET74" s="106"/>
      <c r="EU74" s="106"/>
      <c r="EV74" s="106"/>
      <c r="EW74" s="106"/>
      <c r="EX74" s="106"/>
      <c r="EY74" s="106"/>
      <c r="EZ74" s="106"/>
      <c r="FA74" s="106"/>
      <c r="FB74" s="106"/>
      <c r="FC74" s="106"/>
      <c r="FD74" s="106"/>
      <c r="FE74" s="106"/>
      <c r="FF74" s="106"/>
      <c r="FG74" s="106"/>
      <c r="FH74" s="106"/>
      <c r="FI74" s="106"/>
      <c r="FJ74" s="106"/>
      <c r="FK74" s="106"/>
      <c r="FL74" s="106"/>
      <c r="FM74" s="106"/>
      <c r="FN74" s="106"/>
      <c r="FO74" s="106"/>
      <c r="FP74" s="106"/>
      <c r="FQ74" s="106"/>
      <c r="FR74" s="106"/>
      <c r="FS74" s="106"/>
      <c r="FT74" s="106"/>
      <c r="FU74" s="106"/>
      <c r="FV74" s="106"/>
      <c r="FW74" s="106"/>
      <c r="FX74" s="106"/>
      <c r="FY74" s="106"/>
      <c r="FZ74" s="106"/>
      <c r="GA74" s="106"/>
      <c r="GB74" s="106"/>
      <c r="GC74" s="106"/>
      <c r="GD74" s="106"/>
      <c r="GE74" s="106"/>
      <c r="GF74" s="106"/>
      <c r="GG74" s="159"/>
    </row>
    <row r="75" spans="2:189" x14ac:dyDescent="0.2">
      <c r="B75" s="97">
        <v>42278</v>
      </c>
      <c r="C75" s="100">
        <v>70.400000000000006</v>
      </c>
      <c r="D75" s="101">
        <v>70.599999999999994</v>
      </c>
      <c r="E75" s="101">
        <v>70.599999999999994</v>
      </c>
      <c r="F75" s="101">
        <v>70.7</v>
      </c>
      <c r="G75" s="100">
        <v>70.5</v>
      </c>
      <c r="H75" s="100">
        <v>70.3</v>
      </c>
      <c r="I75" s="100">
        <v>70.400000000000006</v>
      </c>
      <c r="J75" s="100">
        <v>70.5</v>
      </c>
      <c r="K75" s="100">
        <v>70.599999999999994</v>
      </c>
      <c r="L75" s="100">
        <v>70.5</v>
      </c>
      <c r="M75" s="100">
        <v>70.5</v>
      </c>
      <c r="N75" s="100">
        <v>70.5</v>
      </c>
      <c r="O75" s="100">
        <v>70.5</v>
      </c>
      <c r="P75" s="100">
        <v>70.2</v>
      </c>
      <c r="Q75" s="100">
        <v>70.2</v>
      </c>
      <c r="R75" s="100">
        <v>70.099999999999994</v>
      </c>
      <c r="S75" s="100">
        <v>70.099999999999994</v>
      </c>
      <c r="T75" s="100">
        <v>70.099999999999994</v>
      </c>
      <c r="U75" s="100">
        <v>70.2</v>
      </c>
      <c r="V75" s="100">
        <v>70.3</v>
      </c>
      <c r="W75" s="100">
        <v>70.3</v>
      </c>
      <c r="X75" s="100">
        <v>70.5</v>
      </c>
      <c r="Y75" s="100">
        <v>70.5</v>
      </c>
      <c r="Z75" s="100">
        <v>70.7</v>
      </c>
      <c r="AA75" s="100">
        <v>70.900000000000006</v>
      </c>
      <c r="AB75" s="100">
        <v>71.099999999999994</v>
      </c>
      <c r="AC75" s="100">
        <v>71.2</v>
      </c>
      <c r="AD75" s="100">
        <v>71.099999999999994</v>
      </c>
      <c r="AE75" s="100">
        <v>71</v>
      </c>
      <c r="AF75" s="100">
        <v>71.3</v>
      </c>
      <c r="AG75" s="100">
        <v>71.400000000000006</v>
      </c>
      <c r="AH75" s="100">
        <v>71.400000000000006</v>
      </c>
      <c r="AI75" s="100">
        <v>71.2</v>
      </c>
      <c r="AJ75" s="100">
        <v>71.2</v>
      </c>
      <c r="AK75" s="100">
        <v>71.2</v>
      </c>
      <c r="AL75" s="100">
        <v>71.2</v>
      </c>
      <c r="AM75" s="100">
        <v>71.3</v>
      </c>
      <c r="AN75" s="100">
        <v>71.5</v>
      </c>
      <c r="AO75" s="100">
        <v>71.5</v>
      </c>
      <c r="AP75" s="100">
        <v>71.599999999999994</v>
      </c>
      <c r="AQ75" s="100">
        <v>71.8</v>
      </c>
      <c r="AR75" s="100">
        <v>72</v>
      </c>
      <c r="AS75" s="100">
        <v>72</v>
      </c>
      <c r="AT75" s="100">
        <v>72.099999999999994</v>
      </c>
      <c r="AU75" s="100">
        <v>72.400000000000006</v>
      </c>
      <c r="AV75" s="100">
        <v>72.5</v>
      </c>
      <c r="AW75" s="100">
        <v>72.7</v>
      </c>
      <c r="AX75" s="100">
        <v>72.900000000000006</v>
      </c>
      <c r="AY75" s="100">
        <v>72.8</v>
      </c>
      <c r="AZ75" s="100">
        <v>72.8</v>
      </c>
      <c r="BA75" s="103">
        <v>73</v>
      </c>
      <c r="BB75" s="100">
        <v>73</v>
      </c>
      <c r="BC75" s="100">
        <v>73</v>
      </c>
      <c r="BD75" s="100">
        <v>73</v>
      </c>
      <c r="BE75" s="100">
        <v>73.2</v>
      </c>
      <c r="BF75" s="100">
        <v>73.3</v>
      </c>
      <c r="BG75" s="100">
        <v>73.400000000000006</v>
      </c>
      <c r="BH75" s="100">
        <v>73.5</v>
      </c>
      <c r="BI75" s="100">
        <v>73.400000000000006</v>
      </c>
      <c r="BJ75" s="100">
        <v>73.3</v>
      </c>
      <c r="BK75" s="100">
        <v>73.400000000000006</v>
      </c>
      <c r="BL75" s="100">
        <v>73.5</v>
      </c>
      <c r="BM75" s="102">
        <v>73.599999999999994</v>
      </c>
      <c r="BN75" s="100"/>
      <c r="BO75" s="100"/>
      <c r="BP75" s="100"/>
      <c r="BQ75" s="100"/>
      <c r="BR75" s="100"/>
      <c r="BS75" s="100"/>
      <c r="BT75" s="100"/>
      <c r="BU75" s="100"/>
      <c r="BV75" s="100"/>
      <c r="BW75" s="100"/>
      <c r="BX75" s="100"/>
      <c r="BY75" s="100"/>
      <c r="BZ75" s="100"/>
      <c r="CA75" s="100"/>
      <c r="CB75" s="100"/>
      <c r="CC75" s="100"/>
      <c r="CD75" s="100"/>
      <c r="CE75" s="100"/>
      <c r="CF75" s="100"/>
      <c r="CG75" s="100"/>
      <c r="CH75" s="100"/>
      <c r="CI75" s="100"/>
      <c r="CJ75" s="100"/>
      <c r="CK75" s="100"/>
      <c r="CL75" s="100"/>
      <c r="CM75" s="100"/>
      <c r="CN75" s="100"/>
      <c r="CO75" s="100"/>
      <c r="CP75" s="100"/>
      <c r="CQ75" s="100"/>
      <c r="CR75" s="100"/>
      <c r="CS75" s="100"/>
      <c r="CT75" s="100"/>
      <c r="CU75" s="100"/>
      <c r="CV75" s="100"/>
      <c r="CW75" s="100"/>
      <c r="CX75" s="100"/>
      <c r="CY75" s="100"/>
      <c r="CZ75" s="100"/>
      <c r="DA75" s="100"/>
      <c r="DB75" s="100"/>
      <c r="DC75" s="100"/>
      <c r="DD75" s="100"/>
      <c r="DE75" s="100"/>
      <c r="DF75" s="100"/>
      <c r="DG75" s="100"/>
      <c r="DH75" s="100"/>
      <c r="DI75" s="100"/>
      <c r="DJ75" s="100"/>
      <c r="DK75" s="100"/>
      <c r="DL75" s="100"/>
      <c r="DM75" s="100"/>
      <c r="DN75" s="100"/>
      <c r="DO75" s="100"/>
      <c r="DP75" s="100"/>
      <c r="DQ75" s="100"/>
      <c r="DR75" s="100"/>
      <c r="DS75" s="100"/>
      <c r="DT75" s="100"/>
      <c r="DU75" s="100"/>
      <c r="DV75" s="100"/>
      <c r="DW75" s="100"/>
      <c r="DX75" s="100"/>
      <c r="DY75" s="100"/>
      <c r="DZ75" s="100"/>
      <c r="EA75" s="100"/>
      <c r="EB75" s="100"/>
      <c r="EC75" s="100"/>
      <c r="ED75" s="100"/>
      <c r="EE75" s="100"/>
      <c r="EF75" s="100"/>
      <c r="EG75" s="100"/>
      <c r="EH75" s="100"/>
      <c r="EI75" s="100"/>
      <c r="EJ75" s="100"/>
      <c r="EK75" s="100"/>
      <c r="EL75" s="100"/>
      <c r="EM75" s="100"/>
      <c r="EN75" s="100"/>
      <c r="EO75" s="100"/>
      <c r="EP75" s="100"/>
      <c r="EQ75" s="106"/>
      <c r="ER75" s="106"/>
      <c r="ES75" s="106"/>
      <c r="ET75" s="106"/>
      <c r="EU75" s="106"/>
      <c r="EV75" s="106"/>
      <c r="EW75" s="106"/>
      <c r="EX75" s="106"/>
      <c r="EY75" s="106"/>
      <c r="EZ75" s="106"/>
      <c r="FA75" s="106"/>
      <c r="FB75" s="106"/>
      <c r="FC75" s="106"/>
      <c r="FD75" s="106"/>
      <c r="FE75" s="106"/>
      <c r="FF75" s="106"/>
      <c r="FG75" s="106"/>
      <c r="FH75" s="106"/>
      <c r="FI75" s="106"/>
      <c r="FJ75" s="106"/>
      <c r="FK75" s="106"/>
      <c r="FL75" s="106"/>
      <c r="FM75" s="106"/>
      <c r="FN75" s="106"/>
      <c r="FO75" s="106"/>
      <c r="FP75" s="106"/>
      <c r="FQ75" s="106"/>
      <c r="FR75" s="106"/>
      <c r="FS75" s="106"/>
      <c r="FT75" s="106"/>
      <c r="FU75" s="106"/>
      <c r="FV75" s="106"/>
      <c r="FW75" s="106"/>
      <c r="FX75" s="106"/>
      <c r="FY75" s="106"/>
      <c r="FZ75" s="106"/>
      <c r="GA75" s="106"/>
      <c r="GB75" s="106"/>
      <c r="GC75" s="106"/>
      <c r="GD75" s="106"/>
      <c r="GE75" s="106"/>
      <c r="GF75" s="106"/>
      <c r="GG75" s="159"/>
    </row>
    <row r="76" spans="2:189" x14ac:dyDescent="0.2">
      <c r="B76" s="97">
        <v>42309</v>
      </c>
      <c r="C76" s="100">
        <v>70.400000000000006</v>
      </c>
      <c r="D76" s="101">
        <v>70.599999999999994</v>
      </c>
      <c r="E76" s="101">
        <v>70.599999999999994</v>
      </c>
      <c r="F76" s="101">
        <v>70.7</v>
      </c>
      <c r="G76" s="100">
        <v>70.5</v>
      </c>
      <c r="H76" s="100">
        <v>70.3</v>
      </c>
      <c r="I76" s="100">
        <v>70.400000000000006</v>
      </c>
      <c r="J76" s="100">
        <v>70.5</v>
      </c>
      <c r="K76" s="100">
        <v>70.599999999999994</v>
      </c>
      <c r="L76" s="100">
        <v>70.5</v>
      </c>
      <c r="M76" s="100">
        <v>70.5</v>
      </c>
      <c r="N76" s="100">
        <v>70.5</v>
      </c>
      <c r="O76" s="100">
        <v>70.5</v>
      </c>
      <c r="P76" s="100">
        <v>70.2</v>
      </c>
      <c r="Q76" s="100">
        <v>70.2</v>
      </c>
      <c r="R76" s="100">
        <v>70.099999999999994</v>
      </c>
      <c r="S76" s="100">
        <v>70.099999999999994</v>
      </c>
      <c r="T76" s="100">
        <v>70.099999999999994</v>
      </c>
      <c r="U76" s="100">
        <v>70.2</v>
      </c>
      <c r="V76" s="100">
        <v>70.3</v>
      </c>
      <c r="W76" s="100">
        <v>70.3</v>
      </c>
      <c r="X76" s="100">
        <v>70.5</v>
      </c>
      <c r="Y76" s="100">
        <v>70.5</v>
      </c>
      <c r="Z76" s="100">
        <v>70.7</v>
      </c>
      <c r="AA76" s="100">
        <v>70.900000000000006</v>
      </c>
      <c r="AB76" s="100">
        <v>71.099999999999994</v>
      </c>
      <c r="AC76" s="100">
        <v>71.2</v>
      </c>
      <c r="AD76" s="100">
        <v>71.099999999999994</v>
      </c>
      <c r="AE76" s="100">
        <v>71</v>
      </c>
      <c r="AF76" s="100">
        <v>71.3</v>
      </c>
      <c r="AG76" s="100">
        <v>71.400000000000006</v>
      </c>
      <c r="AH76" s="100">
        <v>71.400000000000006</v>
      </c>
      <c r="AI76" s="100">
        <v>71.2</v>
      </c>
      <c r="AJ76" s="100">
        <v>71.2</v>
      </c>
      <c r="AK76" s="100">
        <v>71.2</v>
      </c>
      <c r="AL76" s="100">
        <v>71.2</v>
      </c>
      <c r="AM76" s="100">
        <v>71.3</v>
      </c>
      <c r="AN76" s="100">
        <v>71.5</v>
      </c>
      <c r="AO76" s="100">
        <v>71.5</v>
      </c>
      <c r="AP76" s="100">
        <v>71.599999999999994</v>
      </c>
      <c r="AQ76" s="100">
        <v>71.8</v>
      </c>
      <c r="AR76" s="100">
        <v>72</v>
      </c>
      <c r="AS76" s="100">
        <v>72</v>
      </c>
      <c r="AT76" s="100">
        <v>72.099999999999994</v>
      </c>
      <c r="AU76" s="100">
        <v>72.400000000000006</v>
      </c>
      <c r="AV76" s="100">
        <v>72.5</v>
      </c>
      <c r="AW76" s="100">
        <v>72.7</v>
      </c>
      <c r="AX76" s="100">
        <v>72.900000000000006</v>
      </c>
      <c r="AY76" s="100">
        <v>72.8</v>
      </c>
      <c r="AZ76" s="100">
        <v>72.8</v>
      </c>
      <c r="BA76" s="100">
        <v>73</v>
      </c>
      <c r="BB76" s="103">
        <v>73</v>
      </c>
      <c r="BC76" s="100">
        <v>73</v>
      </c>
      <c r="BD76" s="100">
        <v>73</v>
      </c>
      <c r="BE76" s="100">
        <v>73.2</v>
      </c>
      <c r="BF76" s="100">
        <v>73.3</v>
      </c>
      <c r="BG76" s="100">
        <v>73.400000000000006</v>
      </c>
      <c r="BH76" s="100">
        <v>73.5</v>
      </c>
      <c r="BI76" s="100">
        <v>73.400000000000006</v>
      </c>
      <c r="BJ76" s="100">
        <v>73.3</v>
      </c>
      <c r="BK76" s="100">
        <v>73.400000000000006</v>
      </c>
      <c r="BL76" s="100">
        <v>73.5</v>
      </c>
      <c r="BM76" s="100">
        <v>73.599999999999994</v>
      </c>
      <c r="BN76" s="102">
        <v>73.7</v>
      </c>
      <c r="BO76" s="100"/>
      <c r="BP76" s="100"/>
      <c r="BQ76" s="100"/>
      <c r="BR76" s="100"/>
      <c r="BS76" s="100"/>
      <c r="BT76" s="100"/>
      <c r="BU76" s="100"/>
      <c r="BV76" s="100"/>
      <c r="BW76" s="100"/>
      <c r="BX76" s="100"/>
      <c r="BY76" s="100"/>
      <c r="BZ76" s="100"/>
      <c r="CA76" s="100"/>
      <c r="CB76" s="100"/>
      <c r="CC76" s="100"/>
      <c r="CD76" s="100"/>
      <c r="CE76" s="100"/>
      <c r="CF76" s="100"/>
      <c r="CG76" s="100"/>
      <c r="CH76" s="100"/>
      <c r="CI76" s="100"/>
      <c r="CJ76" s="100"/>
      <c r="CK76" s="100"/>
      <c r="CL76" s="100"/>
      <c r="CM76" s="100"/>
      <c r="CN76" s="100"/>
      <c r="CO76" s="100"/>
      <c r="CP76" s="100"/>
      <c r="CQ76" s="100"/>
      <c r="CR76" s="100"/>
      <c r="CS76" s="100"/>
      <c r="CT76" s="100"/>
      <c r="CU76" s="100"/>
      <c r="CV76" s="100"/>
      <c r="CW76" s="100"/>
      <c r="CX76" s="100"/>
      <c r="CY76" s="100"/>
      <c r="CZ76" s="100"/>
      <c r="DA76" s="100"/>
      <c r="DB76" s="100"/>
      <c r="DC76" s="100"/>
      <c r="DD76" s="100"/>
      <c r="DE76" s="100"/>
      <c r="DF76" s="100"/>
      <c r="DG76" s="100"/>
      <c r="DH76" s="100"/>
      <c r="DI76" s="100"/>
      <c r="DJ76" s="100"/>
      <c r="DK76" s="100"/>
      <c r="DL76" s="100"/>
      <c r="DM76" s="100"/>
      <c r="DN76" s="100"/>
      <c r="DO76" s="100"/>
      <c r="DP76" s="100"/>
      <c r="DQ76" s="100"/>
      <c r="DR76" s="100"/>
      <c r="DS76" s="100"/>
      <c r="DT76" s="100"/>
      <c r="DU76" s="100"/>
      <c r="DV76" s="100"/>
      <c r="DW76" s="100"/>
      <c r="DX76" s="100"/>
      <c r="DY76" s="100"/>
      <c r="DZ76" s="100"/>
      <c r="EA76" s="100"/>
      <c r="EB76" s="100"/>
      <c r="EC76" s="100"/>
      <c r="ED76" s="100"/>
      <c r="EE76" s="100"/>
      <c r="EF76" s="100"/>
      <c r="EG76" s="100"/>
      <c r="EH76" s="100"/>
      <c r="EI76" s="100"/>
      <c r="EJ76" s="100"/>
      <c r="EK76" s="100"/>
      <c r="EL76" s="100"/>
      <c r="EM76" s="100"/>
      <c r="EN76" s="100"/>
      <c r="EO76" s="100"/>
      <c r="EP76" s="100"/>
      <c r="EQ76" s="106"/>
      <c r="ER76" s="106"/>
      <c r="ES76" s="106"/>
      <c r="ET76" s="106"/>
      <c r="EU76" s="106"/>
      <c r="EV76" s="106"/>
      <c r="EW76" s="106"/>
      <c r="EX76" s="106"/>
      <c r="EY76" s="106"/>
      <c r="EZ76" s="106"/>
      <c r="FA76" s="106"/>
      <c r="FB76" s="106"/>
      <c r="FC76" s="106"/>
      <c r="FD76" s="106"/>
      <c r="FE76" s="106"/>
      <c r="FF76" s="106"/>
      <c r="FG76" s="106"/>
      <c r="FH76" s="106"/>
      <c r="FI76" s="106"/>
      <c r="FJ76" s="106"/>
      <c r="FK76" s="106"/>
      <c r="FL76" s="106"/>
      <c r="FM76" s="106"/>
      <c r="FN76" s="106"/>
      <c r="FO76" s="106"/>
      <c r="FP76" s="106"/>
      <c r="FQ76" s="106"/>
      <c r="FR76" s="106"/>
      <c r="FS76" s="106"/>
      <c r="FT76" s="106"/>
      <c r="FU76" s="106"/>
      <c r="FV76" s="106"/>
      <c r="FW76" s="106"/>
      <c r="FX76" s="106"/>
      <c r="FY76" s="106"/>
      <c r="FZ76" s="106"/>
      <c r="GA76" s="106"/>
      <c r="GB76" s="106"/>
      <c r="GC76" s="106"/>
      <c r="GD76" s="106"/>
      <c r="GE76" s="106"/>
      <c r="GF76" s="106"/>
      <c r="GG76" s="159"/>
    </row>
    <row r="77" spans="2:189" x14ac:dyDescent="0.2">
      <c r="B77" s="97">
        <v>42339</v>
      </c>
      <c r="C77" s="100">
        <v>70.400000000000006</v>
      </c>
      <c r="D77" s="101">
        <v>70.599999999999994</v>
      </c>
      <c r="E77" s="101">
        <v>70.599999999999994</v>
      </c>
      <c r="F77" s="101">
        <v>70.7</v>
      </c>
      <c r="G77" s="100">
        <v>70.5</v>
      </c>
      <c r="H77" s="100">
        <v>70.3</v>
      </c>
      <c r="I77" s="100">
        <v>70.400000000000006</v>
      </c>
      <c r="J77" s="100">
        <v>70.5</v>
      </c>
      <c r="K77" s="100">
        <v>70.599999999999994</v>
      </c>
      <c r="L77" s="100">
        <v>70.5</v>
      </c>
      <c r="M77" s="100">
        <v>70.5</v>
      </c>
      <c r="N77" s="100">
        <v>70.5</v>
      </c>
      <c r="O77" s="100">
        <v>70.5</v>
      </c>
      <c r="P77" s="100">
        <v>70.2</v>
      </c>
      <c r="Q77" s="100">
        <v>70.2</v>
      </c>
      <c r="R77" s="100">
        <v>70.099999999999994</v>
      </c>
      <c r="S77" s="100">
        <v>70.099999999999994</v>
      </c>
      <c r="T77" s="100">
        <v>70.099999999999994</v>
      </c>
      <c r="U77" s="100">
        <v>70.2</v>
      </c>
      <c r="V77" s="100">
        <v>70.3</v>
      </c>
      <c r="W77" s="100">
        <v>70.3</v>
      </c>
      <c r="X77" s="100">
        <v>70.5</v>
      </c>
      <c r="Y77" s="100">
        <v>70.5</v>
      </c>
      <c r="Z77" s="100">
        <v>70.7</v>
      </c>
      <c r="AA77" s="100">
        <v>70.900000000000006</v>
      </c>
      <c r="AB77" s="100">
        <v>71.099999999999994</v>
      </c>
      <c r="AC77" s="100">
        <v>71.2</v>
      </c>
      <c r="AD77" s="100">
        <v>71.099999999999994</v>
      </c>
      <c r="AE77" s="100">
        <v>71</v>
      </c>
      <c r="AF77" s="100">
        <v>71.3</v>
      </c>
      <c r="AG77" s="100">
        <v>71.400000000000006</v>
      </c>
      <c r="AH77" s="100">
        <v>71.400000000000006</v>
      </c>
      <c r="AI77" s="100">
        <v>71.2</v>
      </c>
      <c r="AJ77" s="100">
        <v>71.2</v>
      </c>
      <c r="AK77" s="100">
        <v>71.2</v>
      </c>
      <c r="AL77" s="100">
        <v>71.2</v>
      </c>
      <c r="AM77" s="100">
        <v>71.3</v>
      </c>
      <c r="AN77" s="100">
        <v>71.5</v>
      </c>
      <c r="AO77" s="100">
        <v>71.5</v>
      </c>
      <c r="AP77" s="100">
        <v>71.599999999999994</v>
      </c>
      <c r="AQ77" s="100">
        <v>71.8</v>
      </c>
      <c r="AR77" s="100">
        <v>72</v>
      </c>
      <c r="AS77" s="100">
        <v>72</v>
      </c>
      <c r="AT77" s="100">
        <v>72.099999999999994</v>
      </c>
      <c r="AU77" s="100">
        <v>72.400000000000006</v>
      </c>
      <c r="AV77" s="100">
        <v>72.5</v>
      </c>
      <c r="AW77" s="100">
        <v>72.7</v>
      </c>
      <c r="AX77" s="100">
        <v>72.900000000000006</v>
      </c>
      <c r="AY77" s="100">
        <v>72.8</v>
      </c>
      <c r="AZ77" s="100">
        <v>72.8</v>
      </c>
      <c r="BA77" s="100">
        <v>73</v>
      </c>
      <c r="BB77" s="100">
        <v>73</v>
      </c>
      <c r="BC77" s="103">
        <v>73</v>
      </c>
      <c r="BD77" s="100">
        <v>73</v>
      </c>
      <c r="BE77" s="100">
        <v>73.2</v>
      </c>
      <c r="BF77" s="100">
        <v>73.3</v>
      </c>
      <c r="BG77" s="100">
        <v>73.400000000000006</v>
      </c>
      <c r="BH77" s="100">
        <v>73.5</v>
      </c>
      <c r="BI77" s="100">
        <v>73.400000000000006</v>
      </c>
      <c r="BJ77" s="100">
        <v>73.3</v>
      </c>
      <c r="BK77" s="100">
        <v>73.400000000000006</v>
      </c>
      <c r="BL77" s="100">
        <v>73.5</v>
      </c>
      <c r="BM77" s="100">
        <v>73.599999999999994</v>
      </c>
      <c r="BN77" s="100">
        <v>73.7</v>
      </c>
      <c r="BO77" s="102">
        <v>73.900000000000006</v>
      </c>
      <c r="BP77" s="100"/>
      <c r="BQ77" s="100"/>
      <c r="BR77" s="100"/>
      <c r="BS77" s="100"/>
      <c r="BT77" s="100"/>
      <c r="BU77" s="100"/>
      <c r="BV77" s="100"/>
      <c r="BW77" s="100"/>
      <c r="BX77" s="100"/>
      <c r="BY77" s="100"/>
      <c r="BZ77" s="100"/>
      <c r="CA77" s="100"/>
      <c r="CB77" s="100"/>
      <c r="CC77" s="100"/>
      <c r="CD77" s="100"/>
      <c r="CE77" s="100"/>
      <c r="CF77" s="100"/>
      <c r="CG77" s="100"/>
      <c r="CH77" s="100"/>
      <c r="CI77" s="100"/>
      <c r="CJ77" s="100"/>
      <c r="CK77" s="100"/>
      <c r="CL77" s="100"/>
      <c r="CM77" s="100"/>
      <c r="CN77" s="100"/>
      <c r="CO77" s="100"/>
      <c r="CP77" s="100"/>
      <c r="CQ77" s="100"/>
      <c r="CR77" s="100"/>
      <c r="CS77" s="100"/>
      <c r="CT77" s="100"/>
      <c r="CU77" s="100"/>
      <c r="CV77" s="100"/>
      <c r="CW77" s="100"/>
      <c r="CX77" s="100"/>
      <c r="CY77" s="100"/>
      <c r="CZ77" s="100"/>
      <c r="DA77" s="100"/>
      <c r="DB77" s="100"/>
      <c r="DC77" s="100"/>
      <c r="DD77" s="100"/>
      <c r="DE77" s="100"/>
      <c r="DF77" s="100"/>
      <c r="DG77" s="100"/>
      <c r="DH77" s="100"/>
      <c r="DI77" s="100"/>
      <c r="DJ77" s="100"/>
      <c r="DK77" s="100"/>
      <c r="DL77" s="100"/>
      <c r="DM77" s="100"/>
      <c r="DN77" s="100"/>
      <c r="DO77" s="100"/>
      <c r="DP77" s="100"/>
      <c r="DQ77" s="100"/>
      <c r="DR77" s="100"/>
      <c r="DS77" s="100"/>
      <c r="DT77" s="100"/>
      <c r="DU77" s="100"/>
      <c r="DV77" s="100"/>
      <c r="DW77" s="100"/>
      <c r="DX77" s="100"/>
      <c r="DY77" s="100"/>
      <c r="DZ77" s="100"/>
      <c r="EA77" s="100"/>
      <c r="EB77" s="100"/>
      <c r="EC77" s="100"/>
      <c r="ED77" s="100"/>
      <c r="EE77" s="100"/>
      <c r="EF77" s="100"/>
      <c r="EG77" s="100"/>
      <c r="EH77" s="100"/>
      <c r="EI77" s="100"/>
      <c r="EJ77" s="100"/>
      <c r="EK77" s="100"/>
      <c r="EL77" s="100"/>
      <c r="EM77" s="100"/>
      <c r="EN77" s="100"/>
      <c r="EO77" s="100"/>
      <c r="EP77" s="100"/>
      <c r="EQ77" s="106"/>
      <c r="ER77" s="106"/>
      <c r="ES77" s="106"/>
      <c r="ET77" s="106"/>
      <c r="EU77" s="106"/>
      <c r="EV77" s="106"/>
      <c r="EW77" s="106"/>
      <c r="EX77" s="106"/>
      <c r="EY77" s="106"/>
      <c r="EZ77" s="106"/>
      <c r="FA77" s="106"/>
      <c r="FB77" s="106"/>
      <c r="FC77" s="106"/>
      <c r="FD77" s="106"/>
      <c r="FE77" s="106"/>
      <c r="FF77" s="106"/>
      <c r="FG77" s="106"/>
      <c r="FH77" s="106"/>
      <c r="FI77" s="106"/>
      <c r="FJ77" s="106"/>
      <c r="FK77" s="106"/>
      <c r="FL77" s="106"/>
      <c r="FM77" s="106"/>
      <c r="FN77" s="106"/>
      <c r="FO77" s="106"/>
      <c r="FP77" s="106"/>
      <c r="FQ77" s="106"/>
      <c r="FR77" s="106"/>
      <c r="FS77" s="106"/>
      <c r="FT77" s="106"/>
      <c r="FU77" s="106"/>
      <c r="FV77" s="106"/>
      <c r="FW77" s="106"/>
      <c r="FX77" s="106"/>
      <c r="FY77" s="106"/>
      <c r="FZ77" s="106"/>
      <c r="GA77" s="106"/>
      <c r="GB77" s="106"/>
      <c r="GC77" s="106"/>
      <c r="GD77" s="106"/>
      <c r="GE77" s="106"/>
      <c r="GF77" s="106"/>
      <c r="GG77" s="159"/>
    </row>
    <row r="78" spans="2:189" x14ac:dyDescent="0.2">
      <c r="B78" s="97">
        <v>42370</v>
      </c>
      <c r="C78" s="100">
        <v>70.400000000000006</v>
      </c>
      <c r="D78" s="101">
        <v>70.599999999999994</v>
      </c>
      <c r="E78" s="101">
        <v>70.599999999999994</v>
      </c>
      <c r="F78" s="101">
        <v>70.7</v>
      </c>
      <c r="G78" s="100">
        <v>70.5</v>
      </c>
      <c r="H78" s="100">
        <v>70.3</v>
      </c>
      <c r="I78" s="100">
        <v>70.400000000000006</v>
      </c>
      <c r="J78" s="100">
        <v>70.5</v>
      </c>
      <c r="K78" s="100">
        <v>70.599999999999994</v>
      </c>
      <c r="L78" s="100">
        <v>70.5</v>
      </c>
      <c r="M78" s="100">
        <v>70.5</v>
      </c>
      <c r="N78" s="100">
        <v>70.5</v>
      </c>
      <c r="O78" s="100">
        <v>70.5</v>
      </c>
      <c r="P78" s="100">
        <v>70.2</v>
      </c>
      <c r="Q78" s="100">
        <v>70.2</v>
      </c>
      <c r="R78" s="100">
        <v>70.099999999999994</v>
      </c>
      <c r="S78" s="100">
        <v>70.099999999999994</v>
      </c>
      <c r="T78" s="100">
        <v>70.099999999999994</v>
      </c>
      <c r="U78" s="100">
        <v>70.2</v>
      </c>
      <c r="V78" s="100">
        <v>70.3</v>
      </c>
      <c r="W78" s="100">
        <v>70.3</v>
      </c>
      <c r="X78" s="100">
        <v>70.5</v>
      </c>
      <c r="Y78" s="100">
        <v>70.5</v>
      </c>
      <c r="Z78" s="100">
        <v>70.7</v>
      </c>
      <c r="AA78" s="100">
        <v>70.900000000000006</v>
      </c>
      <c r="AB78" s="100">
        <v>71.099999999999994</v>
      </c>
      <c r="AC78" s="100">
        <v>71.2</v>
      </c>
      <c r="AD78" s="100">
        <v>71.099999999999994</v>
      </c>
      <c r="AE78" s="100">
        <v>71</v>
      </c>
      <c r="AF78" s="100">
        <v>71.3</v>
      </c>
      <c r="AG78" s="100">
        <v>71.400000000000006</v>
      </c>
      <c r="AH78" s="100">
        <v>71.400000000000006</v>
      </c>
      <c r="AI78" s="100">
        <v>71.2</v>
      </c>
      <c r="AJ78" s="100">
        <v>71.2</v>
      </c>
      <c r="AK78" s="100">
        <v>71.2</v>
      </c>
      <c r="AL78" s="100">
        <v>71.2</v>
      </c>
      <c r="AM78" s="100">
        <v>71.3</v>
      </c>
      <c r="AN78" s="100">
        <v>71.5</v>
      </c>
      <c r="AO78" s="100">
        <v>71.5</v>
      </c>
      <c r="AP78" s="100">
        <v>71.599999999999994</v>
      </c>
      <c r="AQ78" s="100">
        <v>71.8</v>
      </c>
      <c r="AR78" s="100">
        <v>72</v>
      </c>
      <c r="AS78" s="100">
        <v>72</v>
      </c>
      <c r="AT78" s="100">
        <v>72.099999999999994</v>
      </c>
      <c r="AU78" s="100">
        <v>72.400000000000006</v>
      </c>
      <c r="AV78" s="100">
        <v>72.5</v>
      </c>
      <c r="AW78" s="100">
        <v>72.7</v>
      </c>
      <c r="AX78" s="100">
        <v>72.900000000000006</v>
      </c>
      <c r="AY78" s="100">
        <v>72.8</v>
      </c>
      <c r="AZ78" s="100">
        <v>72.8</v>
      </c>
      <c r="BA78" s="100">
        <v>73</v>
      </c>
      <c r="BB78" s="100">
        <v>73</v>
      </c>
      <c r="BC78" s="100">
        <v>73</v>
      </c>
      <c r="BD78" s="103">
        <v>73</v>
      </c>
      <c r="BE78" s="100">
        <v>73.2</v>
      </c>
      <c r="BF78" s="100">
        <v>73.3</v>
      </c>
      <c r="BG78" s="100">
        <v>73.400000000000006</v>
      </c>
      <c r="BH78" s="100">
        <v>73.5</v>
      </c>
      <c r="BI78" s="100">
        <v>73.400000000000006</v>
      </c>
      <c r="BJ78" s="100">
        <v>73.3</v>
      </c>
      <c r="BK78" s="100">
        <v>73.400000000000006</v>
      </c>
      <c r="BL78" s="100">
        <v>73.5</v>
      </c>
      <c r="BM78" s="100">
        <v>73.599999999999994</v>
      </c>
      <c r="BN78" s="100">
        <v>73.7</v>
      </c>
      <c r="BO78" s="100">
        <v>73.900000000000006</v>
      </c>
      <c r="BP78" s="102">
        <v>74</v>
      </c>
      <c r="BQ78" s="100"/>
      <c r="BR78" s="100"/>
      <c r="BS78" s="100"/>
      <c r="BT78" s="100"/>
      <c r="BU78" s="100"/>
      <c r="BV78" s="100"/>
      <c r="BW78" s="100"/>
      <c r="BX78" s="100"/>
      <c r="BY78" s="100"/>
      <c r="BZ78" s="100"/>
      <c r="CA78" s="100"/>
      <c r="CB78" s="100"/>
      <c r="CC78" s="100"/>
      <c r="CD78" s="100"/>
      <c r="CE78" s="100"/>
      <c r="CF78" s="100"/>
      <c r="CG78" s="100"/>
      <c r="CH78" s="100"/>
      <c r="CI78" s="100"/>
      <c r="CJ78" s="100"/>
      <c r="CK78" s="100"/>
      <c r="CL78" s="100"/>
      <c r="CM78" s="100"/>
      <c r="CN78" s="100"/>
      <c r="CO78" s="100"/>
      <c r="CP78" s="100"/>
      <c r="CQ78" s="100"/>
      <c r="CR78" s="100"/>
      <c r="CS78" s="100"/>
      <c r="CT78" s="100"/>
      <c r="CU78" s="100"/>
      <c r="CV78" s="100"/>
      <c r="CW78" s="100"/>
      <c r="CX78" s="100"/>
      <c r="CY78" s="100"/>
      <c r="CZ78" s="100"/>
      <c r="DA78" s="100"/>
      <c r="DB78" s="100"/>
      <c r="DC78" s="100"/>
      <c r="DD78" s="100"/>
      <c r="DE78" s="100"/>
      <c r="DF78" s="100"/>
      <c r="DG78" s="100"/>
      <c r="DH78" s="100"/>
      <c r="DI78" s="100"/>
      <c r="DJ78" s="100"/>
      <c r="DK78" s="100"/>
      <c r="DL78" s="100"/>
      <c r="DM78" s="100"/>
      <c r="DN78" s="100"/>
      <c r="DO78" s="100"/>
      <c r="DP78" s="100"/>
      <c r="DQ78" s="100"/>
      <c r="DR78" s="100"/>
      <c r="DS78" s="100"/>
      <c r="DT78" s="100"/>
      <c r="DU78" s="100"/>
      <c r="DV78" s="100"/>
      <c r="DW78" s="100"/>
      <c r="DX78" s="100"/>
      <c r="DY78" s="100"/>
      <c r="DZ78" s="100"/>
      <c r="EA78" s="100"/>
      <c r="EB78" s="100"/>
      <c r="EC78" s="100"/>
      <c r="ED78" s="100"/>
      <c r="EE78" s="100"/>
      <c r="EF78" s="100"/>
      <c r="EG78" s="100"/>
      <c r="EH78" s="100"/>
      <c r="EI78" s="100"/>
      <c r="EJ78" s="100"/>
      <c r="EK78" s="100"/>
      <c r="EL78" s="100"/>
      <c r="EM78" s="100"/>
      <c r="EN78" s="100"/>
      <c r="EO78" s="100"/>
      <c r="EP78" s="100"/>
      <c r="EQ78" s="106"/>
      <c r="ER78" s="106"/>
      <c r="ES78" s="106"/>
      <c r="ET78" s="106"/>
      <c r="EU78" s="106"/>
      <c r="EV78" s="106"/>
      <c r="EW78" s="106"/>
      <c r="EX78" s="106"/>
      <c r="EY78" s="106"/>
      <c r="EZ78" s="106"/>
      <c r="FA78" s="106"/>
      <c r="FB78" s="106"/>
      <c r="FC78" s="106"/>
      <c r="FD78" s="106"/>
      <c r="FE78" s="106"/>
      <c r="FF78" s="106"/>
      <c r="FG78" s="106"/>
      <c r="FH78" s="106"/>
      <c r="FI78" s="106"/>
      <c r="FJ78" s="106"/>
      <c r="FK78" s="106"/>
      <c r="FL78" s="106"/>
      <c r="FM78" s="106"/>
      <c r="FN78" s="106"/>
      <c r="FO78" s="106"/>
      <c r="FP78" s="106"/>
      <c r="FQ78" s="106"/>
      <c r="FR78" s="106"/>
      <c r="FS78" s="106"/>
      <c r="FT78" s="106"/>
      <c r="FU78" s="106"/>
      <c r="FV78" s="106"/>
      <c r="FW78" s="106"/>
      <c r="FX78" s="106"/>
      <c r="FY78" s="106"/>
      <c r="FZ78" s="106"/>
      <c r="GA78" s="106"/>
      <c r="GB78" s="106"/>
      <c r="GC78" s="106"/>
      <c r="GD78" s="106"/>
      <c r="GE78" s="106"/>
      <c r="GF78" s="106"/>
      <c r="GG78" s="159"/>
    </row>
    <row r="79" spans="2:189" x14ac:dyDescent="0.2">
      <c r="B79" s="97">
        <v>42401</v>
      </c>
      <c r="C79" s="100">
        <v>70.400000000000006</v>
      </c>
      <c r="D79" s="101">
        <v>70.599999999999994</v>
      </c>
      <c r="E79" s="101">
        <v>70.599999999999994</v>
      </c>
      <c r="F79" s="101">
        <v>70.7</v>
      </c>
      <c r="G79" s="100">
        <v>70.5</v>
      </c>
      <c r="H79" s="100">
        <v>70.3</v>
      </c>
      <c r="I79" s="100">
        <v>70.400000000000006</v>
      </c>
      <c r="J79" s="100">
        <v>70.5</v>
      </c>
      <c r="K79" s="100">
        <v>70.599999999999994</v>
      </c>
      <c r="L79" s="100">
        <v>70.5</v>
      </c>
      <c r="M79" s="100">
        <v>70.5</v>
      </c>
      <c r="N79" s="100">
        <v>70.5</v>
      </c>
      <c r="O79" s="100">
        <v>70.5</v>
      </c>
      <c r="P79" s="100">
        <v>70.2</v>
      </c>
      <c r="Q79" s="100">
        <v>70.2</v>
      </c>
      <c r="R79" s="100">
        <v>70.099999999999994</v>
      </c>
      <c r="S79" s="100">
        <v>70.099999999999994</v>
      </c>
      <c r="T79" s="100">
        <v>70.099999999999994</v>
      </c>
      <c r="U79" s="100">
        <v>70.2</v>
      </c>
      <c r="V79" s="100">
        <v>70.3</v>
      </c>
      <c r="W79" s="100">
        <v>70.3</v>
      </c>
      <c r="X79" s="100">
        <v>70.5</v>
      </c>
      <c r="Y79" s="100">
        <v>70.5</v>
      </c>
      <c r="Z79" s="100">
        <v>70.7</v>
      </c>
      <c r="AA79" s="100">
        <v>70.900000000000006</v>
      </c>
      <c r="AB79" s="100">
        <v>71.099999999999994</v>
      </c>
      <c r="AC79" s="100">
        <v>71.2</v>
      </c>
      <c r="AD79" s="100">
        <v>71.099999999999994</v>
      </c>
      <c r="AE79" s="100">
        <v>71</v>
      </c>
      <c r="AF79" s="100">
        <v>71.3</v>
      </c>
      <c r="AG79" s="100">
        <v>71.400000000000006</v>
      </c>
      <c r="AH79" s="100">
        <v>71.400000000000006</v>
      </c>
      <c r="AI79" s="100">
        <v>71.2</v>
      </c>
      <c r="AJ79" s="100">
        <v>71.2</v>
      </c>
      <c r="AK79" s="100">
        <v>71.2</v>
      </c>
      <c r="AL79" s="100">
        <v>71.2</v>
      </c>
      <c r="AM79" s="100">
        <v>71.3</v>
      </c>
      <c r="AN79" s="100">
        <v>71.5</v>
      </c>
      <c r="AO79" s="100">
        <v>71.5</v>
      </c>
      <c r="AP79" s="100">
        <v>71.599999999999994</v>
      </c>
      <c r="AQ79" s="100">
        <v>71.8</v>
      </c>
      <c r="AR79" s="100">
        <v>72</v>
      </c>
      <c r="AS79" s="100">
        <v>72</v>
      </c>
      <c r="AT79" s="100">
        <v>72.099999999999994</v>
      </c>
      <c r="AU79" s="100">
        <v>72.400000000000006</v>
      </c>
      <c r="AV79" s="100">
        <v>72.5</v>
      </c>
      <c r="AW79" s="100">
        <v>72.7</v>
      </c>
      <c r="AX79" s="100">
        <v>72.900000000000006</v>
      </c>
      <c r="AY79" s="100">
        <v>72.8</v>
      </c>
      <c r="AZ79" s="100">
        <v>72.8</v>
      </c>
      <c r="BA79" s="100">
        <v>73</v>
      </c>
      <c r="BB79" s="100">
        <v>73</v>
      </c>
      <c r="BC79" s="100">
        <v>73</v>
      </c>
      <c r="BD79" s="100">
        <v>73</v>
      </c>
      <c r="BE79" s="103">
        <v>73.2</v>
      </c>
      <c r="BF79" s="100">
        <v>73.3</v>
      </c>
      <c r="BG79" s="100">
        <v>73.400000000000006</v>
      </c>
      <c r="BH79" s="100">
        <v>73.5</v>
      </c>
      <c r="BI79" s="100">
        <v>73.400000000000006</v>
      </c>
      <c r="BJ79" s="100">
        <v>73.3</v>
      </c>
      <c r="BK79" s="100">
        <v>73.400000000000006</v>
      </c>
      <c r="BL79" s="100">
        <v>73.5</v>
      </c>
      <c r="BM79" s="100">
        <v>73.599999999999994</v>
      </c>
      <c r="BN79" s="100">
        <v>73.7</v>
      </c>
      <c r="BO79" s="100">
        <v>73.900000000000006</v>
      </c>
      <c r="BP79" s="100">
        <v>74</v>
      </c>
      <c r="BQ79" s="102">
        <v>74.099999999999994</v>
      </c>
      <c r="BR79" s="100"/>
      <c r="BS79" s="100"/>
      <c r="BT79" s="100"/>
      <c r="BU79" s="100"/>
      <c r="BV79" s="100"/>
      <c r="BW79" s="100"/>
      <c r="BX79" s="100"/>
      <c r="BY79" s="100"/>
      <c r="BZ79" s="100"/>
      <c r="CA79" s="100"/>
      <c r="CB79" s="100"/>
      <c r="CC79" s="100"/>
      <c r="CD79" s="100"/>
      <c r="CE79" s="100"/>
      <c r="CF79" s="100"/>
      <c r="CG79" s="100"/>
      <c r="CH79" s="100"/>
      <c r="CI79" s="100"/>
      <c r="CJ79" s="100"/>
      <c r="CK79" s="100"/>
      <c r="CL79" s="100"/>
      <c r="CM79" s="100"/>
      <c r="CN79" s="100"/>
      <c r="CO79" s="100"/>
      <c r="CP79" s="100"/>
      <c r="CQ79" s="100"/>
      <c r="CR79" s="100"/>
      <c r="CS79" s="100"/>
      <c r="CT79" s="100"/>
      <c r="CU79" s="100"/>
      <c r="CV79" s="100"/>
      <c r="CW79" s="100"/>
      <c r="CX79" s="100"/>
      <c r="CY79" s="100"/>
      <c r="CZ79" s="100"/>
      <c r="DA79" s="100"/>
      <c r="DB79" s="100"/>
      <c r="DC79" s="100"/>
      <c r="DD79" s="100"/>
      <c r="DE79" s="100"/>
      <c r="DF79" s="100"/>
      <c r="DG79" s="100"/>
      <c r="DH79" s="100"/>
      <c r="DI79" s="100"/>
      <c r="DJ79" s="100"/>
      <c r="DK79" s="100"/>
      <c r="DL79" s="100"/>
      <c r="DM79" s="100"/>
      <c r="DN79" s="100"/>
      <c r="DO79" s="100"/>
      <c r="DP79" s="100"/>
      <c r="DQ79" s="100"/>
      <c r="DR79" s="100"/>
      <c r="DS79" s="100"/>
      <c r="DT79" s="100"/>
      <c r="DU79" s="100"/>
      <c r="DV79" s="100"/>
      <c r="DW79" s="100"/>
      <c r="DX79" s="100"/>
      <c r="DY79" s="100"/>
      <c r="DZ79" s="100"/>
      <c r="EA79" s="100"/>
      <c r="EB79" s="100"/>
      <c r="EC79" s="100"/>
      <c r="ED79" s="100"/>
      <c r="EE79" s="100"/>
      <c r="EF79" s="100"/>
      <c r="EG79" s="100"/>
      <c r="EH79" s="100"/>
      <c r="EI79" s="100"/>
      <c r="EJ79" s="100"/>
      <c r="EK79" s="100"/>
      <c r="EL79" s="100"/>
      <c r="EM79" s="100"/>
      <c r="EN79" s="100"/>
      <c r="EO79" s="100"/>
      <c r="EP79" s="100"/>
      <c r="EQ79" s="106"/>
      <c r="ER79" s="106"/>
      <c r="ES79" s="106"/>
      <c r="ET79" s="106"/>
      <c r="EU79" s="106"/>
      <c r="EV79" s="106"/>
      <c r="EW79" s="106"/>
      <c r="EX79" s="106"/>
      <c r="EY79" s="106"/>
      <c r="EZ79" s="106"/>
      <c r="FA79" s="106"/>
      <c r="FB79" s="106"/>
      <c r="FC79" s="106"/>
      <c r="FD79" s="106"/>
      <c r="FE79" s="106"/>
      <c r="FF79" s="106"/>
      <c r="FG79" s="106"/>
      <c r="FH79" s="106"/>
      <c r="FI79" s="106"/>
      <c r="FJ79" s="106"/>
      <c r="FK79" s="106"/>
      <c r="FL79" s="106"/>
      <c r="FM79" s="106"/>
      <c r="FN79" s="106"/>
      <c r="FO79" s="106"/>
      <c r="FP79" s="106"/>
      <c r="FQ79" s="106"/>
      <c r="FR79" s="106"/>
      <c r="FS79" s="106"/>
      <c r="FT79" s="106"/>
      <c r="FU79" s="106"/>
      <c r="FV79" s="106"/>
      <c r="FW79" s="106"/>
      <c r="FX79" s="106"/>
      <c r="FY79" s="106"/>
      <c r="FZ79" s="106"/>
      <c r="GA79" s="106"/>
      <c r="GB79" s="106"/>
      <c r="GC79" s="106"/>
      <c r="GD79" s="106"/>
      <c r="GE79" s="106"/>
      <c r="GF79" s="106"/>
      <c r="GG79" s="159"/>
    </row>
    <row r="80" spans="2:189" x14ac:dyDescent="0.2">
      <c r="B80" s="97">
        <v>42430</v>
      </c>
      <c r="C80" s="100">
        <v>70.400000000000006</v>
      </c>
      <c r="D80" s="101">
        <v>70.599999999999994</v>
      </c>
      <c r="E80" s="101">
        <v>70.599999999999994</v>
      </c>
      <c r="F80" s="101">
        <v>70.7</v>
      </c>
      <c r="G80" s="100">
        <v>70.5</v>
      </c>
      <c r="H80" s="100">
        <v>70.3</v>
      </c>
      <c r="I80" s="100">
        <v>70.400000000000006</v>
      </c>
      <c r="J80" s="100">
        <v>70.5</v>
      </c>
      <c r="K80" s="100">
        <v>70.599999999999994</v>
      </c>
      <c r="L80" s="100">
        <v>70.5</v>
      </c>
      <c r="M80" s="100">
        <v>70.5</v>
      </c>
      <c r="N80" s="100">
        <v>70.5</v>
      </c>
      <c r="O80" s="100">
        <v>70.5</v>
      </c>
      <c r="P80" s="100">
        <v>70.2</v>
      </c>
      <c r="Q80" s="100">
        <v>70.2</v>
      </c>
      <c r="R80" s="100">
        <v>70.099999999999994</v>
      </c>
      <c r="S80" s="100">
        <v>70.099999999999994</v>
      </c>
      <c r="T80" s="100">
        <v>70.099999999999994</v>
      </c>
      <c r="U80" s="100">
        <v>70.2</v>
      </c>
      <c r="V80" s="100">
        <v>70.3</v>
      </c>
      <c r="W80" s="100">
        <v>70.3</v>
      </c>
      <c r="X80" s="100">
        <v>70.5</v>
      </c>
      <c r="Y80" s="100">
        <v>70.5</v>
      </c>
      <c r="Z80" s="100">
        <v>70.7</v>
      </c>
      <c r="AA80" s="100">
        <v>70.900000000000006</v>
      </c>
      <c r="AB80" s="100">
        <v>71.099999999999994</v>
      </c>
      <c r="AC80" s="100">
        <v>71.2</v>
      </c>
      <c r="AD80" s="100">
        <v>71.099999999999994</v>
      </c>
      <c r="AE80" s="100">
        <v>71</v>
      </c>
      <c r="AF80" s="100">
        <v>71.3</v>
      </c>
      <c r="AG80" s="100">
        <v>71.400000000000006</v>
      </c>
      <c r="AH80" s="100">
        <v>71.400000000000006</v>
      </c>
      <c r="AI80" s="100">
        <v>71.2</v>
      </c>
      <c r="AJ80" s="100">
        <v>71.2</v>
      </c>
      <c r="AK80" s="100">
        <v>71.2</v>
      </c>
      <c r="AL80" s="100">
        <v>71.2</v>
      </c>
      <c r="AM80" s="100">
        <v>71.3</v>
      </c>
      <c r="AN80" s="100">
        <v>71.5</v>
      </c>
      <c r="AO80" s="100">
        <v>71.5</v>
      </c>
      <c r="AP80" s="100">
        <v>71.599999999999994</v>
      </c>
      <c r="AQ80" s="100">
        <v>71.8</v>
      </c>
      <c r="AR80" s="100">
        <v>72</v>
      </c>
      <c r="AS80" s="100">
        <v>72</v>
      </c>
      <c r="AT80" s="100">
        <v>72.099999999999994</v>
      </c>
      <c r="AU80" s="100">
        <v>72.400000000000006</v>
      </c>
      <c r="AV80" s="100">
        <v>72.5</v>
      </c>
      <c r="AW80" s="100">
        <v>72.7</v>
      </c>
      <c r="AX80" s="100">
        <v>72.900000000000006</v>
      </c>
      <c r="AY80" s="100">
        <v>72.8</v>
      </c>
      <c r="AZ80" s="100">
        <v>72.8</v>
      </c>
      <c r="BA80" s="100">
        <v>73</v>
      </c>
      <c r="BB80" s="100">
        <v>73</v>
      </c>
      <c r="BC80" s="100">
        <v>73</v>
      </c>
      <c r="BD80" s="100">
        <v>73</v>
      </c>
      <c r="BE80" s="100">
        <v>73.2</v>
      </c>
      <c r="BF80" s="103">
        <v>73.3</v>
      </c>
      <c r="BG80" s="100">
        <v>73.400000000000006</v>
      </c>
      <c r="BH80" s="100">
        <v>73.5</v>
      </c>
      <c r="BI80" s="100">
        <v>73.400000000000006</v>
      </c>
      <c r="BJ80" s="100">
        <v>73.3</v>
      </c>
      <c r="BK80" s="100">
        <v>73.400000000000006</v>
      </c>
      <c r="BL80" s="100">
        <v>73.5</v>
      </c>
      <c r="BM80" s="100">
        <v>73.599999999999994</v>
      </c>
      <c r="BN80" s="100">
        <v>73.7</v>
      </c>
      <c r="BO80" s="100">
        <v>73.900000000000006</v>
      </c>
      <c r="BP80" s="100">
        <v>74</v>
      </c>
      <c r="BQ80" s="100">
        <v>74.099999999999994</v>
      </c>
      <c r="BR80" s="102">
        <v>74.099999999999994</v>
      </c>
      <c r="BS80" s="100"/>
      <c r="BT80" s="100"/>
      <c r="BU80" s="100"/>
      <c r="BV80" s="100"/>
      <c r="BW80" s="100"/>
      <c r="BX80" s="100"/>
      <c r="BY80" s="100"/>
      <c r="BZ80" s="100"/>
      <c r="CA80" s="100"/>
      <c r="CB80" s="100"/>
      <c r="CC80" s="100"/>
      <c r="CD80" s="100"/>
      <c r="CE80" s="100"/>
      <c r="CF80" s="100"/>
      <c r="CG80" s="100"/>
      <c r="CH80" s="100"/>
      <c r="CI80" s="100"/>
      <c r="CJ80" s="100"/>
      <c r="CK80" s="100"/>
      <c r="CL80" s="100"/>
      <c r="CM80" s="100"/>
      <c r="CN80" s="100"/>
      <c r="CO80" s="100"/>
      <c r="CP80" s="100"/>
      <c r="CQ80" s="100"/>
      <c r="CR80" s="100"/>
      <c r="CS80" s="100"/>
      <c r="CT80" s="100"/>
      <c r="CU80" s="100"/>
      <c r="CV80" s="100"/>
      <c r="CW80" s="100"/>
      <c r="CX80" s="100"/>
      <c r="CY80" s="100"/>
      <c r="CZ80" s="100"/>
      <c r="DA80" s="100"/>
      <c r="DB80" s="100"/>
      <c r="DC80" s="100"/>
      <c r="DD80" s="100"/>
      <c r="DE80" s="100"/>
      <c r="DF80" s="100"/>
      <c r="DG80" s="100"/>
      <c r="DH80" s="100"/>
      <c r="DI80" s="100"/>
      <c r="DJ80" s="100"/>
      <c r="DK80" s="100"/>
      <c r="DL80" s="100"/>
      <c r="DM80" s="100"/>
      <c r="DN80" s="100"/>
      <c r="DO80" s="100"/>
      <c r="DP80" s="100"/>
      <c r="DQ80" s="100"/>
      <c r="DR80" s="100"/>
      <c r="DS80" s="100"/>
      <c r="DT80" s="100"/>
      <c r="DU80" s="100"/>
      <c r="DV80" s="100"/>
      <c r="DW80" s="100"/>
      <c r="DX80" s="100"/>
      <c r="DY80" s="100"/>
      <c r="DZ80" s="100"/>
      <c r="EA80" s="100"/>
      <c r="EB80" s="100"/>
      <c r="EC80" s="100"/>
      <c r="ED80" s="100"/>
      <c r="EE80" s="100"/>
      <c r="EF80" s="100"/>
      <c r="EG80" s="100"/>
      <c r="EH80" s="100"/>
      <c r="EI80" s="100"/>
      <c r="EJ80" s="100"/>
      <c r="EK80" s="100"/>
      <c r="EL80" s="100"/>
      <c r="EM80" s="100"/>
      <c r="EN80" s="100"/>
      <c r="EO80" s="100"/>
      <c r="EP80" s="100"/>
      <c r="EQ80" s="106"/>
      <c r="ER80" s="106"/>
      <c r="ES80" s="106"/>
      <c r="ET80" s="106"/>
      <c r="EU80" s="106"/>
      <c r="EV80" s="106"/>
      <c r="EW80" s="106"/>
      <c r="EX80" s="106"/>
      <c r="EY80" s="106"/>
      <c r="EZ80" s="106"/>
      <c r="FA80" s="106"/>
      <c r="FB80" s="106"/>
      <c r="FC80" s="106"/>
      <c r="FD80" s="106"/>
      <c r="FE80" s="106"/>
      <c r="FF80" s="106"/>
      <c r="FG80" s="106"/>
      <c r="FH80" s="106"/>
      <c r="FI80" s="106"/>
      <c r="FJ80" s="106"/>
      <c r="FK80" s="106"/>
      <c r="FL80" s="106"/>
      <c r="FM80" s="106"/>
      <c r="FN80" s="106"/>
      <c r="FO80" s="106"/>
      <c r="FP80" s="106"/>
      <c r="FQ80" s="106"/>
      <c r="FR80" s="106"/>
      <c r="FS80" s="106"/>
      <c r="FT80" s="106"/>
      <c r="FU80" s="106"/>
      <c r="FV80" s="106"/>
      <c r="FW80" s="106"/>
      <c r="FX80" s="106"/>
      <c r="FY80" s="106"/>
      <c r="FZ80" s="106"/>
      <c r="GA80" s="106"/>
      <c r="GB80" s="106"/>
      <c r="GC80" s="106"/>
      <c r="GD80" s="106"/>
      <c r="GE80" s="106"/>
      <c r="GF80" s="106"/>
      <c r="GG80" s="159"/>
    </row>
    <row r="81" spans="2:189" x14ac:dyDescent="0.2">
      <c r="B81" s="97">
        <v>42461</v>
      </c>
      <c r="C81" s="100">
        <v>70.400000000000006</v>
      </c>
      <c r="D81" s="101">
        <v>70.599999999999994</v>
      </c>
      <c r="E81" s="101">
        <v>70.599999999999994</v>
      </c>
      <c r="F81" s="101">
        <v>70.7</v>
      </c>
      <c r="G81" s="100">
        <v>70.5</v>
      </c>
      <c r="H81" s="100">
        <v>70.3</v>
      </c>
      <c r="I81" s="100">
        <v>70.400000000000006</v>
      </c>
      <c r="J81" s="100">
        <v>70.5</v>
      </c>
      <c r="K81" s="100">
        <v>70.599999999999994</v>
      </c>
      <c r="L81" s="100">
        <v>70.5</v>
      </c>
      <c r="M81" s="100">
        <v>70.5</v>
      </c>
      <c r="N81" s="100">
        <v>70.5</v>
      </c>
      <c r="O81" s="100">
        <v>70.5</v>
      </c>
      <c r="P81" s="100">
        <v>70.2</v>
      </c>
      <c r="Q81" s="100">
        <v>70.2</v>
      </c>
      <c r="R81" s="100">
        <v>70.099999999999994</v>
      </c>
      <c r="S81" s="100">
        <v>70.099999999999994</v>
      </c>
      <c r="T81" s="100">
        <v>70.099999999999994</v>
      </c>
      <c r="U81" s="100">
        <v>70.2</v>
      </c>
      <c r="V81" s="100">
        <v>70.3</v>
      </c>
      <c r="W81" s="100">
        <v>70.3</v>
      </c>
      <c r="X81" s="100">
        <v>70.5</v>
      </c>
      <c r="Y81" s="100">
        <v>70.5</v>
      </c>
      <c r="Z81" s="100">
        <v>70.7</v>
      </c>
      <c r="AA81" s="100">
        <v>70.900000000000006</v>
      </c>
      <c r="AB81" s="100">
        <v>71.099999999999994</v>
      </c>
      <c r="AC81" s="100">
        <v>71.2</v>
      </c>
      <c r="AD81" s="100">
        <v>71.099999999999994</v>
      </c>
      <c r="AE81" s="100">
        <v>71</v>
      </c>
      <c r="AF81" s="100">
        <v>71.3</v>
      </c>
      <c r="AG81" s="100">
        <v>71.400000000000006</v>
      </c>
      <c r="AH81" s="100">
        <v>71.400000000000006</v>
      </c>
      <c r="AI81" s="100">
        <v>71.2</v>
      </c>
      <c r="AJ81" s="100">
        <v>71.2</v>
      </c>
      <c r="AK81" s="100">
        <v>71.2</v>
      </c>
      <c r="AL81" s="100">
        <v>71.2</v>
      </c>
      <c r="AM81" s="100">
        <v>71.3</v>
      </c>
      <c r="AN81" s="100">
        <v>71.5</v>
      </c>
      <c r="AO81" s="100">
        <v>71.5</v>
      </c>
      <c r="AP81" s="100">
        <v>71.599999999999994</v>
      </c>
      <c r="AQ81" s="100">
        <v>71.8</v>
      </c>
      <c r="AR81" s="100">
        <v>72</v>
      </c>
      <c r="AS81" s="100">
        <v>72</v>
      </c>
      <c r="AT81" s="100">
        <v>72.099999999999994</v>
      </c>
      <c r="AU81" s="100">
        <v>72.400000000000006</v>
      </c>
      <c r="AV81" s="100">
        <v>72.5</v>
      </c>
      <c r="AW81" s="100">
        <v>72.7</v>
      </c>
      <c r="AX81" s="100">
        <v>72.900000000000006</v>
      </c>
      <c r="AY81" s="100">
        <v>72.8</v>
      </c>
      <c r="AZ81" s="100">
        <v>72.8</v>
      </c>
      <c r="BA81" s="100">
        <v>73</v>
      </c>
      <c r="BB81" s="100">
        <v>73</v>
      </c>
      <c r="BC81" s="100">
        <v>73</v>
      </c>
      <c r="BD81" s="100">
        <v>73</v>
      </c>
      <c r="BE81" s="100">
        <v>73.2</v>
      </c>
      <c r="BF81" s="100">
        <v>73.3</v>
      </c>
      <c r="BG81" s="103">
        <v>73.400000000000006</v>
      </c>
      <c r="BH81" s="100">
        <v>73.5</v>
      </c>
      <c r="BI81" s="100">
        <v>73.400000000000006</v>
      </c>
      <c r="BJ81" s="100">
        <v>73.3</v>
      </c>
      <c r="BK81" s="100">
        <v>73.400000000000006</v>
      </c>
      <c r="BL81" s="100">
        <v>73.5</v>
      </c>
      <c r="BM81" s="100">
        <v>73.599999999999994</v>
      </c>
      <c r="BN81" s="100">
        <v>73.7</v>
      </c>
      <c r="BO81" s="100">
        <v>73.900000000000006</v>
      </c>
      <c r="BP81" s="100">
        <v>74</v>
      </c>
      <c r="BQ81" s="100">
        <v>74.099999999999994</v>
      </c>
      <c r="BR81" s="100">
        <v>74.099999999999994</v>
      </c>
      <c r="BS81" s="102">
        <v>74.099999999999994</v>
      </c>
      <c r="BT81" s="100"/>
      <c r="BU81" s="100"/>
      <c r="BV81" s="100"/>
      <c r="BW81" s="100"/>
      <c r="BX81" s="100"/>
      <c r="BY81" s="100"/>
      <c r="BZ81" s="100"/>
      <c r="CA81" s="100"/>
      <c r="CB81" s="100"/>
      <c r="CC81" s="100"/>
      <c r="CD81" s="100"/>
      <c r="CE81" s="100"/>
      <c r="CF81" s="100"/>
      <c r="CG81" s="100"/>
      <c r="CH81" s="100"/>
      <c r="CI81" s="100"/>
      <c r="CJ81" s="100"/>
      <c r="CK81" s="100"/>
      <c r="CL81" s="100"/>
      <c r="CM81" s="100"/>
      <c r="CN81" s="100"/>
      <c r="CO81" s="100"/>
      <c r="CP81" s="100"/>
      <c r="CQ81" s="100"/>
      <c r="CR81" s="100"/>
      <c r="CS81" s="100"/>
      <c r="CT81" s="100"/>
      <c r="CU81" s="100"/>
      <c r="CV81" s="100"/>
      <c r="CW81" s="100"/>
      <c r="CX81" s="100"/>
      <c r="CY81" s="100"/>
      <c r="CZ81" s="100"/>
      <c r="DA81" s="100"/>
      <c r="DB81" s="100"/>
      <c r="DC81" s="100"/>
      <c r="DD81" s="100"/>
      <c r="DE81" s="100"/>
      <c r="DF81" s="100"/>
      <c r="DG81" s="100"/>
      <c r="DH81" s="100"/>
      <c r="DI81" s="100"/>
      <c r="DJ81" s="100"/>
      <c r="DK81" s="100"/>
      <c r="DL81" s="100"/>
      <c r="DM81" s="100"/>
      <c r="DN81" s="100"/>
      <c r="DO81" s="100"/>
      <c r="DP81" s="100"/>
      <c r="DQ81" s="100"/>
      <c r="DR81" s="100"/>
      <c r="DS81" s="100"/>
      <c r="DT81" s="100"/>
      <c r="DU81" s="100"/>
      <c r="DV81" s="100"/>
      <c r="DW81" s="100"/>
      <c r="DX81" s="100"/>
      <c r="DY81" s="100"/>
      <c r="DZ81" s="100"/>
      <c r="EA81" s="100"/>
      <c r="EB81" s="100"/>
      <c r="EC81" s="100"/>
      <c r="ED81" s="100"/>
      <c r="EE81" s="100"/>
      <c r="EF81" s="100"/>
      <c r="EG81" s="100"/>
      <c r="EH81" s="100"/>
      <c r="EI81" s="100"/>
      <c r="EJ81" s="100"/>
      <c r="EK81" s="100"/>
      <c r="EL81" s="100"/>
      <c r="EM81" s="100"/>
      <c r="EN81" s="100"/>
      <c r="EO81" s="100"/>
      <c r="EP81" s="100"/>
      <c r="EQ81" s="106"/>
      <c r="ER81" s="106"/>
      <c r="ES81" s="106"/>
      <c r="ET81" s="106"/>
      <c r="EU81" s="106"/>
      <c r="EV81" s="106"/>
      <c r="EW81" s="106"/>
      <c r="EX81" s="106"/>
      <c r="EY81" s="106"/>
      <c r="EZ81" s="106"/>
      <c r="FA81" s="106"/>
      <c r="FB81" s="106"/>
      <c r="FC81" s="106"/>
      <c r="FD81" s="106"/>
      <c r="FE81" s="106"/>
      <c r="FF81" s="106"/>
      <c r="FG81" s="106"/>
      <c r="FH81" s="106"/>
      <c r="FI81" s="106"/>
      <c r="FJ81" s="106"/>
      <c r="FK81" s="106"/>
      <c r="FL81" s="106"/>
      <c r="FM81" s="106"/>
      <c r="FN81" s="106"/>
      <c r="FO81" s="106"/>
      <c r="FP81" s="106"/>
      <c r="FQ81" s="106"/>
      <c r="FR81" s="106"/>
      <c r="FS81" s="106"/>
      <c r="FT81" s="106"/>
      <c r="FU81" s="106"/>
      <c r="FV81" s="106"/>
      <c r="FW81" s="106"/>
      <c r="FX81" s="106"/>
      <c r="FY81" s="106"/>
      <c r="FZ81" s="106"/>
      <c r="GA81" s="106"/>
      <c r="GB81" s="106"/>
      <c r="GC81" s="106"/>
      <c r="GD81" s="106"/>
      <c r="GE81" s="106"/>
      <c r="GF81" s="106"/>
      <c r="GG81" s="159"/>
    </row>
    <row r="82" spans="2:189" x14ac:dyDescent="0.2">
      <c r="B82" s="97">
        <v>42491</v>
      </c>
      <c r="C82" s="100">
        <v>70.400000000000006</v>
      </c>
      <c r="D82" s="101">
        <v>70.599999999999994</v>
      </c>
      <c r="E82" s="101">
        <v>70.599999999999994</v>
      </c>
      <c r="F82" s="101">
        <v>70.7</v>
      </c>
      <c r="G82" s="100">
        <v>70.5</v>
      </c>
      <c r="H82" s="100">
        <v>70.3</v>
      </c>
      <c r="I82" s="100">
        <v>70.400000000000006</v>
      </c>
      <c r="J82" s="100">
        <v>70.5</v>
      </c>
      <c r="K82" s="100">
        <v>70.599999999999994</v>
      </c>
      <c r="L82" s="100">
        <v>70.5</v>
      </c>
      <c r="M82" s="100">
        <v>70.5</v>
      </c>
      <c r="N82" s="100">
        <v>70.5</v>
      </c>
      <c r="O82" s="100">
        <v>70.5</v>
      </c>
      <c r="P82" s="100">
        <v>70.2</v>
      </c>
      <c r="Q82" s="100">
        <v>70.2</v>
      </c>
      <c r="R82" s="100">
        <v>70.099999999999994</v>
      </c>
      <c r="S82" s="100">
        <v>70.099999999999994</v>
      </c>
      <c r="T82" s="100">
        <v>70.099999999999994</v>
      </c>
      <c r="U82" s="100">
        <v>70.2</v>
      </c>
      <c r="V82" s="100">
        <v>70.3</v>
      </c>
      <c r="W82" s="100">
        <v>70.3</v>
      </c>
      <c r="X82" s="100">
        <v>70.5</v>
      </c>
      <c r="Y82" s="100">
        <v>70.5</v>
      </c>
      <c r="Z82" s="100">
        <v>70.7</v>
      </c>
      <c r="AA82" s="100">
        <v>70.900000000000006</v>
      </c>
      <c r="AB82" s="100">
        <v>71.099999999999994</v>
      </c>
      <c r="AC82" s="100">
        <v>71.2</v>
      </c>
      <c r="AD82" s="100">
        <v>71.099999999999994</v>
      </c>
      <c r="AE82" s="100">
        <v>71.099999999999994</v>
      </c>
      <c r="AF82" s="100">
        <v>71.3</v>
      </c>
      <c r="AG82" s="100">
        <v>71.400000000000006</v>
      </c>
      <c r="AH82" s="100">
        <v>71.3</v>
      </c>
      <c r="AI82" s="100">
        <v>71.2</v>
      </c>
      <c r="AJ82" s="100">
        <v>71.2</v>
      </c>
      <c r="AK82" s="100">
        <v>71.2</v>
      </c>
      <c r="AL82" s="100">
        <v>71.2</v>
      </c>
      <c r="AM82" s="100">
        <v>71.3</v>
      </c>
      <c r="AN82" s="100">
        <v>71.5</v>
      </c>
      <c r="AO82" s="100">
        <v>71.5</v>
      </c>
      <c r="AP82" s="100">
        <v>71.599999999999994</v>
      </c>
      <c r="AQ82" s="100">
        <v>71.900000000000006</v>
      </c>
      <c r="AR82" s="100">
        <v>72</v>
      </c>
      <c r="AS82" s="100">
        <v>72</v>
      </c>
      <c r="AT82" s="100">
        <v>72.099999999999994</v>
      </c>
      <c r="AU82" s="100">
        <v>72.400000000000006</v>
      </c>
      <c r="AV82" s="100">
        <v>72.5</v>
      </c>
      <c r="AW82" s="100">
        <v>72.7</v>
      </c>
      <c r="AX82" s="100">
        <v>72.900000000000006</v>
      </c>
      <c r="AY82" s="100">
        <v>72.900000000000006</v>
      </c>
      <c r="AZ82" s="100">
        <v>72.8</v>
      </c>
      <c r="BA82" s="100">
        <v>73</v>
      </c>
      <c r="BB82" s="100">
        <v>73</v>
      </c>
      <c r="BC82" s="100">
        <v>73</v>
      </c>
      <c r="BD82" s="100">
        <v>73</v>
      </c>
      <c r="BE82" s="100">
        <v>73.2</v>
      </c>
      <c r="BF82" s="100">
        <v>73.3</v>
      </c>
      <c r="BG82" s="100">
        <v>73.400000000000006</v>
      </c>
      <c r="BH82" s="103">
        <v>73.5</v>
      </c>
      <c r="BI82" s="100">
        <v>73.400000000000006</v>
      </c>
      <c r="BJ82" s="100">
        <v>73.400000000000006</v>
      </c>
      <c r="BK82" s="100">
        <v>73.400000000000006</v>
      </c>
      <c r="BL82" s="100">
        <v>73.5</v>
      </c>
      <c r="BM82" s="100">
        <v>73.599999999999994</v>
      </c>
      <c r="BN82" s="100">
        <v>73.8</v>
      </c>
      <c r="BO82" s="100">
        <v>73.900000000000006</v>
      </c>
      <c r="BP82" s="100">
        <v>74</v>
      </c>
      <c r="BQ82" s="100">
        <v>74.099999999999994</v>
      </c>
      <c r="BR82" s="100">
        <v>74.099999999999994</v>
      </c>
      <c r="BS82" s="100">
        <v>74.099999999999994</v>
      </c>
      <c r="BT82" s="102">
        <v>74.2</v>
      </c>
      <c r="BU82" s="100"/>
      <c r="BV82" s="100"/>
      <c r="BW82" s="100"/>
      <c r="BX82" s="100"/>
      <c r="BY82" s="100"/>
      <c r="BZ82" s="100"/>
      <c r="CA82" s="100"/>
      <c r="CB82" s="100"/>
      <c r="CC82" s="100"/>
      <c r="CD82" s="100"/>
      <c r="CE82" s="100"/>
      <c r="CF82" s="100"/>
      <c r="CG82" s="100"/>
      <c r="CH82" s="100"/>
      <c r="CI82" s="100"/>
      <c r="CJ82" s="100"/>
      <c r="CK82" s="100"/>
      <c r="CL82" s="100"/>
      <c r="CM82" s="100"/>
      <c r="CN82" s="100"/>
      <c r="CO82" s="100"/>
      <c r="CP82" s="100"/>
      <c r="CQ82" s="100"/>
      <c r="CR82" s="100"/>
      <c r="CS82" s="100"/>
      <c r="CT82" s="100"/>
      <c r="CU82" s="100"/>
      <c r="CV82" s="100"/>
      <c r="CW82" s="100"/>
      <c r="CX82" s="100"/>
      <c r="CY82" s="100"/>
      <c r="CZ82" s="100"/>
      <c r="DA82" s="100"/>
      <c r="DB82" s="100"/>
      <c r="DC82" s="100"/>
      <c r="DD82" s="100"/>
      <c r="DE82" s="100"/>
      <c r="DF82" s="100"/>
      <c r="DG82" s="100"/>
      <c r="DH82" s="100"/>
      <c r="DI82" s="100"/>
      <c r="DJ82" s="100"/>
      <c r="DK82" s="100"/>
      <c r="DL82" s="100"/>
      <c r="DM82" s="100"/>
      <c r="DN82" s="100"/>
      <c r="DO82" s="100"/>
      <c r="DP82" s="100"/>
      <c r="DQ82" s="100"/>
      <c r="DR82" s="100"/>
      <c r="DS82" s="100"/>
      <c r="DT82" s="100"/>
      <c r="DU82" s="100"/>
      <c r="DV82" s="100"/>
      <c r="DW82" s="100"/>
      <c r="DX82" s="100"/>
      <c r="DY82" s="100"/>
      <c r="DZ82" s="100"/>
      <c r="EA82" s="100"/>
      <c r="EB82" s="100"/>
      <c r="EC82" s="100"/>
      <c r="ED82" s="100"/>
      <c r="EE82" s="100"/>
      <c r="EF82" s="100"/>
      <c r="EG82" s="100"/>
      <c r="EH82" s="100"/>
      <c r="EI82" s="100"/>
      <c r="EJ82" s="100"/>
      <c r="EK82" s="100"/>
      <c r="EL82" s="100"/>
      <c r="EM82" s="100"/>
      <c r="EN82" s="100"/>
      <c r="EO82" s="100"/>
      <c r="EP82" s="100"/>
      <c r="EQ82" s="106"/>
      <c r="ER82" s="106"/>
      <c r="ES82" s="106"/>
      <c r="ET82" s="106"/>
      <c r="EU82" s="106"/>
      <c r="EV82" s="106"/>
      <c r="EW82" s="106"/>
      <c r="EX82" s="106"/>
      <c r="EY82" s="106"/>
      <c r="EZ82" s="106"/>
      <c r="FA82" s="106"/>
      <c r="FB82" s="106"/>
      <c r="FC82" s="106"/>
      <c r="FD82" s="106"/>
      <c r="FE82" s="106"/>
      <c r="FF82" s="106"/>
      <c r="FG82" s="106"/>
      <c r="FH82" s="106"/>
      <c r="FI82" s="106"/>
      <c r="FJ82" s="106"/>
      <c r="FK82" s="106"/>
      <c r="FL82" s="106"/>
      <c r="FM82" s="106"/>
      <c r="FN82" s="106"/>
      <c r="FO82" s="106"/>
      <c r="FP82" s="106"/>
      <c r="FQ82" s="106"/>
      <c r="FR82" s="106"/>
      <c r="FS82" s="106"/>
      <c r="FT82" s="106"/>
      <c r="FU82" s="106"/>
      <c r="FV82" s="106"/>
      <c r="FW82" s="106"/>
      <c r="FX82" s="106"/>
      <c r="FY82" s="106"/>
      <c r="FZ82" s="106"/>
      <c r="GA82" s="106"/>
      <c r="GB82" s="106"/>
      <c r="GC82" s="106"/>
      <c r="GD82" s="106"/>
      <c r="GE82" s="106"/>
      <c r="GF82" s="106"/>
      <c r="GG82" s="159"/>
    </row>
    <row r="83" spans="2:189" x14ac:dyDescent="0.2">
      <c r="B83" s="97">
        <v>42522</v>
      </c>
      <c r="C83" s="100">
        <v>70.400000000000006</v>
      </c>
      <c r="D83" s="101">
        <v>70.599999999999994</v>
      </c>
      <c r="E83" s="101">
        <v>70.599999999999994</v>
      </c>
      <c r="F83" s="101">
        <v>70.7</v>
      </c>
      <c r="G83" s="100">
        <v>70.5</v>
      </c>
      <c r="H83" s="100">
        <v>70.3</v>
      </c>
      <c r="I83" s="100">
        <v>70.400000000000006</v>
      </c>
      <c r="J83" s="100">
        <v>70.5</v>
      </c>
      <c r="K83" s="100">
        <v>70.599999999999994</v>
      </c>
      <c r="L83" s="100">
        <v>70.5</v>
      </c>
      <c r="M83" s="100">
        <v>70.5</v>
      </c>
      <c r="N83" s="100">
        <v>70.5</v>
      </c>
      <c r="O83" s="100">
        <v>70.5</v>
      </c>
      <c r="P83" s="100">
        <v>70.2</v>
      </c>
      <c r="Q83" s="100">
        <v>70.2</v>
      </c>
      <c r="R83" s="100">
        <v>70.099999999999994</v>
      </c>
      <c r="S83" s="100">
        <v>70.099999999999994</v>
      </c>
      <c r="T83" s="100">
        <v>70.099999999999994</v>
      </c>
      <c r="U83" s="100">
        <v>70.2</v>
      </c>
      <c r="V83" s="100">
        <v>70.3</v>
      </c>
      <c r="W83" s="100">
        <v>70.3</v>
      </c>
      <c r="X83" s="100">
        <v>70.5</v>
      </c>
      <c r="Y83" s="100">
        <v>70.5</v>
      </c>
      <c r="Z83" s="100">
        <v>70.7</v>
      </c>
      <c r="AA83" s="100">
        <v>70.900000000000006</v>
      </c>
      <c r="AB83" s="100">
        <v>71.099999999999994</v>
      </c>
      <c r="AC83" s="100">
        <v>71.2</v>
      </c>
      <c r="AD83" s="100">
        <v>71.099999999999994</v>
      </c>
      <c r="AE83" s="100">
        <v>71.099999999999994</v>
      </c>
      <c r="AF83" s="100">
        <v>71.3</v>
      </c>
      <c r="AG83" s="100">
        <v>71.400000000000006</v>
      </c>
      <c r="AH83" s="100">
        <v>71.3</v>
      </c>
      <c r="AI83" s="100">
        <v>71.2</v>
      </c>
      <c r="AJ83" s="100">
        <v>71.2</v>
      </c>
      <c r="AK83" s="100">
        <v>71.2</v>
      </c>
      <c r="AL83" s="100">
        <v>71.2</v>
      </c>
      <c r="AM83" s="100">
        <v>71.3</v>
      </c>
      <c r="AN83" s="100">
        <v>71.5</v>
      </c>
      <c r="AO83" s="100">
        <v>71.5</v>
      </c>
      <c r="AP83" s="100">
        <v>71.599999999999994</v>
      </c>
      <c r="AQ83" s="100">
        <v>71.900000000000006</v>
      </c>
      <c r="AR83" s="100">
        <v>72</v>
      </c>
      <c r="AS83" s="100">
        <v>72</v>
      </c>
      <c r="AT83" s="100">
        <v>72.099999999999994</v>
      </c>
      <c r="AU83" s="100">
        <v>72.400000000000006</v>
      </c>
      <c r="AV83" s="100">
        <v>72.5</v>
      </c>
      <c r="AW83" s="100">
        <v>72.7</v>
      </c>
      <c r="AX83" s="100">
        <v>72.900000000000006</v>
      </c>
      <c r="AY83" s="100">
        <v>72.900000000000006</v>
      </c>
      <c r="AZ83" s="100">
        <v>72.8</v>
      </c>
      <c r="BA83" s="100">
        <v>73</v>
      </c>
      <c r="BB83" s="100">
        <v>73</v>
      </c>
      <c r="BC83" s="100">
        <v>73</v>
      </c>
      <c r="BD83" s="100">
        <v>73</v>
      </c>
      <c r="BE83" s="100">
        <v>73.2</v>
      </c>
      <c r="BF83" s="100">
        <v>73.3</v>
      </c>
      <c r="BG83" s="100">
        <v>73.400000000000006</v>
      </c>
      <c r="BH83" s="100">
        <v>73.5</v>
      </c>
      <c r="BI83" s="103">
        <v>73.400000000000006</v>
      </c>
      <c r="BJ83" s="100">
        <v>73.400000000000006</v>
      </c>
      <c r="BK83" s="100">
        <v>73.400000000000006</v>
      </c>
      <c r="BL83" s="100">
        <v>73.5</v>
      </c>
      <c r="BM83" s="100">
        <v>73.599999999999994</v>
      </c>
      <c r="BN83" s="100">
        <v>73.8</v>
      </c>
      <c r="BO83" s="100">
        <v>73.900000000000006</v>
      </c>
      <c r="BP83" s="100">
        <v>74</v>
      </c>
      <c r="BQ83" s="100">
        <v>74.099999999999994</v>
      </c>
      <c r="BR83" s="100">
        <v>74.099999999999994</v>
      </c>
      <c r="BS83" s="100">
        <v>74.099999999999994</v>
      </c>
      <c r="BT83" s="100">
        <v>74.2</v>
      </c>
      <c r="BU83" s="102">
        <v>74.2</v>
      </c>
      <c r="BV83" s="100"/>
      <c r="BW83" s="100"/>
      <c r="BX83" s="100"/>
      <c r="BY83" s="100"/>
      <c r="BZ83" s="100"/>
      <c r="CA83" s="100"/>
      <c r="CB83" s="100"/>
      <c r="CC83" s="100"/>
      <c r="CD83" s="100"/>
      <c r="CE83" s="100"/>
      <c r="CF83" s="100"/>
      <c r="CG83" s="100"/>
      <c r="CH83" s="100"/>
      <c r="CI83" s="100"/>
      <c r="CJ83" s="100"/>
      <c r="CK83" s="100"/>
      <c r="CL83" s="100"/>
      <c r="CM83" s="100"/>
      <c r="CN83" s="100"/>
      <c r="CO83" s="100"/>
      <c r="CP83" s="100"/>
      <c r="CQ83" s="100"/>
      <c r="CR83" s="100"/>
      <c r="CS83" s="100"/>
      <c r="CT83" s="100"/>
      <c r="CU83" s="100"/>
      <c r="CV83" s="100"/>
      <c r="CW83" s="100"/>
      <c r="CX83" s="100"/>
      <c r="CY83" s="100"/>
      <c r="CZ83" s="100"/>
      <c r="DA83" s="100"/>
      <c r="DB83" s="100"/>
      <c r="DC83" s="100"/>
      <c r="DD83" s="100"/>
      <c r="DE83" s="100"/>
      <c r="DF83" s="100"/>
      <c r="DG83" s="100"/>
      <c r="DH83" s="100"/>
      <c r="DI83" s="100"/>
      <c r="DJ83" s="100"/>
      <c r="DK83" s="100"/>
      <c r="DL83" s="100"/>
      <c r="DM83" s="100"/>
      <c r="DN83" s="100"/>
      <c r="DO83" s="100"/>
      <c r="DP83" s="100"/>
      <c r="DQ83" s="100"/>
      <c r="DR83" s="100"/>
      <c r="DS83" s="100"/>
      <c r="DT83" s="100"/>
      <c r="DU83" s="100"/>
      <c r="DV83" s="100"/>
      <c r="DW83" s="100"/>
      <c r="DX83" s="100"/>
      <c r="DY83" s="100"/>
      <c r="DZ83" s="100"/>
      <c r="EA83" s="100"/>
      <c r="EB83" s="100"/>
      <c r="EC83" s="100"/>
      <c r="ED83" s="100"/>
      <c r="EE83" s="100"/>
      <c r="EF83" s="100"/>
      <c r="EG83" s="100"/>
      <c r="EH83" s="100"/>
      <c r="EI83" s="100"/>
      <c r="EJ83" s="100"/>
      <c r="EK83" s="100"/>
      <c r="EL83" s="100"/>
      <c r="EM83" s="100"/>
      <c r="EN83" s="100"/>
      <c r="EO83" s="100"/>
      <c r="EP83" s="100"/>
      <c r="EQ83" s="106"/>
      <c r="ER83" s="106"/>
      <c r="ES83" s="106"/>
      <c r="ET83" s="106"/>
      <c r="EU83" s="106"/>
      <c r="EV83" s="106"/>
      <c r="EW83" s="106"/>
      <c r="EX83" s="106"/>
      <c r="EY83" s="106"/>
      <c r="EZ83" s="106"/>
      <c r="FA83" s="106"/>
      <c r="FB83" s="106"/>
      <c r="FC83" s="106"/>
      <c r="FD83" s="106"/>
      <c r="FE83" s="106"/>
      <c r="FF83" s="106"/>
      <c r="FG83" s="106"/>
      <c r="FH83" s="106"/>
      <c r="FI83" s="106"/>
      <c r="FJ83" s="106"/>
      <c r="FK83" s="106"/>
      <c r="FL83" s="106"/>
      <c r="FM83" s="106"/>
      <c r="FN83" s="106"/>
      <c r="FO83" s="106"/>
      <c r="FP83" s="106"/>
      <c r="FQ83" s="106"/>
      <c r="FR83" s="106"/>
      <c r="FS83" s="106"/>
      <c r="FT83" s="106"/>
      <c r="FU83" s="106"/>
      <c r="FV83" s="106"/>
      <c r="FW83" s="106"/>
      <c r="FX83" s="106"/>
      <c r="FY83" s="106"/>
      <c r="FZ83" s="106"/>
      <c r="GA83" s="106"/>
      <c r="GB83" s="106"/>
      <c r="GC83" s="106"/>
      <c r="GD83" s="106"/>
      <c r="GE83" s="106"/>
      <c r="GF83" s="106"/>
      <c r="GG83" s="159"/>
    </row>
    <row r="84" spans="2:189" x14ac:dyDescent="0.2">
      <c r="B84" s="97">
        <v>42552</v>
      </c>
      <c r="C84" s="100">
        <v>70.400000000000006</v>
      </c>
      <c r="D84" s="101">
        <v>70.599999999999994</v>
      </c>
      <c r="E84" s="101">
        <v>70.599999999999994</v>
      </c>
      <c r="F84" s="101">
        <v>70.7</v>
      </c>
      <c r="G84" s="100">
        <v>70.5</v>
      </c>
      <c r="H84" s="100">
        <v>70.3</v>
      </c>
      <c r="I84" s="100">
        <v>70.400000000000006</v>
      </c>
      <c r="J84" s="100">
        <v>70.5</v>
      </c>
      <c r="K84" s="100">
        <v>70.599999999999994</v>
      </c>
      <c r="L84" s="100">
        <v>70.5</v>
      </c>
      <c r="M84" s="100">
        <v>70.5</v>
      </c>
      <c r="N84" s="100">
        <v>70.5</v>
      </c>
      <c r="O84" s="100">
        <v>70.5</v>
      </c>
      <c r="P84" s="100">
        <v>70.2</v>
      </c>
      <c r="Q84" s="100">
        <v>70.2</v>
      </c>
      <c r="R84" s="100">
        <v>70.099999999999994</v>
      </c>
      <c r="S84" s="100">
        <v>70.099999999999994</v>
      </c>
      <c r="T84" s="100">
        <v>70.099999999999994</v>
      </c>
      <c r="U84" s="100">
        <v>70.2</v>
      </c>
      <c r="V84" s="100">
        <v>70.3</v>
      </c>
      <c r="W84" s="100">
        <v>70.3</v>
      </c>
      <c r="X84" s="100">
        <v>70.5</v>
      </c>
      <c r="Y84" s="100">
        <v>70.5</v>
      </c>
      <c r="Z84" s="100">
        <v>70.7</v>
      </c>
      <c r="AA84" s="100">
        <v>70.900000000000006</v>
      </c>
      <c r="AB84" s="100">
        <v>71.099999999999994</v>
      </c>
      <c r="AC84" s="100">
        <v>71.2</v>
      </c>
      <c r="AD84" s="100">
        <v>71.099999999999994</v>
      </c>
      <c r="AE84" s="100">
        <v>71.099999999999994</v>
      </c>
      <c r="AF84" s="100">
        <v>71.3</v>
      </c>
      <c r="AG84" s="100">
        <v>71.400000000000006</v>
      </c>
      <c r="AH84" s="100">
        <v>71.3</v>
      </c>
      <c r="AI84" s="100">
        <v>71.2</v>
      </c>
      <c r="AJ84" s="100">
        <v>71.2</v>
      </c>
      <c r="AK84" s="100">
        <v>71.2</v>
      </c>
      <c r="AL84" s="100">
        <v>71.2</v>
      </c>
      <c r="AM84" s="100">
        <v>71.3</v>
      </c>
      <c r="AN84" s="100">
        <v>71.5</v>
      </c>
      <c r="AO84" s="100">
        <v>71.5</v>
      </c>
      <c r="AP84" s="100">
        <v>71.599999999999994</v>
      </c>
      <c r="AQ84" s="100">
        <v>71.900000000000006</v>
      </c>
      <c r="AR84" s="100">
        <v>72</v>
      </c>
      <c r="AS84" s="100">
        <v>72</v>
      </c>
      <c r="AT84" s="100">
        <v>72.099999999999994</v>
      </c>
      <c r="AU84" s="100">
        <v>72.400000000000006</v>
      </c>
      <c r="AV84" s="100">
        <v>72.5</v>
      </c>
      <c r="AW84" s="100">
        <v>72.7</v>
      </c>
      <c r="AX84" s="100">
        <v>72.900000000000006</v>
      </c>
      <c r="AY84" s="100">
        <v>72.900000000000006</v>
      </c>
      <c r="AZ84" s="100">
        <v>72.8</v>
      </c>
      <c r="BA84" s="100">
        <v>73</v>
      </c>
      <c r="BB84" s="100">
        <v>73</v>
      </c>
      <c r="BC84" s="100">
        <v>73</v>
      </c>
      <c r="BD84" s="100">
        <v>73</v>
      </c>
      <c r="BE84" s="100">
        <v>73.2</v>
      </c>
      <c r="BF84" s="100">
        <v>73.3</v>
      </c>
      <c r="BG84" s="100">
        <v>73.400000000000006</v>
      </c>
      <c r="BH84" s="100">
        <v>73.5</v>
      </c>
      <c r="BI84" s="100">
        <v>73.400000000000006</v>
      </c>
      <c r="BJ84" s="103">
        <v>73.400000000000006</v>
      </c>
      <c r="BK84" s="100">
        <v>73.400000000000006</v>
      </c>
      <c r="BL84" s="100">
        <v>73.5</v>
      </c>
      <c r="BM84" s="100">
        <v>73.599999999999994</v>
      </c>
      <c r="BN84" s="100">
        <v>73.8</v>
      </c>
      <c r="BO84" s="100">
        <v>73.900000000000006</v>
      </c>
      <c r="BP84" s="100">
        <v>74</v>
      </c>
      <c r="BQ84" s="100">
        <v>74.099999999999994</v>
      </c>
      <c r="BR84" s="100">
        <v>74.099999999999994</v>
      </c>
      <c r="BS84" s="100">
        <v>74.099999999999994</v>
      </c>
      <c r="BT84" s="100">
        <v>74.2</v>
      </c>
      <c r="BU84" s="100">
        <v>74.2</v>
      </c>
      <c r="BV84" s="102">
        <v>74.400000000000006</v>
      </c>
      <c r="BW84" s="100"/>
      <c r="BX84" s="100"/>
      <c r="BY84" s="100"/>
      <c r="BZ84" s="100"/>
      <c r="CA84" s="100"/>
      <c r="CB84" s="100"/>
      <c r="CC84" s="100"/>
      <c r="CD84" s="100"/>
      <c r="CE84" s="100"/>
      <c r="CF84" s="100"/>
      <c r="CG84" s="100"/>
      <c r="CH84" s="100"/>
      <c r="CI84" s="100"/>
      <c r="CJ84" s="100"/>
      <c r="CK84" s="100"/>
      <c r="CL84" s="100"/>
      <c r="CM84" s="100"/>
      <c r="CN84" s="100"/>
      <c r="CO84" s="100"/>
      <c r="CP84" s="100"/>
      <c r="CQ84" s="100"/>
      <c r="CR84" s="100"/>
      <c r="CS84" s="100"/>
      <c r="CT84" s="100"/>
      <c r="CU84" s="100"/>
      <c r="CV84" s="100"/>
      <c r="CW84" s="100"/>
      <c r="CX84" s="100"/>
      <c r="CY84" s="100"/>
      <c r="CZ84" s="100"/>
      <c r="DA84" s="100"/>
      <c r="DB84" s="100"/>
      <c r="DC84" s="100"/>
      <c r="DD84" s="100"/>
      <c r="DE84" s="100"/>
      <c r="DF84" s="100"/>
      <c r="DG84" s="100"/>
      <c r="DH84" s="100"/>
      <c r="DI84" s="100"/>
      <c r="DJ84" s="100"/>
      <c r="DK84" s="100"/>
      <c r="DL84" s="100"/>
      <c r="DM84" s="100"/>
      <c r="DN84" s="100"/>
      <c r="DO84" s="100"/>
      <c r="DP84" s="100"/>
      <c r="DQ84" s="100"/>
      <c r="DR84" s="100"/>
      <c r="DS84" s="100"/>
      <c r="DT84" s="100"/>
      <c r="DU84" s="100"/>
      <c r="DV84" s="100"/>
      <c r="DW84" s="100"/>
      <c r="DX84" s="100"/>
      <c r="DY84" s="100"/>
      <c r="DZ84" s="100"/>
      <c r="EA84" s="100"/>
      <c r="EB84" s="100"/>
      <c r="EC84" s="100"/>
      <c r="ED84" s="100"/>
      <c r="EE84" s="100"/>
      <c r="EF84" s="100"/>
      <c r="EG84" s="100"/>
      <c r="EH84" s="100"/>
      <c r="EI84" s="100"/>
      <c r="EJ84" s="100"/>
      <c r="EK84" s="100"/>
      <c r="EL84" s="100"/>
      <c r="EM84" s="100"/>
      <c r="EN84" s="100"/>
      <c r="EO84" s="100"/>
      <c r="EP84" s="100"/>
      <c r="EQ84" s="106"/>
      <c r="ER84" s="106"/>
      <c r="ES84" s="106"/>
      <c r="ET84" s="106"/>
      <c r="EU84" s="106"/>
      <c r="EV84" s="106"/>
      <c r="EW84" s="106"/>
      <c r="EX84" s="106"/>
      <c r="EY84" s="106"/>
      <c r="EZ84" s="106"/>
      <c r="FA84" s="106"/>
      <c r="FB84" s="106"/>
      <c r="FC84" s="106"/>
      <c r="FD84" s="106"/>
      <c r="FE84" s="106"/>
      <c r="FF84" s="106"/>
      <c r="FG84" s="106"/>
      <c r="FH84" s="106"/>
      <c r="FI84" s="106"/>
      <c r="FJ84" s="106"/>
      <c r="FK84" s="106"/>
      <c r="FL84" s="106"/>
      <c r="FM84" s="106"/>
      <c r="FN84" s="106"/>
      <c r="FO84" s="106"/>
      <c r="FP84" s="106"/>
      <c r="FQ84" s="106"/>
      <c r="FR84" s="106"/>
      <c r="FS84" s="106"/>
      <c r="FT84" s="106"/>
      <c r="FU84" s="106"/>
      <c r="FV84" s="106"/>
      <c r="FW84" s="106"/>
      <c r="FX84" s="106"/>
      <c r="FY84" s="106"/>
      <c r="FZ84" s="106"/>
      <c r="GA84" s="106"/>
      <c r="GB84" s="106"/>
      <c r="GC84" s="106"/>
      <c r="GD84" s="106"/>
      <c r="GE84" s="106"/>
      <c r="GF84" s="106"/>
      <c r="GG84" s="159"/>
    </row>
    <row r="85" spans="2:189" x14ac:dyDescent="0.2">
      <c r="B85" s="97">
        <v>42583</v>
      </c>
      <c r="C85" s="100">
        <v>70.400000000000006</v>
      </c>
      <c r="D85" s="101">
        <v>70.599999999999994</v>
      </c>
      <c r="E85" s="101">
        <v>70.599999999999994</v>
      </c>
      <c r="F85" s="101">
        <v>70.7</v>
      </c>
      <c r="G85" s="100">
        <v>70.5</v>
      </c>
      <c r="H85" s="100">
        <v>70.3</v>
      </c>
      <c r="I85" s="100">
        <v>70.400000000000006</v>
      </c>
      <c r="J85" s="100">
        <v>70.5</v>
      </c>
      <c r="K85" s="100">
        <v>70.599999999999994</v>
      </c>
      <c r="L85" s="100">
        <v>70.5</v>
      </c>
      <c r="M85" s="100">
        <v>70.5</v>
      </c>
      <c r="N85" s="100">
        <v>70.5</v>
      </c>
      <c r="O85" s="100">
        <v>70.5</v>
      </c>
      <c r="P85" s="100">
        <v>70.2</v>
      </c>
      <c r="Q85" s="100">
        <v>70.2</v>
      </c>
      <c r="R85" s="100">
        <v>70.099999999999994</v>
      </c>
      <c r="S85" s="100">
        <v>70.099999999999994</v>
      </c>
      <c r="T85" s="100">
        <v>70.099999999999994</v>
      </c>
      <c r="U85" s="100">
        <v>70.2</v>
      </c>
      <c r="V85" s="100">
        <v>70.3</v>
      </c>
      <c r="W85" s="100">
        <v>70.3</v>
      </c>
      <c r="X85" s="100">
        <v>70.5</v>
      </c>
      <c r="Y85" s="100">
        <v>70.5</v>
      </c>
      <c r="Z85" s="100">
        <v>70.7</v>
      </c>
      <c r="AA85" s="100">
        <v>70.900000000000006</v>
      </c>
      <c r="AB85" s="100">
        <v>71.099999999999994</v>
      </c>
      <c r="AC85" s="100">
        <v>71.2</v>
      </c>
      <c r="AD85" s="100">
        <v>71.099999999999994</v>
      </c>
      <c r="AE85" s="100">
        <v>71.099999999999994</v>
      </c>
      <c r="AF85" s="100">
        <v>71.3</v>
      </c>
      <c r="AG85" s="100">
        <v>71.400000000000006</v>
      </c>
      <c r="AH85" s="100">
        <v>71.3</v>
      </c>
      <c r="AI85" s="100">
        <v>71.2</v>
      </c>
      <c r="AJ85" s="100">
        <v>71.2</v>
      </c>
      <c r="AK85" s="100">
        <v>71.2</v>
      </c>
      <c r="AL85" s="100">
        <v>71.2</v>
      </c>
      <c r="AM85" s="100">
        <v>71.3</v>
      </c>
      <c r="AN85" s="100">
        <v>71.5</v>
      </c>
      <c r="AO85" s="100">
        <v>71.5</v>
      </c>
      <c r="AP85" s="100">
        <v>71.599999999999994</v>
      </c>
      <c r="AQ85" s="100">
        <v>71.900000000000006</v>
      </c>
      <c r="AR85" s="100">
        <v>72</v>
      </c>
      <c r="AS85" s="100">
        <v>72</v>
      </c>
      <c r="AT85" s="100">
        <v>72.099999999999994</v>
      </c>
      <c r="AU85" s="100">
        <v>72.400000000000006</v>
      </c>
      <c r="AV85" s="100">
        <v>72.5</v>
      </c>
      <c r="AW85" s="100">
        <v>72.7</v>
      </c>
      <c r="AX85" s="100">
        <v>72.900000000000006</v>
      </c>
      <c r="AY85" s="100">
        <v>72.900000000000006</v>
      </c>
      <c r="AZ85" s="100">
        <v>72.8</v>
      </c>
      <c r="BA85" s="100">
        <v>73</v>
      </c>
      <c r="BB85" s="100">
        <v>73</v>
      </c>
      <c r="BC85" s="100">
        <v>73</v>
      </c>
      <c r="BD85" s="100">
        <v>73</v>
      </c>
      <c r="BE85" s="100">
        <v>73.2</v>
      </c>
      <c r="BF85" s="100">
        <v>73.3</v>
      </c>
      <c r="BG85" s="100">
        <v>73.400000000000006</v>
      </c>
      <c r="BH85" s="100">
        <v>73.5</v>
      </c>
      <c r="BI85" s="100">
        <v>73.400000000000006</v>
      </c>
      <c r="BJ85" s="100">
        <v>73.400000000000006</v>
      </c>
      <c r="BK85" s="103">
        <v>73.400000000000006</v>
      </c>
      <c r="BL85" s="100">
        <v>73.5</v>
      </c>
      <c r="BM85" s="100">
        <v>73.599999999999994</v>
      </c>
      <c r="BN85" s="100">
        <v>73.8</v>
      </c>
      <c r="BO85" s="100">
        <v>73.900000000000006</v>
      </c>
      <c r="BP85" s="100">
        <v>74</v>
      </c>
      <c r="BQ85" s="100">
        <v>74.099999999999994</v>
      </c>
      <c r="BR85" s="100">
        <v>74.099999999999994</v>
      </c>
      <c r="BS85" s="100">
        <v>74.099999999999994</v>
      </c>
      <c r="BT85" s="100">
        <v>74.2</v>
      </c>
      <c r="BU85" s="100">
        <v>74.2</v>
      </c>
      <c r="BV85" s="100">
        <v>74.400000000000006</v>
      </c>
      <c r="BW85" s="102">
        <v>74.5</v>
      </c>
      <c r="BX85" s="100"/>
      <c r="BY85" s="100"/>
      <c r="BZ85" s="100"/>
      <c r="CA85" s="100"/>
      <c r="CB85" s="100"/>
      <c r="CC85" s="100"/>
      <c r="CD85" s="100"/>
      <c r="CE85" s="100"/>
      <c r="CF85" s="100"/>
      <c r="CG85" s="100"/>
      <c r="CH85" s="100"/>
      <c r="CI85" s="100"/>
      <c r="CJ85" s="100"/>
      <c r="CK85" s="100"/>
      <c r="CL85" s="100"/>
      <c r="CM85" s="100"/>
      <c r="CN85" s="100"/>
      <c r="CO85" s="100"/>
      <c r="CP85" s="100"/>
      <c r="CQ85" s="100"/>
      <c r="CR85" s="100"/>
      <c r="CS85" s="100"/>
      <c r="CT85" s="100"/>
      <c r="CU85" s="100"/>
      <c r="CV85" s="100"/>
      <c r="CW85" s="100"/>
      <c r="CX85" s="100"/>
      <c r="CY85" s="100"/>
      <c r="CZ85" s="100"/>
      <c r="DA85" s="100"/>
      <c r="DB85" s="100"/>
      <c r="DC85" s="100"/>
      <c r="DD85" s="100"/>
      <c r="DE85" s="100"/>
      <c r="DF85" s="100"/>
      <c r="DG85" s="100"/>
      <c r="DH85" s="100"/>
      <c r="DI85" s="100"/>
      <c r="DJ85" s="100"/>
      <c r="DK85" s="100"/>
      <c r="DL85" s="100"/>
      <c r="DM85" s="100"/>
      <c r="DN85" s="100"/>
      <c r="DO85" s="100"/>
      <c r="DP85" s="100"/>
      <c r="DQ85" s="100"/>
      <c r="DR85" s="100"/>
      <c r="DS85" s="100"/>
      <c r="DT85" s="100"/>
      <c r="DU85" s="100"/>
      <c r="DV85" s="100"/>
      <c r="DW85" s="100"/>
      <c r="DX85" s="100"/>
      <c r="DY85" s="100"/>
      <c r="DZ85" s="100"/>
      <c r="EA85" s="100"/>
      <c r="EB85" s="100"/>
      <c r="EC85" s="100"/>
      <c r="ED85" s="100"/>
      <c r="EE85" s="100"/>
      <c r="EF85" s="100"/>
      <c r="EG85" s="100"/>
      <c r="EH85" s="100"/>
      <c r="EI85" s="100"/>
      <c r="EJ85" s="100"/>
      <c r="EK85" s="100"/>
      <c r="EL85" s="100"/>
      <c r="EM85" s="100"/>
      <c r="EN85" s="100"/>
      <c r="EO85" s="100"/>
      <c r="EP85" s="100"/>
      <c r="EQ85" s="106"/>
      <c r="ER85" s="106"/>
      <c r="ES85" s="106"/>
      <c r="ET85" s="106"/>
      <c r="EU85" s="106"/>
      <c r="EV85" s="106"/>
      <c r="EW85" s="106"/>
      <c r="EX85" s="106"/>
      <c r="EY85" s="106"/>
      <c r="EZ85" s="106"/>
      <c r="FA85" s="106"/>
      <c r="FB85" s="106"/>
      <c r="FC85" s="106"/>
      <c r="FD85" s="106"/>
      <c r="FE85" s="106"/>
      <c r="FF85" s="106"/>
      <c r="FG85" s="106"/>
      <c r="FH85" s="106"/>
      <c r="FI85" s="106"/>
      <c r="FJ85" s="106"/>
      <c r="FK85" s="106"/>
      <c r="FL85" s="106"/>
      <c r="FM85" s="106"/>
      <c r="FN85" s="106"/>
      <c r="FO85" s="106"/>
      <c r="FP85" s="106"/>
      <c r="FQ85" s="106"/>
      <c r="FR85" s="106"/>
      <c r="FS85" s="106"/>
      <c r="FT85" s="106"/>
      <c r="FU85" s="106"/>
      <c r="FV85" s="106"/>
      <c r="FW85" s="106"/>
      <c r="FX85" s="106"/>
      <c r="FY85" s="106"/>
      <c r="FZ85" s="106"/>
      <c r="GA85" s="106"/>
      <c r="GB85" s="106"/>
      <c r="GC85" s="106"/>
      <c r="GD85" s="106"/>
      <c r="GE85" s="106"/>
      <c r="GF85" s="106"/>
      <c r="GG85" s="159"/>
    </row>
    <row r="86" spans="2:189" x14ac:dyDescent="0.2">
      <c r="B86" s="97">
        <v>42614</v>
      </c>
      <c r="C86" s="100">
        <v>70.400000000000006</v>
      </c>
      <c r="D86" s="101">
        <v>70.599999999999994</v>
      </c>
      <c r="E86" s="101">
        <v>70.599999999999994</v>
      </c>
      <c r="F86" s="101">
        <v>70.7</v>
      </c>
      <c r="G86" s="100">
        <v>70.5</v>
      </c>
      <c r="H86" s="100">
        <v>70.3</v>
      </c>
      <c r="I86" s="100">
        <v>70.400000000000006</v>
      </c>
      <c r="J86" s="100">
        <v>70.5</v>
      </c>
      <c r="K86" s="100">
        <v>70.599999999999994</v>
      </c>
      <c r="L86" s="100">
        <v>70.5</v>
      </c>
      <c r="M86" s="100">
        <v>70.5</v>
      </c>
      <c r="N86" s="100">
        <v>70.5</v>
      </c>
      <c r="O86" s="100">
        <v>70.5</v>
      </c>
      <c r="P86" s="100">
        <v>70.2</v>
      </c>
      <c r="Q86" s="100">
        <v>70.2</v>
      </c>
      <c r="R86" s="100">
        <v>70.099999999999994</v>
      </c>
      <c r="S86" s="100">
        <v>70.099999999999994</v>
      </c>
      <c r="T86" s="100">
        <v>70.099999999999994</v>
      </c>
      <c r="U86" s="100">
        <v>70.2</v>
      </c>
      <c r="V86" s="100">
        <v>70.3</v>
      </c>
      <c r="W86" s="100">
        <v>70.3</v>
      </c>
      <c r="X86" s="100">
        <v>70.5</v>
      </c>
      <c r="Y86" s="100">
        <v>70.5</v>
      </c>
      <c r="Z86" s="100">
        <v>70.7</v>
      </c>
      <c r="AA86" s="100">
        <v>70.900000000000006</v>
      </c>
      <c r="AB86" s="100">
        <v>71.099999999999994</v>
      </c>
      <c r="AC86" s="100">
        <v>71.2</v>
      </c>
      <c r="AD86" s="100">
        <v>71.099999999999994</v>
      </c>
      <c r="AE86" s="100">
        <v>71.099999999999994</v>
      </c>
      <c r="AF86" s="100">
        <v>71.3</v>
      </c>
      <c r="AG86" s="100">
        <v>71.400000000000006</v>
      </c>
      <c r="AH86" s="100">
        <v>71.3</v>
      </c>
      <c r="AI86" s="100">
        <v>71.2</v>
      </c>
      <c r="AJ86" s="100">
        <v>71.2</v>
      </c>
      <c r="AK86" s="100">
        <v>71.2</v>
      </c>
      <c r="AL86" s="100">
        <v>71.2</v>
      </c>
      <c r="AM86" s="100">
        <v>71.3</v>
      </c>
      <c r="AN86" s="100">
        <v>71.5</v>
      </c>
      <c r="AO86" s="100">
        <v>71.5</v>
      </c>
      <c r="AP86" s="100">
        <v>71.599999999999994</v>
      </c>
      <c r="AQ86" s="100">
        <v>71.900000000000006</v>
      </c>
      <c r="AR86" s="100">
        <v>72</v>
      </c>
      <c r="AS86" s="100">
        <v>72</v>
      </c>
      <c r="AT86" s="100">
        <v>72.099999999999994</v>
      </c>
      <c r="AU86" s="100">
        <v>72.400000000000006</v>
      </c>
      <c r="AV86" s="100">
        <v>72.5</v>
      </c>
      <c r="AW86" s="100">
        <v>72.7</v>
      </c>
      <c r="AX86" s="100">
        <v>72.900000000000006</v>
      </c>
      <c r="AY86" s="100">
        <v>72.900000000000006</v>
      </c>
      <c r="AZ86" s="100">
        <v>72.8</v>
      </c>
      <c r="BA86" s="100">
        <v>73</v>
      </c>
      <c r="BB86" s="100">
        <v>73</v>
      </c>
      <c r="BC86" s="100">
        <v>73</v>
      </c>
      <c r="BD86" s="100">
        <v>73</v>
      </c>
      <c r="BE86" s="100">
        <v>73.2</v>
      </c>
      <c r="BF86" s="100">
        <v>73.3</v>
      </c>
      <c r="BG86" s="100">
        <v>73.400000000000006</v>
      </c>
      <c r="BH86" s="100">
        <v>73.5</v>
      </c>
      <c r="BI86" s="100">
        <v>73.400000000000006</v>
      </c>
      <c r="BJ86" s="100">
        <v>73.400000000000006</v>
      </c>
      <c r="BK86" s="100">
        <v>73.400000000000006</v>
      </c>
      <c r="BL86" s="103">
        <v>73.5</v>
      </c>
      <c r="BM86" s="100">
        <v>73.599999999999994</v>
      </c>
      <c r="BN86" s="100">
        <v>73.8</v>
      </c>
      <c r="BO86" s="100">
        <v>73.900000000000006</v>
      </c>
      <c r="BP86" s="100">
        <v>74</v>
      </c>
      <c r="BQ86" s="100">
        <v>74.099999999999994</v>
      </c>
      <c r="BR86" s="100">
        <v>74.099999999999994</v>
      </c>
      <c r="BS86" s="100">
        <v>74.099999999999994</v>
      </c>
      <c r="BT86" s="100">
        <v>74.2</v>
      </c>
      <c r="BU86" s="100">
        <v>74.2</v>
      </c>
      <c r="BV86" s="100">
        <v>74.400000000000006</v>
      </c>
      <c r="BW86" s="100">
        <v>74.5</v>
      </c>
      <c r="BX86" s="102">
        <v>74.5</v>
      </c>
      <c r="BY86" s="100"/>
      <c r="BZ86" s="100"/>
      <c r="CA86" s="100"/>
      <c r="CB86" s="100"/>
      <c r="CC86" s="100"/>
      <c r="CD86" s="100"/>
      <c r="CE86" s="100"/>
      <c r="CF86" s="100"/>
      <c r="CG86" s="100"/>
      <c r="CH86" s="100"/>
      <c r="CI86" s="100"/>
      <c r="CJ86" s="100"/>
      <c r="CK86" s="100"/>
      <c r="CL86" s="100"/>
      <c r="CM86" s="100"/>
      <c r="CN86" s="100"/>
      <c r="CO86" s="100"/>
      <c r="CP86" s="100"/>
      <c r="CQ86" s="100"/>
      <c r="CR86" s="100"/>
      <c r="CS86" s="100"/>
      <c r="CT86" s="100"/>
      <c r="CU86" s="100"/>
      <c r="CV86" s="100"/>
      <c r="CW86" s="100"/>
      <c r="CX86" s="100"/>
      <c r="CY86" s="100"/>
      <c r="CZ86" s="100"/>
      <c r="DA86" s="100"/>
      <c r="DB86" s="100"/>
      <c r="DC86" s="100"/>
      <c r="DD86" s="100"/>
      <c r="DE86" s="100"/>
      <c r="DF86" s="100"/>
      <c r="DG86" s="100"/>
      <c r="DH86" s="100"/>
      <c r="DI86" s="100"/>
      <c r="DJ86" s="100"/>
      <c r="DK86" s="100"/>
      <c r="DL86" s="100"/>
      <c r="DM86" s="100"/>
      <c r="DN86" s="100"/>
      <c r="DO86" s="100"/>
      <c r="DP86" s="100"/>
      <c r="DQ86" s="100"/>
      <c r="DR86" s="100"/>
      <c r="DS86" s="100"/>
      <c r="DT86" s="100"/>
      <c r="DU86" s="100"/>
      <c r="DV86" s="100"/>
      <c r="DW86" s="100"/>
      <c r="DX86" s="100"/>
      <c r="DY86" s="100"/>
      <c r="DZ86" s="100"/>
      <c r="EA86" s="100"/>
      <c r="EB86" s="100"/>
      <c r="EC86" s="100"/>
      <c r="ED86" s="100"/>
      <c r="EE86" s="100"/>
      <c r="EF86" s="100"/>
      <c r="EG86" s="100"/>
      <c r="EH86" s="100"/>
      <c r="EI86" s="100"/>
      <c r="EJ86" s="100"/>
      <c r="EK86" s="100"/>
      <c r="EL86" s="100"/>
      <c r="EM86" s="100"/>
      <c r="EN86" s="100"/>
      <c r="EO86" s="100"/>
      <c r="EP86" s="100"/>
      <c r="EQ86" s="106"/>
      <c r="ER86" s="106"/>
      <c r="ES86" s="106"/>
      <c r="ET86" s="106"/>
      <c r="EU86" s="106"/>
      <c r="EV86" s="106"/>
      <c r="EW86" s="106"/>
      <c r="EX86" s="106"/>
      <c r="EY86" s="106"/>
      <c r="EZ86" s="106"/>
      <c r="FA86" s="106"/>
      <c r="FB86" s="106"/>
      <c r="FC86" s="106"/>
      <c r="FD86" s="106"/>
      <c r="FE86" s="106"/>
      <c r="FF86" s="106"/>
      <c r="FG86" s="106"/>
      <c r="FH86" s="106"/>
      <c r="FI86" s="106"/>
      <c r="FJ86" s="106"/>
      <c r="FK86" s="106"/>
      <c r="FL86" s="106"/>
      <c r="FM86" s="106"/>
      <c r="FN86" s="106"/>
      <c r="FO86" s="106"/>
      <c r="FP86" s="106"/>
      <c r="FQ86" s="106"/>
      <c r="FR86" s="106"/>
      <c r="FS86" s="106"/>
      <c r="FT86" s="106"/>
      <c r="FU86" s="106"/>
      <c r="FV86" s="106"/>
      <c r="FW86" s="106"/>
      <c r="FX86" s="106"/>
      <c r="FY86" s="106"/>
      <c r="FZ86" s="106"/>
      <c r="GA86" s="106"/>
      <c r="GB86" s="106"/>
      <c r="GC86" s="106"/>
      <c r="GD86" s="106"/>
      <c r="GE86" s="106"/>
      <c r="GF86" s="106"/>
      <c r="GG86" s="159"/>
    </row>
    <row r="87" spans="2:189" x14ac:dyDescent="0.2">
      <c r="B87" s="97">
        <v>42644</v>
      </c>
      <c r="C87" s="100">
        <v>70.400000000000006</v>
      </c>
      <c r="D87" s="101">
        <v>70.599999999999994</v>
      </c>
      <c r="E87" s="101">
        <v>70.599999999999994</v>
      </c>
      <c r="F87" s="101">
        <v>70.7</v>
      </c>
      <c r="G87" s="100">
        <v>70.5</v>
      </c>
      <c r="H87" s="100">
        <v>70.3</v>
      </c>
      <c r="I87" s="100">
        <v>70.400000000000006</v>
      </c>
      <c r="J87" s="100">
        <v>70.5</v>
      </c>
      <c r="K87" s="100">
        <v>70.599999999999994</v>
      </c>
      <c r="L87" s="100">
        <v>70.5</v>
      </c>
      <c r="M87" s="100">
        <v>70.5</v>
      </c>
      <c r="N87" s="100">
        <v>70.5</v>
      </c>
      <c r="O87" s="100">
        <v>70.5</v>
      </c>
      <c r="P87" s="100">
        <v>70.2</v>
      </c>
      <c r="Q87" s="100">
        <v>70.2</v>
      </c>
      <c r="R87" s="100">
        <v>70.099999999999994</v>
      </c>
      <c r="S87" s="100">
        <v>70.099999999999994</v>
      </c>
      <c r="T87" s="100">
        <v>70.099999999999994</v>
      </c>
      <c r="U87" s="100">
        <v>70.2</v>
      </c>
      <c r="V87" s="100">
        <v>70.3</v>
      </c>
      <c r="W87" s="100">
        <v>70.3</v>
      </c>
      <c r="X87" s="100">
        <v>70.5</v>
      </c>
      <c r="Y87" s="100">
        <v>70.5</v>
      </c>
      <c r="Z87" s="100">
        <v>70.7</v>
      </c>
      <c r="AA87" s="100">
        <v>70.900000000000006</v>
      </c>
      <c r="AB87" s="100">
        <v>71.099999999999994</v>
      </c>
      <c r="AC87" s="100">
        <v>71.2</v>
      </c>
      <c r="AD87" s="100">
        <v>71.099999999999994</v>
      </c>
      <c r="AE87" s="100">
        <v>71.099999999999994</v>
      </c>
      <c r="AF87" s="100">
        <v>71.3</v>
      </c>
      <c r="AG87" s="100">
        <v>71.400000000000006</v>
      </c>
      <c r="AH87" s="100">
        <v>71.3</v>
      </c>
      <c r="AI87" s="100">
        <v>71.2</v>
      </c>
      <c r="AJ87" s="100">
        <v>71.2</v>
      </c>
      <c r="AK87" s="100">
        <v>71.2</v>
      </c>
      <c r="AL87" s="100">
        <v>71.2</v>
      </c>
      <c r="AM87" s="100">
        <v>71.3</v>
      </c>
      <c r="AN87" s="100">
        <v>71.5</v>
      </c>
      <c r="AO87" s="100">
        <v>71.5</v>
      </c>
      <c r="AP87" s="100">
        <v>71.599999999999994</v>
      </c>
      <c r="AQ87" s="100">
        <v>71.900000000000006</v>
      </c>
      <c r="AR87" s="100">
        <v>72</v>
      </c>
      <c r="AS87" s="100">
        <v>72</v>
      </c>
      <c r="AT87" s="100">
        <v>72.099999999999994</v>
      </c>
      <c r="AU87" s="100">
        <v>72.400000000000006</v>
      </c>
      <c r="AV87" s="100">
        <v>72.5</v>
      </c>
      <c r="AW87" s="100">
        <v>72.7</v>
      </c>
      <c r="AX87" s="100">
        <v>72.900000000000006</v>
      </c>
      <c r="AY87" s="100">
        <v>72.900000000000006</v>
      </c>
      <c r="AZ87" s="100">
        <v>72.8</v>
      </c>
      <c r="BA87" s="100">
        <v>73</v>
      </c>
      <c r="BB87" s="100">
        <v>73</v>
      </c>
      <c r="BC87" s="100">
        <v>73</v>
      </c>
      <c r="BD87" s="100">
        <v>73</v>
      </c>
      <c r="BE87" s="100">
        <v>73.2</v>
      </c>
      <c r="BF87" s="100">
        <v>73.3</v>
      </c>
      <c r="BG87" s="100">
        <v>73.400000000000006</v>
      </c>
      <c r="BH87" s="100">
        <v>73.5</v>
      </c>
      <c r="BI87" s="100">
        <v>73.400000000000006</v>
      </c>
      <c r="BJ87" s="100">
        <v>73.400000000000006</v>
      </c>
      <c r="BK87" s="100">
        <v>73.400000000000006</v>
      </c>
      <c r="BL87" s="100">
        <v>73.5</v>
      </c>
      <c r="BM87" s="103">
        <v>73.599999999999994</v>
      </c>
      <c r="BN87" s="100">
        <v>73.8</v>
      </c>
      <c r="BO87" s="100">
        <v>73.900000000000006</v>
      </c>
      <c r="BP87" s="100">
        <v>74</v>
      </c>
      <c r="BQ87" s="100">
        <v>74.099999999999994</v>
      </c>
      <c r="BR87" s="100">
        <v>74.099999999999994</v>
      </c>
      <c r="BS87" s="100">
        <v>74.099999999999994</v>
      </c>
      <c r="BT87" s="100">
        <v>74.2</v>
      </c>
      <c r="BU87" s="100">
        <v>74.2</v>
      </c>
      <c r="BV87" s="100">
        <v>74.400000000000006</v>
      </c>
      <c r="BW87" s="100">
        <v>74.5</v>
      </c>
      <c r="BX87" s="100">
        <v>74.5</v>
      </c>
      <c r="BY87" s="102">
        <v>74.5</v>
      </c>
      <c r="BZ87" s="100"/>
      <c r="CA87" s="100"/>
      <c r="CB87" s="100"/>
      <c r="CC87" s="100"/>
      <c r="CD87" s="100"/>
      <c r="CE87" s="100"/>
      <c r="CF87" s="100"/>
      <c r="CG87" s="100"/>
      <c r="CH87" s="100"/>
      <c r="CI87" s="100"/>
      <c r="CJ87" s="100"/>
      <c r="CK87" s="100"/>
      <c r="CL87" s="100"/>
      <c r="CM87" s="100"/>
      <c r="CN87" s="100"/>
      <c r="CO87" s="100"/>
      <c r="CP87" s="100"/>
      <c r="CQ87" s="100"/>
      <c r="CR87" s="100"/>
      <c r="CS87" s="100"/>
      <c r="CT87" s="100"/>
      <c r="CU87" s="100"/>
      <c r="CV87" s="100"/>
      <c r="CW87" s="100"/>
      <c r="CX87" s="100"/>
      <c r="CY87" s="100"/>
      <c r="CZ87" s="100"/>
      <c r="DA87" s="100"/>
      <c r="DB87" s="100"/>
      <c r="DC87" s="100"/>
      <c r="DD87" s="100"/>
      <c r="DE87" s="100"/>
      <c r="DF87" s="100"/>
      <c r="DG87" s="100"/>
      <c r="DH87" s="100"/>
      <c r="DI87" s="100"/>
      <c r="DJ87" s="100"/>
      <c r="DK87" s="100"/>
      <c r="DL87" s="100"/>
      <c r="DM87" s="100"/>
      <c r="DN87" s="100"/>
      <c r="DO87" s="100"/>
      <c r="DP87" s="100"/>
      <c r="DQ87" s="100"/>
      <c r="DR87" s="100"/>
      <c r="DS87" s="100"/>
      <c r="DT87" s="100"/>
      <c r="DU87" s="100"/>
      <c r="DV87" s="100"/>
      <c r="DW87" s="100"/>
      <c r="DX87" s="100"/>
      <c r="DY87" s="100"/>
      <c r="DZ87" s="100"/>
      <c r="EA87" s="100"/>
      <c r="EB87" s="100"/>
      <c r="EC87" s="100"/>
      <c r="ED87" s="100"/>
      <c r="EE87" s="100"/>
      <c r="EF87" s="100"/>
      <c r="EG87" s="100"/>
      <c r="EH87" s="100"/>
      <c r="EI87" s="100"/>
      <c r="EJ87" s="100"/>
      <c r="EK87" s="100"/>
      <c r="EL87" s="100"/>
      <c r="EM87" s="100"/>
      <c r="EN87" s="100"/>
      <c r="EO87" s="100"/>
      <c r="EP87" s="100"/>
      <c r="EQ87" s="106"/>
      <c r="ER87" s="106"/>
      <c r="ES87" s="106"/>
      <c r="ET87" s="106"/>
      <c r="EU87" s="106"/>
      <c r="EV87" s="106"/>
      <c r="EW87" s="106"/>
      <c r="EX87" s="106"/>
      <c r="EY87" s="106"/>
      <c r="EZ87" s="106"/>
      <c r="FA87" s="106"/>
      <c r="FB87" s="106"/>
      <c r="FC87" s="106"/>
      <c r="FD87" s="106"/>
      <c r="FE87" s="106"/>
      <c r="FF87" s="106"/>
      <c r="FG87" s="106"/>
      <c r="FH87" s="106"/>
      <c r="FI87" s="106"/>
      <c r="FJ87" s="106"/>
      <c r="FK87" s="106"/>
      <c r="FL87" s="106"/>
      <c r="FM87" s="106"/>
      <c r="FN87" s="106"/>
      <c r="FO87" s="106"/>
      <c r="FP87" s="106"/>
      <c r="FQ87" s="106"/>
      <c r="FR87" s="106"/>
      <c r="FS87" s="106"/>
      <c r="FT87" s="106"/>
      <c r="FU87" s="106"/>
      <c r="FV87" s="106"/>
      <c r="FW87" s="106"/>
      <c r="FX87" s="106"/>
      <c r="FY87" s="106"/>
      <c r="FZ87" s="106"/>
      <c r="GA87" s="106"/>
      <c r="GB87" s="106"/>
      <c r="GC87" s="106"/>
      <c r="GD87" s="106"/>
      <c r="GE87" s="106"/>
      <c r="GF87" s="106"/>
      <c r="GG87" s="159"/>
    </row>
    <row r="88" spans="2:189" x14ac:dyDescent="0.2">
      <c r="B88" s="97">
        <v>42675</v>
      </c>
      <c r="C88" s="100">
        <v>70.400000000000006</v>
      </c>
      <c r="D88" s="101">
        <v>70.599999999999994</v>
      </c>
      <c r="E88" s="101">
        <v>70.599999999999994</v>
      </c>
      <c r="F88" s="101">
        <v>70.7</v>
      </c>
      <c r="G88" s="100">
        <v>70.5</v>
      </c>
      <c r="H88" s="100">
        <v>70.3</v>
      </c>
      <c r="I88" s="100">
        <v>70.400000000000006</v>
      </c>
      <c r="J88" s="100">
        <v>70.5</v>
      </c>
      <c r="K88" s="100">
        <v>70.599999999999994</v>
      </c>
      <c r="L88" s="100">
        <v>70.5</v>
      </c>
      <c r="M88" s="100">
        <v>70.5</v>
      </c>
      <c r="N88" s="100">
        <v>70.5</v>
      </c>
      <c r="O88" s="100">
        <v>70.5</v>
      </c>
      <c r="P88" s="100">
        <v>70.2</v>
      </c>
      <c r="Q88" s="100">
        <v>70.2</v>
      </c>
      <c r="R88" s="100">
        <v>70.099999999999994</v>
      </c>
      <c r="S88" s="100">
        <v>70.099999999999994</v>
      </c>
      <c r="T88" s="100">
        <v>70.099999999999994</v>
      </c>
      <c r="U88" s="100">
        <v>70.2</v>
      </c>
      <c r="V88" s="100">
        <v>70.3</v>
      </c>
      <c r="W88" s="100">
        <v>70.3</v>
      </c>
      <c r="X88" s="100">
        <v>70.5</v>
      </c>
      <c r="Y88" s="100">
        <v>70.5</v>
      </c>
      <c r="Z88" s="100">
        <v>70.7</v>
      </c>
      <c r="AA88" s="100">
        <v>70.900000000000006</v>
      </c>
      <c r="AB88" s="100">
        <v>71.099999999999994</v>
      </c>
      <c r="AC88" s="100">
        <v>71.2</v>
      </c>
      <c r="AD88" s="100">
        <v>71.099999999999994</v>
      </c>
      <c r="AE88" s="100">
        <v>71.099999999999994</v>
      </c>
      <c r="AF88" s="100">
        <v>71.3</v>
      </c>
      <c r="AG88" s="100">
        <v>71.400000000000006</v>
      </c>
      <c r="AH88" s="100">
        <v>71.3</v>
      </c>
      <c r="AI88" s="100">
        <v>71.2</v>
      </c>
      <c r="AJ88" s="100">
        <v>71.2</v>
      </c>
      <c r="AK88" s="100">
        <v>71.2</v>
      </c>
      <c r="AL88" s="100">
        <v>71.2</v>
      </c>
      <c r="AM88" s="100">
        <v>71.3</v>
      </c>
      <c r="AN88" s="100">
        <v>71.5</v>
      </c>
      <c r="AO88" s="100">
        <v>71.5</v>
      </c>
      <c r="AP88" s="100">
        <v>71.599999999999994</v>
      </c>
      <c r="AQ88" s="100">
        <v>71.900000000000006</v>
      </c>
      <c r="AR88" s="100">
        <v>72</v>
      </c>
      <c r="AS88" s="100">
        <v>72</v>
      </c>
      <c r="AT88" s="100">
        <v>72.099999999999994</v>
      </c>
      <c r="AU88" s="100">
        <v>72.400000000000006</v>
      </c>
      <c r="AV88" s="100">
        <v>72.5</v>
      </c>
      <c r="AW88" s="100">
        <v>72.7</v>
      </c>
      <c r="AX88" s="100">
        <v>72.900000000000006</v>
      </c>
      <c r="AY88" s="100">
        <v>72.900000000000006</v>
      </c>
      <c r="AZ88" s="100">
        <v>72.8</v>
      </c>
      <c r="BA88" s="100">
        <v>73</v>
      </c>
      <c r="BB88" s="100">
        <v>73</v>
      </c>
      <c r="BC88" s="100">
        <v>73</v>
      </c>
      <c r="BD88" s="100">
        <v>73</v>
      </c>
      <c r="BE88" s="100">
        <v>73.2</v>
      </c>
      <c r="BF88" s="100">
        <v>73.3</v>
      </c>
      <c r="BG88" s="100">
        <v>73.400000000000006</v>
      </c>
      <c r="BH88" s="100">
        <v>73.5</v>
      </c>
      <c r="BI88" s="100">
        <v>73.400000000000006</v>
      </c>
      <c r="BJ88" s="100">
        <v>73.400000000000006</v>
      </c>
      <c r="BK88" s="100">
        <v>73.400000000000006</v>
      </c>
      <c r="BL88" s="100">
        <v>73.5</v>
      </c>
      <c r="BM88" s="100">
        <v>73.599999999999994</v>
      </c>
      <c r="BN88" s="103">
        <v>73.8</v>
      </c>
      <c r="BO88" s="100">
        <v>73.900000000000006</v>
      </c>
      <c r="BP88" s="100">
        <v>74</v>
      </c>
      <c r="BQ88" s="100">
        <v>74.099999999999994</v>
      </c>
      <c r="BR88" s="100">
        <v>74.099999999999994</v>
      </c>
      <c r="BS88" s="100">
        <v>74.099999999999994</v>
      </c>
      <c r="BT88" s="100">
        <v>74.2</v>
      </c>
      <c r="BU88" s="100">
        <v>74.2</v>
      </c>
      <c r="BV88" s="100">
        <v>74.400000000000006</v>
      </c>
      <c r="BW88" s="100">
        <v>74.5</v>
      </c>
      <c r="BX88" s="100">
        <v>74.5</v>
      </c>
      <c r="BY88" s="100">
        <v>74.5</v>
      </c>
      <c r="BZ88" s="102">
        <v>74.5</v>
      </c>
      <c r="CA88" s="100"/>
      <c r="CB88" s="100"/>
      <c r="CC88" s="100"/>
      <c r="CD88" s="100"/>
      <c r="CE88" s="100"/>
      <c r="CF88" s="100"/>
      <c r="CG88" s="100"/>
      <c r="CH88" s="100"/>
      <c r="CI88" s="100"/>
      <c r="CJ88" s="100"/>
      <c r="CK88" s="100"/>
      <c r="CL88" s="100"/>
      <c r="CM88" s="100"/>
      <c r="CN88" s="100"/>
      <c r="CO88" s="100"/>
      <c r="CP88" s="100"/>
      <c r="CQ88" s="100"/>
      <c r="CR88" s="100"/>
      <c r="CS88" s="100"/>
      <c r="CT88" s="100"/>
      <c r="CU88" s="100"/>
      <c r="CV88" s="100"/>
      <c r="CW88" s="100"/>
      <c r="CX88" s="100"/>
      <c r="CY88" s="100"/>
      <c r="CZ88" s="100"/>
      <c r="DA88" s="100"/>
      <c r="DB88" s="100"/>
      <c r="DC88" s="100"/>
      <c r="DD88" s="100"/>
      <c r="DE88" s="100"/>
      <c r="DF88" s="100"/>
      <c r="DG88" s="100"/>
      <c r="DH88" s="100"/>
      <c r="DI88" s="100"/>
      <c r="DJ88" s="100"/>
      <c r="DK88" s="100"/>
      <c r="DL88" s="100"/>
      <c r="DM88" s="100"/>
      <c r="DN88" s="100"/>
      <c r="DO88" s="100"/>
      <c r="DP88" s="100"/>
      <c r="DQ88" s="100"/>
      <c r="DR88" s="100"/>
      <c r="DS88" s="100"/>
      <c r="DT88" s="100"/>
      <c r="DU88" s="100"/>
      <c r="DV88" s="100"/>
      <c r="DW88" s="100"/>
      <c r="DX88" s="100"/>
      <c r="DY88" s="100"/>
      <c r="DZ88" s="100"/>
      <c r="EA88" s="100"/>
      <c r="EB88" s="100"/>
      <c r="EC88" s="100"/>
      <c r="ED88" s="100"/>
      <c r="EE88" s="100"/>
      <c r="EF88" s="100"/>
      <c r="EG88" s="100"/>
      <c r="EH88" s="100"/>
      <c r="EI88" s="100"/>
      <c r="EJ88" s="100"/>
      <c r="EK88" s="100"/>
      <c r="EL88" s="100"/>
      <c r="EM88" s="100"/>
      <c r="EN88" s="100"/>
      <c r="EO88" s="100"/>
      <c r="EP88" s="100"/>
      <c r="EQ88" s="106"/>
      <c r="ER88" s="106"/>
      <c r="ES88" s="106"/>
      <c r="ET88" s="106"/>
      <c r="EU88" s="106"/>
      <c r="EV88" s="106"/>
      <c r="EW88" s="106"/>
      <c r="EX88" s="106"/>
      <c r="EY88" s="106"/>
      <c r="EZ88" s="106"/>
      <c r="FA88" s="106"/>
      <c r="FB88" s="106"/>
      <c r="FC88" s="106"/>
      <c r="FD88" s="106"/>
      <c r="FE88" s="106"/>
      <c r="FF88" s="106"/>
      <c r="FG88" s="106"/>
      <c r="FH88" s="106"/>
      <c r="FI88" s="106"/>
      <c r="FJ88" s="106"/>
      <c r="FK88" s="106"/>
      <c r="FL88" s="106"/>
      <c r="FM88" s="106"/>
      <c r="FN88" s="106"/>
      <c r="FO88" s="106"/>
      <c r="FP88" s="106"/>
      <c r="FQ88" s="106"/>
      <c r="FR88" s="106"/>
      <c r="FS88" s="106"/>
      <c r="FT88" s="106"/>
      <c r="FU88" s="106"/>
      <c r="FV88" s="106"/>
      <c r="FW88" s="106"/>
      <c r="FX88" s="106"/>
      <c r="FY88" s="106"/>
      <c r="FZ88" s="106"/>
      <c r="GA88" s="106"/>
      <c r="GB88" s="106"/>
      <c r="GC88" s="106"/>
      <c r="GD88" s="106"/>
      <c r="GE88" s="106"/>
      <c r="GF88" s="106"/>
      <c r="GG88" s="159"/>
    </row>
    <row r="89" spans="2:189" x14ac:dyDescent="0.2">
      <c r="B89" s="97">
        <v>42705</v>
      </c>
      <c r="C89" s="100">
        <v>70.400000000000006</v>
      </c>
      <c r="D89" s="101">
        <v>70.599999999999994</v>
      </c>
      <c r="E89" s="101">
        <v>70.599999999999994</v>
      </c>
      <c r="F89" s="101">
        <v>70.7</v>
      </c>
      <c r="G89" s="100">
        <v>70.5</v>
      </c>
      <c r="H89" s="100">
        <v>70.3</v>
      </c>
      <c r="I89" s="100">
        <v>70.400000000000006</v>
      </c>
      <c r="J89" s="100">
        <v>70.5</v>
      </c>
      <c r="K89" s="100">
        <v>70.599999999999994</v>
      </c>
      <c r="L89" s="100">
        <v>70.5</v>
      </c>
      <c r="M89" s="100">
        <v>70.5</v>
      </c>
      <c r="N89" s="100">
        <v>70.5</v>
      </c>
      <c r="O89" s="100">
        <v>70.5</v>
      </c>
      <c r="P89" s="100">
        <v>70.2</v>
      </c>
      <c r="Q89" s="100">
        <v>70.2</v>
      </c>
      <c r="R89" s="100">
        <v>70.099999999999994</v>
      </c>
      <c r="S89" s="100">
        <v>70.099999999999994</v>
      </c>
      <c r="T89" s="100">
        <v>70.099999999999994</v>
      </c>
      <c r="U89" s="100">
        <v>70.2</v>
      </c>
      <c r="V89" s="100">
        <v>70.3</v>
      </c>
      <c r="W89" s="100">
        <v>70.3</v>
      </c>
      <c r="X89" s="100">
        <v>70.5</v>
      </c>
      <c r="Y89" s="100">
        <v>70.5</v>
      </c>
      <c r="Z89" s="100">
        <v>70.7</v>
      </c>
      <c r="AA89" s="100">
        <v>70.900000000000006</v>
      </c>
      <c r="AB89" s="100">
        <v>71.099999999999994</v>
      </c>
      <c r="AC89" s="100">
        <v>71.2</v>
      </c>
      <c r="AD89" s="100">
        <v>71.099999999999994</v>
      </c>
      <c r="AE89" s="100">
        <v>71.099999999999994</v>
      </c>
      <c r="AF89" s="100">
        <v>71.3</v>
      </c>
      <c r="AG89" s="100">
        <v>71.400000000000006</v>
      </c>
      <c r="AH89" s="100">
        <v>71.3</v>
      </c>
      <c r="AI89" s="100">
        <v>71.2</v>
      </c>
      <c r="AJ89" s="100">
        <v>71.2</v>
      </c>
      <c r="AK89" s="100">
        <v>71.2</v>
      </c>
      <c r="AL89" s="100">
        <v>71.2</v>
      </c>
      <c r="AM89" s="100">
        <v>71.3</v>
      </c>
      <c r="AN89" s="100">
        <v>71.5</v>
      </c>
      <c r="AO89" s="100">
        <v>71.5</v>
      </c>
      <c r="AP89" s="100">
        <v>71.599999999999994</v>
      </c>
      <c r="AQ89" s="100">
        <v>71.900000000000006</v>
      </c>
      <c r="AR89" s="100">
        <v>72</v>
      </c>
      <c r="AS89" s="100">
        <v>72</v>
      </c>
      <c r="AT89" s="100">
        <v>72.099999999999994</v>
      </c>
      <c r="AU89" s="100">
        <v>72.400000000000006</v>
      </c>
      <c r="AV89" s="100">
        <v>72.5</v>
      </c>
      <c r="AW89" s="100">
        <v>72.7</v>
      </c>
      <c r="AX89" s="100">
        <v>72.900000000000006</v>
      </c>
      <c r="AY89" s="100">
        <v>72.900000000000006</v>
      </c>
      <c r="AZ89" s="100">
        <v>72.8</v>
      </c>
      <c r="BA89" s="100">
        <v>73</v>
      </c>
      <c r="BB89" s="100">
        <v>73</v>
      </c>
      <c r="BC89" s="100">
        <v>73</v>
      </c>
      <c r="BD89" s="100">
        <v>73</v>
      </c>
      <c r="BE89" s="100">
        <v>73.2</v>
      </c>
      <c r="BF89" s="100">
        <v>73.3</v>
      </c>
      <c r="BG89" s="100">
        <v>73.400000000000006</v>
      </c>
      <c r="BH89" s="100">
        <v>73.5</v>
      </c>
      <c r="BI89" s="100">
        <v>73.400000000000006</v>
      </c>
      <c r="BJ89" s="100">
        <v>73.400000000000006</v>
      </c>
      <c r="BK89" s="100">
        <v>73.400000000000006</v>
      </c>
      <c r="BL89" s="100">
        <v>73.5</v>
      </c>
      <c r="BM89" s="100">
        <v>73.599999999999994</v>
      </c>
      <c r="BN89" s="100">
        <v>73.8</v>
      </c>
      <c r="BO89" s="103">
        <v>73.900000000000006</v>
      </c>
      <c r="BP89" s="100">
        <v>74</v>
      </c>
      <c r="BQ89" s="100">
        <v>74.099999999999994</v>
      </c>
      <c r="BR89" s="100">
        <v>74.099999999999994</v>
      </c>
      <c r="BS89" s="100">
        <v>74.099999999999994</v>
      </c>
      <c r="BT89" s="100">
        <v>74.2</v>
      </c>
      <c r="BU89" s="100">
        <v>74.2</v>
      </c>
      <c r="BV89" s="100">
        <v>74.400000000000006</v>
      </c>
      <c r="BW89" s="100">
        <v>74.5</v>
      </c>
      <c r="BX89" s="100">
        <v>74.5</v>
      </c>
      <c r="BY89" s="100">
        <v>74.5</v>
      </c>
      <c r="BZ89" s="100">
        <v>74.5</v>
      </c>
      <c r="CA89" s="102">
        <v>74.400000000000006</v>
      </c>
      <c r="CB89" s="100"/>
      <c r="CC89" s="100"/>
      <c r="CD89" s="100"/>
      <c r="CE89" s="100"/>
      <c r="CF89" s="100"/>
      <c r="CG89" s="100"/>
      <c r="CH89" s="100"/>
      <c r="CI89" s="100"/>
      <c r="CJ89" s="100"/>
      <c r="CK89" s="100"/>
      <c r="CL89" s="100"/>
      <c r="CM89" s="100"/>
      <c r="CN89" s="100"/>
      <c r="CO89" s="100"/>
      <c r="CP89" s="100"/>
      <c r="CQ89" s="100"/>
      <c r="CR89" s="100"/>
      <c r="CS89" s="100"/>
      <c r="CT89" s="100"/>
      <c r="CU89" s="100"/>
      <c r="CV89" s="100"/>
      <c r="CW89" s="100"/>
      <c r="CX89" s="100"/>
      <c r="CY89" s="100"/>
      <c r="CZ89" s="100"/>
      <c r="DA89" s="100"/>
      <c r="DB89" s="100"/>
      <c r="DC89" s="100"/>
      <c r="DD89" s="100"/>
      <c r="DE89" s="100"/>
      <c r="DF89" s="100"/>
      <c r="DG89" s="100"/>
      <c r="DH89" s="100"/>
      <c r="DI89" s="100"/>
      <c r="DJ89" s="100"/>
      <c r="DK89" s="100"/>
      <c r="DL89" s="100"/>
      <c r="DM89" s="100"/>
      <c r="DN89" s="100"/>
      <c r="DO89" s="100"/>
      <c r="DP89" s="100"/>
      <c r="DQ89" s="100"/>
      <c r="DR89" s="100"/>
      <c r="DS89" s="100"/>
      <c r="DT89" s="100"/>
      <c r="DU89" s="100"/>
      <c r="DV89" s="100"/>
      <c r="DW89" s="100"/>
      <c r="DX89" s="100"/>
      <c r="DY89" s="100"/>
      <c r="DZ89" s="100"/>
      <c r="EA89" s="100"/>
      <c r="EB89" s="100"/>
      <c r="EC89" s="100"/>
      <c r="ED89" s="100"/>
      <c r="EE89" s="100"/>
      <c r="EF89" s="100"/>
      <c r="EG89" s="100"/>
      <c r="EH89" s="100"/>
      <c r="EI89" s="100"/>
      <c r="EJ89" s="100"/>
      <c r="EK89" s="100"/>
      <c r="EL89" s="100"/>
      <c r="EM89" s="100"/>
      <c r="EN89" s="100"/>
      <c r="EO89" s="100"/>
      <c r="EP89" s="100"/>
      <c r="EQ89" s="106"/>
      <c r="ER89" s="106"/>
      <c r="ES89" s="106"/>
      <c r="ET89" s="106"/>
      <c r="EU89" s="106"/>
      <c r="EV89" s="106"/>
      <c r="EW89" s="106"/>
      <c r="EX89" s="106"/>
      <c r="EY89" s="106"/>
      <c r="EZ89" s="106"/>
      <c r="FA89" s="106"/>
      <c r="FB89" s="106"/>
      <c r="FC89" s="106"/>
      <c r="FD89" s="106"/>
      <c r="FE89" s="106"/>
      <c r="FF89" s="106"/>
      <c r="FG89" s="106"/>
      <c r="FH89" s="106"/>
      <c r="FI89" s="106"/>
      <c r="FJ89" s="106"/>
      <c r="FK89" s="106"/>
      <c r="FL89" s="106"/>
      <c r="FM89" s="106"/>
      <c r="FN89" s="106"/>
      <c r="FO89" s="106"/>
      <c r="FP89" s="106"/>
      <c r="FQ89" s="106"/>
      <c r="FR89" s="106"/>
      <c r="FS89" s="106"/>
      <c r="FT89" s="106"/>
      <c r="FU89" s="106"/>
      <c r="FV89" s="106"/>
      <c r="FW89" s="106"/>
      <c r="FX89" s="106"/>
      <c r="FY89" s="106"/>
      <c r="FZ89" s="106"/>
      <c r="GA89" s="106"/>
      <c r="GB89" s="106"/>
      <c r="GC89" s="106"/>
      <c r="GD89" s="106"/>
      <c r="GE89" s="106"/>
      <c r="GF89" s="106"/>
      <c r="GG89" s="159"/>
    </row>
    <row r="90" spans="2:189" x14ac:dyDescent="0.2">
      <c r="B90" s="97">
        <v>42736</v>
      </c>
      <c r="C90" s="100">
        <v>70.400000000000006</v>
      </c>
      <c r="D90" s="101">
        <v>70.599999999999994</v>
      </c>
      <c r="E90" s="101">
        <v>70.599999999999994</v>
      </c>
      <c r="F90" s="101">
        <v>70.7</v>
      </c>
      <c r="G90" s="100">
        <v>70.5</v>
      </c>
      <c r="H90" s="100">
        <v>70.3</v>
      </c>
      <c r="I90" s="100">
        <v>70.400000000000006</v>
      </c>
      <c r="J90" s="100">
        <v>70.5</v>
      </c>
      <c r="K90" s="100">
        <v>70.599999999999994</v>
      </c>
      <c r="L90" s="100">
        <v>70.5</v>
      </c>
      <c r="M90" s="100">
        <v>70.5</v>
      </c>
      <c r="N90" s="100">
        <v>70.5</v>
      </c>
      <c r="O90" s="100">
        <v>70.5</v>
      </c>
      <c r="P90" s="100">
        <v>70.2</v>
      </c>
      <c r="Q90" s="100">
        <v>70.2</v>
      </c>
      <c r="R90" s="100">
        <v>70.099999999999994</v>
      </c>
      <c r="S90" s="100">
        <v>70.099999999999994</v>
      </c>
      <c r="T90" s="100">
        <v>70.099999999999994</v>
      </c>
      <c r="U90" s="100">
        <v>70.2</v>
      </c>
      <c r="V90" s="100">
        <v>70.3</v>
      </c>
      <c r="W90" s="100">
        <v>70.3</v>
      </c>
      <c r="X90" s="100">
        <v>70.5</v>
      </c>
      <c r="Y90" s="100">
        <v>70.5</v>
      </c>
      <c r="Z90" s="100">
        <v>70.7</v>
      </c>
      <c r="AA90" s="100">
        <v>70.900000000000006</v>
      </c>
      <c r="AB90" s="100">
        <v>71.099999999999994</v>
      </c>
      <c r="AC90" s="100">
        <v>71.2</v>
      </c>
      <c r="AD90" s="100">
        <v>71.099999999999994</v>
      </c>
      <c r="AE90" s="100">
        <v>71.099999999999994</v>
      </c>
      <c r="AF90" s="100">
        <v>71.3</v>
      </c>
      <c r="AG90" s="100">
        <v>71.400000000000006</v>
      </c>
      <c r="AH90" s="100">
        <v>71.3</v>
      </c>
      <c r="AI90" s="100">
        <v>71.2</v>
      </c>
      <c r="AJ90" s="100">
        <v>71.2</v>
      </c>
      <c r="AK90" s="100">
        <v>71.2</v>
      </c>
      <c r="AL90" s="100">
        <v>71.2</v>
      </c>
      <c r="AM90" s="100">
        <v>71.3</v>
      </c>
      <c r="AN90" s="100">
        <v>71.5</v>
      </c>
      <c r="AO90" s="100">
        <v>71.5</v>
      </c>
      <c r="AP90" s="100">
        <v>71.599999999999994</v>
      </c>
      <c r="AQ90" s="100">
        <v>71.900000000000006</v>
      </c>
      <c r="AR90" s="100">
        <v>72</v>
      </c>
      <c r="AS90" s="100">
        <v>72</v>
      </c>
      <c r="AT90" s="100">
        <v>72.099999999999994</v>
      </c>
      <c r="AU90" s="100">
        <v>72.400000000000006</v>
      </c>
      <c r="AV90" s="100">
        <v>72.5</v>
      </c>
      <c r="AW90" s="100">
        <v>72.7</v>
      </c>
      <c r="AX90" s="100">
        <v>72.900000000000006</v>
      </c>
      <c r="AY90" s="100">
        <v>72.900000000000006</v>
      </c>
      <c r="AZ90" s="100">
        <v>72.8</v>
      </c>
      <c r="BA90" s="100">
        <v>73</v>
      </c>
      <c r="BB90" s="100">
        <v>73</v>
      </c>
      <c r="BC90" s="100">
        <v>73</v>
      </c>
      <c r="BD90" s="100">
        <v>73</v>
      </c>
      <c r="BE90" s="100">
        <v>73.2</v>
      </c>
      <c r="BF90" s="100">
        <v>73.3</v>
      </c>
      <c r="BG90" s="100">
        <v>73.400000000000006</v>
      </c>
      <c r="BH90" s="100">
        <v>73.5</v>
      </c>
      <c r="BI90" s="100">
        <v>73.400000000000006</v>
      </c>
      <c r="BJ90" s="100">
        <v>73.400000000000006</v>
      </c>
      <c r="BK90" s="100">
        <v>73.400000000000006</v>
      </c>
      <c r="BL90" s="100">
        <v>73.5</v>
      </c>
      <c r="BM90" s="100">
        <v>73.599999999999994</v>
      </c>
      <c r="BN90" s="100">
        <v>73.8</v>
      </c>
      <c r="BO90" s="100">
        <v>73.900000000000006</v>
      </c>
      <c r="BP90" s="103">
        <v>74</v>
      </c>
      <c r="BQ90" s="100">
        <v>74.099999999999994</v>
      </c>
      <c r="BR90" s="100">
        <v>74.099999999999994</v>
      </c>
      <c r="BS90" s="100">
        <v>74.099999999999994</v>
      </c>
      <c r="BT90" s="100">
        <v>74.2</v>
      </c>
      <c r="BU90" s="100">
        <v>74.2</v>
      </c>
      <c r="BV90" s="100">
        <v>74.400000000000006</v>
      </c>
      <c r="BW90" s="100">
        <v>74.5</v>
      </c>
      <c r="BX90" s="100">
        <v>74.5</v>
      </c>
      <c r="BY90" s="100">
        <v>74.5</v>
      </c>
      <c r="BZ90" s="100">
        <v>74.5</v>
      </c>
      <c r="CA90" s="100">
        <v>74.400000000000006</v>
      </c>
      <c r="CB90" s="102">
        <v>74.5</v>
      </c>
      <c r="CC90" s="100"/>
      <c r="CD90" s="100"/>
      <c r="CE90" s="100"/>
      <c r="CF90" s="100"/>
      <c r="CG90" s="100"/>
      <c r="CH90" s="100"/>
      <c r="CI90" s="100"/>
      <c r="CJ90" s="100"/>
      <c r="CK90" s="100"/>
      <c r="CL90" s="100"/>
      <c r="CM90" s="100"/>
      <c r="CN90" s="100"/>
      <c r="CO90" s="100"/>
      <c r="CP90" s="100"/>
      <c r="CQ90" s="100"/>
      <c r="CR90" s="100"/>
      <c r="CS90" s="100"/>
      <c r="CT90" s="100"/>
      <c r="CU90" s="100"/>
      <c r="CV90" s="100"/>
      <c r="CW90" s="100"/>
      <c r="CX90" s="100"/>
      <c r="CY90" s="100"/>
      <c r="CZ90" s="100"/>
      <c r="DA90" s="100"/>
      <c r="DB90" s="100"/>
      <c r="DC90" s="100"/>
      <c r="DD90" s="100"/>
      <c r="DE90" s="100"/>
      <c r="DF90" s="100"/>
      <c r="DG90" s="100"/>
      <c r="DH90" s="100"/>
      <c r="DI90" s="100"/>
      <c r="DJ90" s="100"/>
      <c r="DK90" s="100"/>
      <c r="DL90" s="100"/>
      <c r="DM90" s="100"/>
      <c r="DN90" s="100"/>
      <c r="DO90" s="100"/>
      <c r="DP90" s="100"/>
      <c r="DQ90" s="100"/>
      <c r="DR90" s="100"/>
      <c r="DS90" s="100"/>
      <c r="DT90" s="100"/>
      <c r="DU90" s="100"/>
      <c r="DV90" s="100"/>
      <c r="DW90" s="100"/>
      <c r="DX90" s="100"/>
      <c r="DY90" s="100"/>
      <c r="DZ90" s="100"/>
      <c r="EA90" s="100"/>
      <c r="EB90" s="100"/>
      <c r="EC90" s="100"/>
      <c r="ED90" s="100"/>
      <c r="EE90" s="100"/>
      <c r="EF90" s="100"/>
      <c r="EG90" s="100"/>
      <c r="EH90" s="100"/>
      <c r="EI90" s="100"/>
      <c r="EJ90" s="100"/>
      <c r="EK90" s="100"/>
      <c r="EL90" s="100"/>
      <c r="EM90" s="100"/>
      <c r="EN90" s="100"/>
      <c r="EO90" s="100"/>
      <c r="EP90" s="100"/>
      <c r="EQ90" s="106"/>
      <c r="ER90" s="106"/>
      <c r="ES90" s="106"/>
      <c r="ET90" s="106"/>
      <c r="EU90" s="106"/>
      <c r="EV90" s="106"/>
      <c r="EW90" s="106"/>
      <c r="EX90" s="106"/>
      <c r="EY90" s="106"/>
      <c r="EZ90" s="106"/>
      <c r="FA90" s="106"/>
      <c r="FB90" s="106"/>
      <c r="FC90" s="106"/>
      <c r="FD90" s="106"/>
      <c r="FE90" s="106"/>
      <c r="FF90" s="106"/>
      <c r="FG90" s="106"/>
      <c r="FH90" s="106"/>
      <c r="FI90" s="106"/>
      <c r="FJ90" s="106"/>
      <c r="FK90" s="106"/>
      <c r="FL90" s="106"/>
      <c r="FM90" s="106"/>
      <c r="FN90" s="106"/>
      <c r="FO90" s="106"/>
      <c r="FP90" s="106"/>
      <c r="FQ90" s="106"/>
      <c r="FR90" s="106"/>
      <c r="FS90" s="106"/>
      <c r="FT90" s="106"/>
      <c r="FU90" s="106"/>
      <c r="FV90" s="106"/>
      <c r="FW90" s="106"/>
      <c r="FX90" s="106"/>
      <c r="FY90" s="106"/>
      <c r="FZ90" s="106"/>
      <c r="GA90" s="106"/>
      <c r="GB90" s="106"/>
      <c r="GC90" s="106"/>
      <c r="GD90" s="106"/>
      <c r="GE90" s="106"/>
      <c r="GF90" s="106"/>
      <c r="GG90" s="159"/>
    </row>
    <row r="91" spans="2:189" x14ac:dyDescent="0.2">
      <c r="B91" s="97">
        <v>42767</v>
      </c>
      <c r="C91" s="100">
        <v>70.400000000000006</v>
      </c>
      <c r="D91" s="101">
        <v>70.599999999999994</v>
      </c>
      <c r="E91" s="101">
        <v>70.599999999999994</v>
      </c>
      <c r="F91" s="101">
        <v>70.7</v>
      </c>
      <c r="G91" s="100">
        <v>70.5</v>
      </c>
      <c r="H91" s="100">
        <v>70.3</v>
      </c>
      <c r="I91" s="100">
        <v>70.400000000000006</v>
      </c>
      <c r="J91" s="100">
        <v>70.5</v>
      </c>
      <c r="K91" s="100">
        <v>70.599999999999994</v>
      </c>
      <c r="L91" s="100">
        <v>70.5</v>
      </c>
      <c r="M91" s="100">
        <v>70.5</v>
      </c>
      <c r="N91" s="100">
        <v>70.5</v>
      </c>
      <c r="O91" s="100">
        <v>70.5</v>
      </c>
      <c r="P91" s="100">
        <v>70.2</v>
      </c>
      <c r="Q91" s="100">
        <v>70.2</v>
      </c>
      <c r="R91" s="100">
        <v>70.099999999999994</v>
      </c>
      <c r="S91" s="100">
        <v>70.099999999999994</v>
      </c>
      <c r="T91" s="100">
        <v>70.099999999999994</v>
      </c>
      <c r="U91" s="100">
        <v>70.2</v>
      </c>
      <c r="V91" s="100">
        <v>70.3</v>
      </c>
      <c r="W91" s="100">
        <v>70.3</v>
      </c>
      <c r="X91" s="100">
        <v>70.5</v>
      </c>
      <c r="Y91" s="100">
        <v>70.5</v>
      </c>
      <c r="Z91" s="100">
        <v>70.7</v>
      </c>
      <c r="AA91" s="100">
        <v>70.900000000000006</v>
      </c>
      <c r="AB91" s="100">
        <v>71.099999999999994</v>
      </c>
      <c r="AC91" s="100">
        <v>71.2</v>
      </c>
      <c r="AD91" s="100">
        <v>71.099999999999994</v>
      </c>
      <c r="AE91" s="100">
        <v>71.099999999999994</v>
      </c>
      <c r="AF91" s="100">
        <v>71.3</v>
      </c>
      <c r="AG91" s="100">
        <v>71.400000000000006</v>
      </c>
      <c r="AH91" s="100">
        <v>71.3</v>
      </c>
      <c r="AI91" s="100">
        <v>71.2</v>
      </c>
      <c r="AJ91" s="100">
        <v>71.2</v>
      </c>
      <c r="AK91" s="100">
        <v>71.2</v>
      </c>
      <c r="AL91" s="100">
        <v>71.2</v>
      </c>
      <c r="AM91" s="100">
        <v>71.3</v>
      </c>
      <c r="AN91" s="100">
        <v>71.5</v>
      </c>
      <c r="AO91" s="100">
        <v>71.5</v>
      </c>
      <c r="AP91" s="100">
        <v>71.599999999999994</v>
      </c>
      <c r="AQ91" s="100">
        <v>71.900000000000006</v>
      </c>
      <c r="AR91" s="100">
        <v>72</v>
      </c>
      <c r="AS91" s="100">
        <v>72</v>
      </c>
      <c r="AT91" s="100">
        <v>72.099999999999994</v>
      </c>
      <c r="AU91" s="100">
        <v>72.400000000000006</v>
      </c>
      <c r="AV91" s="100">
        <v>72.5</v>
      </c>
      <c r="AW91" s="100">
        <v>72.7</v>
      </c>
      <c r="AX91" s="100">
        <v>72.900000000000006</v>
      </c>
      <c r="AY91" s="100">
        <v>72.900000000000006</v>
      </c>
      <c r="AZ91" s="100">
        <v>72.8</v>
      </c>
      <c r="BA91" s="100">
        <v>73</v>
      </c>
      <c r="BB91" s="100">
        <v>73</v>
      </c>
      <c r="BC91" s="100">
        <v>73</v>
      </c>
      <c r="BD91" s="100">
        <v>73</v>
      </c>
      <c r="BE91" s="100">
        <v>73.2</v>
      </c>
      <c r="BF91" s="100">
        <v>73.3</v>
      </c>
      <c r="BG91" s="100">
        <v>73.400000000000006</v>
      </c>
      <c r="BH91" s="100">
        <v>73.5</v>
      </c>
      <c r="BI91" s="100">
        <v>73.400000000000006</v>
      </c>
      <c r="BJ91" s="100">
        <v>73.400000000000006</v>
      </c>
      <c r="BK91" s="100">
        <v>73.400000000000006</v>
      </c>
      <c r="BL91" s="100">
        <v>73.5</v>
      </c>
      <c r="BM91" s="100">
        <v>73.599999999999994</v>
      </c>
      <c r="BN91" s="100">
        <v>73.8</v>
      </c>
      <c r="BO91" s="100">
        <v>73.900000000000006</v>
      </c>
      <c r="BP91" s="100">
        <v>74</v>
      </c>
      <c r="BQ91" s="103">
        <v>74.099999999999994</v>
      </c>
      <c r="BR91" s="100">
        <v>74.099999999999994</v>
      </c>
      <c r="BS91" s="100">
        <v>74.099999999999994</v>
      </c>
      <c r="BT91" s="100">
        <v>74.2</v>
      </c>
      <c r="BU91" s="100">
        <v>74.2</v>
      </c>
      <c r="BV91" s="100">
        <v>74.400000000000006</v>
      </c>
      <c r="BW91" s="100">
        <v>74.5</v>
      </c>
      <c r="BX91" s="100">
        <v>74.5</v>
      </c>
      <c r="BY91" s="100">
        <v>74.5</v>
      </c>
      <c r="BZ91" s="100">
        <v>74.5</v>
      </c>
      <c r="CA91" s="100">
        <v>74.400000000000006</v>
      </c>
      <c r="CB91" s="100">
        <v>74.5</v>
      </c>
      <c r="CC91" s="102">
        <v>74.599999999999994</v>
      </c>
      <c r="CD91" s="100"/>
      <c r="CE91" s="100"/>
      <c r="CF91" s="100"/>
      <c r="CG91" s="100"/>
      <c r="CH91" s="100"/>
      <c r="CI91" s="100"/>
      <c r="CJ91" s="100"/>
      <c r="CK91" s="100"/>
      <c r="CL91" s="100"/>
      <c r="CM91" s="100"/>
      <c r="CN91" s="100"/>
      <c r="CO91" s="100"/>
      <c r="CP91" s="100"/>
      <c r="CQ91" s="100"/>
      <c r="CR91" s="100"/>
      <c r="CS91" s="100"/>
      <c r="CT91" s="100"/>
      <c r="CU91" s="100"/>
      <c r="CV91" s="100"/>
      <c r="CW91" s="100"/>
      <c r="CX91" s="100"/>
      <c r="CY91" s="100"/>
      <c r="CZ91" s="100"/>
      <c r="DA91" s="100"/>
      <c r="DB91" s="100"/>
      <c r="DC91" s="100"/>
      <c r="DD91" s="100"/>
      <c r="DE91" s="100"/>
      <c r="DF91" s="100"/>
      <c r="DG91" s="100"/>
      <c r="DH91" s="100"/>
      <c r="DI91" s="100"/>
      <c r="DJ91" s="100"/>
      <c r="DK91" s="100"/>
      <c r="DL91" s="100"/>
      <c r="DM91" s="100"/>
      <c r="DN91" s="100"/>
      <c r="DO91" s="100"/>
      <c r="DP91" s="100"/>
      <c r="DQ91" s="100"/>
      <c r="DR91" s="100"/>
      <c r="DS91" s="100"/>
      <c r="DT91" s="100"/>
      <c r="DU91" s="100"/>
      <c r="DV91" s="100"/>
      <c r="DW91" s="100"/>
      <c r="DX91" s="100"/>
      <c r="DY91" s="100"/>
      <c r="DZ91" s="100"/>
      <c r="EA91" s="100"/>
      <c r="EB91" s="100"/>
      <c r="EC91" s="100"/>
      <c r="ED91" s="100"/>
      <c r="EE91" s="100"/>
      <c r="EF91" s="100"/>
      <c r="EG91" s="100"/>
      <c r="EH91" s="100"/>
      <c r="EI91" s="100"/>
      <c r="EJ91" s="100"/>
      <c r="EK91" s="100"/>
      <c r="EL91" s="100"/>
      <c r="EM91" s="100"/>
      <c r="EN91" s="100"/>
      <c r="EO91" s="100"/>
      <c r="EP91" s="100"/>
      <c r="EQ91" s="106"/>
      <c r="ER91" s="106"/>
      <c r="ES91" s="106"/>
      <c r="ET91" s="106"/>
      <c r="EU91" s="106"/>
      <c r="EV91" s="106"/>
      <c r="EW91" s="106"/>
      <c r="EX91" s="106"/>
      <c r="EY91" s="106"/>
      <c r="EZ91" s="106"/>
      <c r="FA91" s="106"/>
      <c r="FB91" s="106"/>
      <c r="FC91" s="106"/>
      <c r="FD91" s="106"/>
      <c r="FE91" s="106"/>
      <c r="FF91" s="106"/>
      <c r="FG91" s="106"/>
      <c r="FH91" s="106"/>
      <c r="FI91" s="106"/>
      <c r="FJ91" s="106"/>
      <c r="FK91" s="106"/>
      <c r="FL91" s="106"/>
      <c r="FM91" s="106"/>
      <c r="FN91" s="106"/>
      <c r="FO91" s="106"/>
      <c r="FP91" s="106"/>
      <c r="FQ91" s="106"/>
      <c r="FR91" s="106"/>
      <c r="FS91" s="106"/>
      <c r="FT91" s="106"/>
      <c r="FU91" s="106"/>
      <c r="FV91" s="106"/>
      <c r="FW91" s="106"/>
      <c r="FX91" s="106"/>
      <c r="FY91" s="106"/>
      <c r="FZ91" s="106"/>
      <c r="GA91" s="106"/>
      <c r="GB91" s="106"/>
      <c r="GC91" s="106"/>
      <c r="GD91" s="106"/>
      <c r="GE91" s="106"/>
      <c r="GF91" s="106"/>
      <c r="GG91" s="159"/>
    </row>
    <row r="92" spans="2:189" x14ac:dyDescent="0.2">
      <c r="B92" s="97">
        <v>42795</v>
      </c>
      <c r="C92" s="100">
        <v>70.400000000000006</v>
      </c>
      <c r="D92" s="101">
        <v>70.599999999999994</v>
      </c>
      <c r="E92" s="101">
        <v>70.599999999999994</v>
      </c>
      <c r="F92" s="101">
        <v>70.7</v>
      </c>
      <c r="G92" s="100">
        <v>70.5</v>
      </c>
      <c r="H92" s="100">
        <v>70.3</v>
      </c>
      <c r="I92" s="100">
        <v>70.400000000000006</v>
      </c>
      <c r="J92" s="100">
        <v>70.5</v>
      </c>
      <c r="K92" s="100">
        <v>70.599999999999994</v>
      </c>
      <c r="L92" s="100">
        <v>70.5</v>
      </c>
      <c r="M92" s="100">
        <v>70.5</v>
      </c>
      <c r="N92" s="100">
        <v>70.5</v>
      </c>
      <c r="O92" s="100">
        <v>70.5</v>
      </c>
      <c r="P92" s="100">
        <v>70.2</v>
      </c>
      <c r="Q92" s="100">
        <v>70.2</v>
      </c>
      <c r="R92" s="100">
        <v>70.099999999999994</v>
      </c>
      <c r="S92" s="100">
        <v>70.099999999999994</v>
      </c>
      <c r="T92" s="100">
        <v>70.099999999999994</v>
      </c>
      <c r="U92" s="100">
        <v>70.2</v>
      </c>
      <c r="V92" s="100">
        <v>70.3</v>
      </c>
      <c r="W92" s="100">
        <v>70.3</v>
      </c>
      <c r="X92" s="100">
        <v>70.5</v>
      </c>
      <c r="Y92" s="100">
        <v>70.5</v>
      </c>
      <c r="Z92" s="100">
        <v>70.7</v>
      </c>
      <c r="AA92" s="100">
        <v>70.900000000000006</v>
      </c>
      <c r="AB92" s="100">
        <v>71.099999999999994</v>
      </c>
      <c r="AC92" s="100">
        <v>71.2</v>
      </c>
      <c r="AD92" s="100">
        <v>71.099999999999994</v>
      </c>
      <c r="AE92" s="100">
        <v>71.099999999999994</v>
      </c>
      <c r="AF92" s="100">
        <v>71.3</v>
      </c>
      <c r="AG92" s="100">
        <v>71.400000000000006</v>
      </c>
      <c r="AH92" s="100">
        <v>71.3</v>
      </c>
      <c r="AI92" s="100">
        <v>71.2</v>
      </c>
      <c r="AJ92" s="100">
        <v>71.2</v>
      </c>
      <c r="AK92" s="100">
        <v>71.2</v>
      </c>
      <c r="AL92" s="100">
        <v>71.2</v>
      </c>
      <c r="AM92" s="100">
        <v>71.3</v>
      </c>
      <c r="AN92" s="100">
        <v>71.5</v>
      </c>
      <c r="AO92" s="100">
        <v>71.5</v>
      </c>
      <c r="AP92" s="100">
        <v>71.599999999999994</v>
      </c>
      <c r="AQ92" s="100">
        <v>71.900000000000006</v>
      </c>
      <c r="AR92" s="100">
        <v>72</v>
      </c>
      <c r="AS92" s="100">
        <v>72</v>
      </c>
      <c r="AT92" s="100">
        <v>72.099999999999994</v>
      </c>
      <c r="AU92" s="100">
        <v>72.400000000000006</v>
      </c>
      <c r="AV92" s="100">
        <v>72.5</v>
      </c>
      <c r="AW92" s="100">
        <v>72.7</v>
      </c>
      <c r="AX92" s="100">
        <v>72.900000000000006</v>
      </c>
      <c r="AY92" s="100">
        <v>72.900000000000006</v>
      </c>
      <c r="AZ92" s="100">
        <v>72.8</v>
      </c>
      <c r="BA92" s="100">
        <v>73</v>
      </c>
      <c r="BB92" s="100">
        <v>73</v>
      </c>
      <c r="BC92" s="100">
        <v>73</v>
      </c>
      <c r="BD92" s="100">
        <v>73</v>
      </c>
      <c r="BE92" s="100">
        <v>73.2</v>
      </c>
      <c r="BF92" s="100">
        <v>73.3</v>
      </c>
      <c r="BG92" s="100">
        <v>73.400000000000006</v>
      </c>
      <c r="BH92" s="100">
        <v>73.5</v>
      </c>
      <c r="BI92" s="100">
        <v>73.400000000000006</v>
      </c>
      <c r="BJ92" s="100">
        <v>73.400000000000006</v>
      </c>
      <c r="BK92" s="100">
        <v>73.400000000000006</v>
      </c>
      <c r="BL92" s="100">
        <v>73.5</v>
      </c>
      <c r="BM92" s="100">
        <v>73.599999999999994</v>
      </c>
      <c r="BN92" s="100">
        <v>73.8</v>
      </c>
      <c r="BO92" s="100">
        <v>73.900000000000006</v>
      </c>
      <c r="BP92" s="100">
        <v>74</v>
      </c>
      <c r="BQ92" s="100">
        <v>74.099999999999994</v>
      </c>
      <c r="BR92" s="103">
        <v>74.099999999999994</v>
      </c>
      <c r="BS92" s="100">
        <v>74.099999999999994</v>
      </c>
      <c r="BT92" s="100">
        <v>74.2</v>
      </c>
      <c r="BU92" s="100">
        <v>74.2</v>
      </c>
      <c r="BV92" s="100">
        <v>74.400000000000006</v>
      </c>
      <c r="BW92" s="100">
        <v>74.5</v>
      </c>
      <c r="BX92" s="100">
        <v>74.5</v>
      </c>
      <c r="BY92" s="100">
        <v>74.5</v>
      </c>
      <c r="BZ92" s="100">
        <v>74.5</v>
      </c>
      <c r="CA92" s="100">
        <v>74.400000000000006</v>
      </c>
      <c r="CB92" s="100">
        <v>74.5</v>
      </c>
      <c r="CC92" s="100">
        <v>74.599999999999994</v>
      </c>
      <c r="CD92" s="102">
        <v>74.599999999999994</v>
      </c>
      <c r="CE92" s="100"/>
      <c r="CF92" s="100"/>
      <c r="CG92" s="100"/>
      <c r="CH92" s="100"/>
      <c r="CI92" s="100"/>
      <c r="CJ92" s="100"/>
      <c r="CK92" s="100"/>
      <c r="CL92" s="100"/>
      <c r="CM92" s="100"/>
      <c r="CN92" s="100"/>
      <c r="CO92" s="100"/>
      <c r="CP92" s="100"/>
      <c r="CQ92" s="100"/>
      <c r="CR92" s="100"/>
      <c r="CS92" s="100"/>
      <c r="CT92" s="100"/>
      <c r="CU92" s="100"/>
      <c r="CV92" s="100"/>
      <c r="CW92" s="100"/>
      <c r="CX92" s="100"/>
      <c r="CY92" s="100"/>
      <c r="CZ92" s="100"/>
      <c r="DA92" s="100"/>
      <c r="DB92" s="100"/>
      <c r="DC92" s="100"/>
      <c r="DD92" s="100"/>
      <c r="DE92" s="100"/>
      <c r="DF92" s="100"/>
      <c r="DG92" s="100"/>
      <c r="DH92" s="100"/>
      <c r="DI92" s="100"/>
      <c r="DJ92" s="100"/>
      <c r="DK92" s="100"/>
      <c r="DL92" s="100"/>
      <c r="DM92" s="100"/>
      <c r="DN92" s="100"/>
      <c r="DO92" s="100"/>
      <c r="DP92" s="100"/>
      <c r="DQ92" s="100"/>
      <c r="DR92" s="100"/>
      <c r="DS92" s="100"/>
      <c r="DT92" s="100"/>
      <c r="DU92" s="100"/>
      <c r="DV92" s="100"/>
      <c r="DW92" s="100"/>
      <c r="DX92" s="100"/>
      <c r="DY92" s="100"/>
      <c r="DZ92" s="100"/>
      <c r="EA92" s="100"/>
      <c r="EB92" s="100"/>
      <c r="EC92" s="100"/>
      <c r="ED92" s="100"/>
      <c r="EE92" s="100"/>
      <c r="EF92" s="100"/>
      <c r="EG92" s="100"/>
      <c r="EH92" s="100"/>
      <c r="EI92" s="100"/>
      <c r="EJ92" s="100"/>
      <c r="EK92" s="100"/>
      <c r="EL92" s="100"/>
      <c r="EM92" s="100"/>
      <c r="EN92" s="100"/>
      <c r="EO92" s="100"/>
      <c r="EP92" s="100"/>
      <c r="EQ92" s="106"/>
      <c r="ER92" s="106"/>
      <c r="ES92" s="106"/>
      <c r="ET92" s="106"/>
      <c r="EU92" s="106"/>
      <c r="EV92" s="106"/>
      <c r="EW92" s="106"/>
      <c r="EX92" s="106"/>
      <c r="EY92" s="106"/>
      <c r="EZ92" s="106"/>
      <c r="FA92" s="106"/>
      <c r="FB92" s="106"/>
      <c r="FC92" s="106"/>
      <c r="FD92" s="106"/>
      <c r="FE92" s="106"/>
      <c r="FF92" s="106"/>
      <c r="FG92" s="106"/>
      <c r="FH92" s="106"/>
      <c r="FI92" s="106"/>
      <c r="FJ92" s="106"/>
      <c r="FK92" s="106"/>
      <c r="FL92" s="106"/>
      <c r="FM92" s="106"/>
      <c r="FN92" s="106"/>
      <c r="FO92" s="106"/>
      <c r="FP92" s="106"/>
      <c r="FQ92" s="106"/>
      <c r="FR92" s="106"/>
      <c r="FS92" s="106"/>
      <c r="FT92" s="106"/>
      <c r="FU92" s="106"/>
      <c r="FV92" s="106"/>
      <c r="FW92" s="106"/>
      <c r="FX92" s="106"/>
      <c r="FY92" s="106"/>
      <c r="FZ92" s="106"/>
      <c r="GA92" s="106"/>
      <c r="GB92" s="106"/>
      <c r="GC92" s="106"/>
      <c r="GD92" s="106"/>
      <c r="GE92" s="106"/>
      <c r="GF92" s="106"/>
      <c r="GG92" s="159"/>
    </row>
    <row r="93" spans="2:189" x14ac:dyDescent="0.2">
      <c r="B93" s="97">
        <v>42826</v>
      </c>
      <c r="C93" s="100">
        <v>70.400000000000006</v>
      </c>
      <c r="D93" s="101">
        <v>70.599999999999994</v>
      </c>
      <c r="E93" s="101">
        <v>70.599999999999994</v>
      </c>
      <c r="F93" s="101">
        <v>70.7</v>
      </c>
      <c r="G93" s="100">
        <v>70.5</v>
      </c>
      <c r="H93" s="100">
        <v>70.3</v>
      </c>
      <c r="I93" s="100">
        <v>70.400000000000006</v>
      </c>
      <c r="J93" s="100">
        <v>70.5</v>
      </c>
      <c r="K93" s="100">
        <v>70.599999999999994</v>
      </c>
      <c r="L93" s="100">
        <v>70.5</v>
      </c>
      <c r="M93" s="100">
        <v>70.5</v>
      </c>
      <c r="N93" s="100">
        <v>70.5</v>
      </c>
      <c r="O93" s="100">
        <v>70.5</v>
      </c>
      <c r="P93" s="100">
        <v>70.2</v>
      </c>
      <c r="Q93" s="100">
        <v>70.2</v>
      </c>
      <c r="R93" s="100">
        <v>70.099999999999994</v>
      </c>
      <c r="S93" s="100">
        <v>70.099999999999994</v>
      </c>
      <c r="T93" s="100">
        <v>70.099999999999994</v>
      </c>
      <c r="U93" s="100">
        <v>70.2</v>
      </c>
      <c r="V93" s="100">
        <v>70.3</v>
      </c>
      <c r="W93" s="100">
        <v>70.3</v>
      </c>
      <c r="X93" s="100">
        <v>70.5</v>
      </c>
      <c r="Y93" s="100">
        <v>70.5</v>
      </c>
      <c r="Z93" s="100">
        <v>70.7</v>
      </c>
      <c r="AA93" s="100">
        <v>70.900000000000006</v>
      </c>
      <c r="AB93" s="100">
        <v>71.099999999999994</v>
      </c>
      <c r="AC93" s="100">
        <v>71.2</v>
      </c>
      <c r="AD93" s="100">
        <v>71.099999999999994</v>
      </c>
      <c r="AE93" s="100">
        <v>71.099999999999994</v>
      </c>
      <c r="AF93" s="100">
        <v>71.3</v>
      </c>
      <c r="AG93" s="100">
        <v>71.400000000000006</v>
      </c>
      <c r="AH93" s="100">
        <v>71.3</v>
      </c>
      <c r="AI93" s="100">
        <v>71.2</v>
      </c>
      <c r="AJ93" s="100">
        <v>71.2</v>
      </c>
      <c r="AK93" s="100">
        <v>71.2</v>
      </c>
      <c r="AL93" s="100">
        <v>71.2</v>
      </c>
      <c r="AM93" s="100">
        <v>71.3</v>
      </c>
      <c r="AN93" s="100">
        <v>71.5</v>
      </c>
      <c r="AO93" s="100">
        <v>71.5</v>
      </c>
      <c r="AP93" s="100">
        <v>71.599999999999994</v>
      </c>
      <c r="AQ93" s="100">
        <v>71.900000000000006</v>
      </c>
      <c r="AR93" s="100">
        <v>72</v>
      </c>
      <c r="AS93" s="100">
        <v>72</v>
      </c>
      <c r="AT93" s="100">
        <v>72.099999999999994</v>
      </c>
      <c r="AU93" s="100">
        <v>72.400000000000006</v>
      </c>
      <c r="AV93" s="100">
        <v>72.5</v>
      </c>
      <c r="AW93" s="100">
        <v>72.7</v>
      </c>
      <c r="AX93" s="100">
        <v>72.900000000000006</v>
      </c>
      <c r="AY93" s="100">
        <v>72.900000000000006</v>
      </c>
      <c r="AZ93" s="100">
        <v>72.8</v>
      </c>
      <c r="BA93" s="100">
        <v>73</v>
      </c>
      <c r="BB93" s="100">
        <v>73</v>
      </c>
      <c r="BC93" s="100">
        <v>73</v>
      </c>
      <c r="BD93" s="100">
        <v>73</v>
      </c>
      <c r="BE93" s="100">
        <v>73.2</v>
      </c>
      <c r="BF93" s="100">
        <v>73.3</v>
      </c>
      <c r="BG93" s="100">
        <v>73.400000000000006</v>
      </c>
      <c r="BH93" s="100">
        <v>73.5</v>
      </c>
      <c r="BI93" s="100">
        <v>73.400000000000006</v>
      </c>
      <c r="BJ93" s="100">
        <v>73.400000000000006</v>
      </c>
      <c r="BK93" s="100">
        <v>73.400000000000006</v>
      </c>
      <c r="BL93" s="100">
        <v>73.5</v>
      </c>
      <c r="BM93" s="100">
        <v>73.599999999999994</v>
      </c>
      <c r="BN93" s="100">
        <v>73.8</v>
      </c>
      <c r="BO93" s="100">
        <v>73.900000000000006</v>
      </c>
      <c r="BP93" s="100">
        <v>74</v>
      </c>
      <c r="BQ93" s="100">
        <v>74.099999999999994</v>
      </c>
      <c r="BR93" s="100">
        <v>74.099999999999994</v>
      </c>
      <c r="BS93" s="103">
        <v>74.099999999999994</v>
      </c>
      <c r="BT93" s="100">
        <v>74.2</v>
      </c>
      <c r="BU93" s="100">
        <v>74.2</v>
      </c>
      <c r="BV93" s="100">
        <v>74.400000000000006</v>
      </c>
      <c r="BW93" s="100">
        <v>74.5</v>
      </c>
      <c r="BX93" s="100">
        <v>74.5</v>
      </c>
      <c r="BY93" s="100">
        <v>74.5</v>
      </c>
      <c r="BZ93" s="100">
        <v>74.5</v>
      </c>
      <c r="CA93" s="100">
        <v>74.400000000000006</v>
      </c>
      <c r="CB93" s="100">
        <v>74.5</v>
      </c>
      <c r="CC93" s="100">
        <v>74.599999999999994</v>
      </c>
      <c r="CD93" s="100">
        <v>74.599999999999994</v>
      </c>
      <c r="CE93" s="102">
        <v>74.599999999999994</v>
      </c>
      <c r="CF93" s="100"/>
      <c r="CG93" s="100"/>
      <c r="CH93" s="100"/>
      <c r="CI93" s="100"/>
      <c r="CJ93" s="100"/>
      <c r="CK93" s="100"/>
      <c r="CL93" s="100"/>
      <c r="CM93" s="100"/>
      <c r="CN93" s="100"/>
      <c r="CO93" s="100"/>
      <c r="CP93" s="100"/>
      <c r="CQ93" s="100"/>
      <c r="CR93" s="100"/>
      <c r="CS93" s="100"/>
      <c r="CT93" s="100"/>
      <c r="CU93" s="100"/>
      <c r="CV93" s="100"/>
      <c r="CW93" s="100"/>
      <c r="CX93" s="100"/>
      <c r="CY93" s="100"/>
      <c r="CZ93" s="100"/>
      <c r="DA93" s="100"/>
      <c r="DB93" s="100"/>
      <c r="DC93" s="100"/>
      <c r="DD93" s="100"/>
      <c r="DE93" s="100"/>
      <c r="DF93" s="100"/>
      <c r="DG93" s="100"/>
      <c r="DH93" s="100"/>
      <c r="DI93" s="100"/>
      <c r="DJ93" s="100"/>
      <c r="DK93" s="100"/>
      <c r="DL93" s="100"/>
      <c r="DM93" s="100"/>
      <c r="DN93" s="100"/>
      <c r="DO93" s="100"/>
      <c r="DP93" s="100"/>
      <c r="DQ93" s="100"/>
      <c r="DR93" s="100"/>
      <c r="DS93" s="100"/>
      <c r="DT93" s="100"/>
      <c r="DU93" s="100"/>
      <c r="DV93" s="100"/>
      <c r="DW93" s="100"/>
      <c r="DX93" s="100"/>
      <c r="DY93" s="100"/>
      <c r="DZ93" s="100"/>
      <c r="EA93" s="100"/>
      <c r="EB93" s="100"/>
      <c r="EC93" s="100"/>
      <c r="ED93" s="100"/>
      <c r="EE93" s="100"/>
      <c r="EF93" s="100"/>
      <c r="EG93" s="100"/>
      <c r="EH93" s="100"/>
      <c r="EI93" s="100"/>
      <c r="EJ93" s="100"/>
      <c r="EK93" s="100"/>
      <c r="EL93" s="100"/>
      <c r="EM93" s="100"/>
      <c r="EN93" s="100"/>
      <c r="EO93" s="100"/>
      <c r="EP93" s="100"/>
      <c r="EQ93" s="106"/>
      <c r="ER93" s="106"/>
      <c r="ES93" s="106"/>
      <c r="ET93" s="106"/>
      <c r="EU93" s="106"/>
      <c r="EV93" s="106"/>
      <c r="EW93" s="106"/>
      <c r="EX93" s="106"/>
      <c r="EY93" s="106"/>
      <c r="EZ93" s="106"/>
      <c r="FA93" s="106"/>
      <c r="FB93" s="106"/>
      <c r="FC93" s="106"/>
      <c r="FD93" s="106"/>
      <c r="FE93" s="106"/>
      <c r="FF93" s="106"/>
      <c r="FG93" s="106"/>
      <c r="FH93" s="106"/>
      <c r="FI93" s="106"/>
      <c r="FJ93" s="106"/>
      <c r="FK93" s="106"/>
      <c r="FL93" s="106"/>
      <c r="FM93" s="106"/>
      <c r="FN93" s="106"/>
      <c r="FO93" s="106"/>
      <c r="FP93" s="106"/>
      <c r="FQ93" s="106"/>
      <c r="FR93" s="106"/>
      <c r="FS93" s="106"/>
      <c r="FT93" s="106"/>
      <c r="FU93" s="106"/>
      <c r="FV93" s="106"/>
      <c r="FW93" s="106"/>
      <c r="FX93" s="106"/>
      <c r="FY93" s="106"/>
      <c r="FZ93" s="106"/>
      <c r="GA93" s="106"/>
      <c r="GB93" s="106"/>
      <c r="GC93" s="106"/>
      <c r="GD93" s="106"/>
      <c r="GE93" s="106"/>
      <c r="GF93" s="106"/>
      <c r="GG93" s="159"/>
    </row>
    <row r="94" spans="2:189" x14ac:dyDescent="0.2">
      <c r="B94" s="97">
        <v>42856</v>
      </c>
      <c r="C94" s="100">
        <v>70.400000000000006</v>
      </c>
      <c r="D94" s="100">
        <v>70.599999999999994</v>
      </c>
      <c r="E94" s="100">
        <v>70.599999999999994</v>
      </c>
      <c r="F94" s="100">
        <v>70.7</v>
      </c>
      <c r="G94" s="100">
        <v>70.5</v>
      </c>
      <c r="H94" s="100">
        <v>70.3</v>
      </c>
      <c r="I94" s="100">
        <v>70.400000000000006</v>
      </c>
      <c r="J94" s="100">
        <v>70.5</v>
      </c>
      <c r="K94" s="100">
        <v>70.599999999999994</v>
      </c>
      <c r="L94" s="100">
        <v>70.5</v>
      </c>
      <c r="M94" s="100">
        <v>70.5</v>
      </c>
      <c r="N94" s="100">
        <v>70.5</v>
      </c>
      <c r="O94" s="100">
        <v>70.5</v>
      </c>
      <c r="P94" s="100">
        <v>70.2</v>
      </c>
      <c r="Q94" s="100">
        <v>70.2</v>
      </c>
      <c r="R94" s="100">
        <v>70.099999999999994</v>
      </c>
      <c r="S94" s="100">
        <v>70.099999999999994</v>
      </c>
      <c r="T94" s="100">
        <v>70.099999999999994</v>
      </c>
      <c r="U94" s="100">
        <v>70.2</v>
      </c>
      <c r="V94" s="100">
        <v>70.3</v>
      </c>
      <c r="W94" s="100">
        <v>70.3</v>
      </c>
      <c r="X94" s="100">
        <v>70.5</v>
      </c>
      <c r="Y94" s="100">
        <v>70.5</v>
      </c>
      <c r="Z94" s="100">
        <v>70.7</v>
      </c>
      <c r="AA94" s="100">
        <v>70.900000000000006</v>
      </c>
      <c r="AB94" s="100">
        <v>71.099999999999994</v>
      </c>
      <c r="AC94" s="100">
        <v>71.2</v>
      </c>
      <c r="AD94" s="100">
        <v>71.099999999999994</v>
      </c>
      <c r="AE94" s="100">
        <v>71.099999999999994</v>
      </c>
      <c r="AF94" s="100">
        <v>71.3</v>
      </c>
      <c r="AG94" s="100">
        <v>71.400000000000006</v>
      </c>
      <c r="AH94" s="100">
        <v>71.400000000000006</v>
      </c>
      <c r="AI94" s="100">
        <v>71.2</v>
      </c>
      <c r="AJ94" s="100">
        <v>71.2</v>
      </c>
      <c r="AK94" s="100">
        <v>71.2</v>
      </c>
      <c r="AL94" s="100">
        <v>71.2</v>
      </c>
      <c r="AM94" s="100">
        <v>71.3</v>
      </c>
      <c r="AN94" s="100">
        <v>71.5</v>
      </c>
      <c r="AO94" s="100">
        <v>71.5</v>
      </c>
      <c r="AP94" s="100">
        <v>71.7</v>
      </c>
      <c r="AQ94" s="100">
        <v>71.900000000000006</v>
      </c>
      <c r="AR94" s="100">
        <v>72</v>
      </c>
      <c r="AS94" s="100">
        <v>72</v>
      </c>
      <c r="AT94" s="100">
        <v>72.099999999999994</v>
      </c>
      <c r="AU94" s="100">
        <v>72.400000000000006</v>
      </c>
      <c r="AV94" s="100">
        <v>72.5</v>
      </c>
      <c r="AW94" s="100">
        <v>72.7</v>
      </c>
      <c r="AX94" s="100">
        <v>72.900000000000006</v>
      </c>
      <c r="AY94" s="100">
        <v>72.8</v>
      </c>
      <c r="AZ94" s="100">
        <v>72.8</v>
      </c>
      <c r="BA94" s="100">
        <v>73</v>
      </c>
      <c r="BB94" s="100">
        <v>73</v>
      </c>
      <c r="BC94" s="100">
        <v>73</v>
      </c>
      <c r="BD94" s="100">
        <v>73</v>
      </c>
      <c r="BE94" s="100">
        <v>73.2</v>
      </c>
      <c r="BF94" s="100">
        <v>73.3</v>
      </c>
      <c r="BG94" s="100">
        <v>73.400000000000006</v>
      </c>
      <c r="BH94" s="100">
        <v>73.400000000000006</v>
      </c>
      <c r="BI94" s="100">
        <v>73.400000000000006</v>
      </c>
      <c r="BJ94" s="100">
        <v>73.3</v>
      </c>
      <c r="BK94" s="100">
        <v>73.400000000000006</v>
      </c>
      <c r="BL94" s="100">
        <v>73.5</v>
      </c>
      <c r="BM94" s="100">
        <v>73.599999999999994</v>
      </c>
      <c r="BN94" s="100">
        <v>73.8</v>
      </c>
      <c r="BO94" s="100">
        <v>74</v>
      </c>
      <c r="BP94" s="100">
        <v>74.099999999999994</v>
      </c>
      <c r="BQ94" s="100">
        <v>74.099999999999994</v>
      </c>
      <c r="BR94" s="100">
        <v>74.099999999999994</v>
      </c>
      <c r="BS94" s="100">
        <v>74.099999999999994</v>
      </c>
      <c r="BT94" s="103">
        <v>74.2</v>
      </c>
      <c r="BU94" s="100">
        <v>74.2</v>
      </c>
      <c r="BV94" s="100">
        <v>74.400000000000006</v>
      </c>
      <c r="BW94" s="100">
        <v>74.400000000000006</v>
      </c>
      <c r="BX94" s="100">
        <v>74.5</v>
      </c>
      <c r="BY94" s="100">
        <v>74.5</v>
      </c>
      <c r="BZ94" s="100">
        <v>74.400000000000006</v>
      </c>
      <c r="CA94" s="100">
        <v>74.400000000000006</v>
      </c>
      <c r="CB94" s="100">
        <v>74.5</v>
      </c>
      <c r="CC94" s="100">
        <v>74.599999999999994</v>
      </c>
      <c r="CD94" s="100">
        <v>74.599999999999994</v>
      </c>
      <c r="CE94" s="100">
        <v>74.599999999999994</v>
      </c>
      <c r="CF94" s="102">
        <v>74.8</v>
      </c>
      <c r="CG94" s="100"/>
      <c r="CH94" s="100"/>
      <c r="CI94" s="100"/>
      <c r="CJ94" s="100"/>
      <c r="CK94" s="100"/>
      <c r="CL94" s="100"/>
      <c r="CM94" s="100"/>
      <c r="CN94" s="100"/>
      <c r="CO94" s="100"/>
      <c r="CP94" s="100"/>
      <c r="CQ94" s="100"/>
      <c r="CR94" s="100"/>
      <c r="CS94" s="100"/>
      <c r="CT94" s="100"/>
      <c r="CU94" s="100"/>
      <c r="CV94" s="100"/>
      <c r="CW94" s="100"/>
      <c r="CX94" s="100"/>
      <c r="CY94" s="100"/>
      <c r="CZ94" s="100"/>
      <c r="DA94" s="100"/>
      <c r="DB94" s="100"/>
      <c r="DC94" s="100"/>
      <c r="DD94" s="100"/>
      <c r="DE94" s="100"/>
      <c r="DF94" s="100"/>
      <c r="DG94" s="100"/>
      <c r="DH94" s="100"/>
      <c r="DI94" s="100"/>
      <c r="DJ94" s="100"/>
      <c r="DK94" s="100"/>
      <c r="DL94" s="100"/>
      <c r="DM94" s="100"/>
      <c r="DN94" s="100"/>
      <c r="DO94" s="100"/>
      <c r="DP94" s="100"/>
      <c r="DQ94" s="100"/>
      <c r="DR94" s="100"/>
      <c r="DS94" s="100"/>
      <c r="DT94" s="100"/>
      <c r="DU94" s="100"/>
      <c r="DV94" s="100"/>
      <c r="DW94" s="100"/>
      <c r="DX94" s="100"/>
      <c r="DY94" s="100"/>
      <c r="DZ94" s="100"/>
      <c r="EA94" s="100"/>
      <c r="EB94" s="100"/>
      <c r="EC94" s="100"/>
      <c r="ED94" s="100"/>
      <c r="EE94" s="100"/>
      <c r="EF94" s="100"/>
      <c r="EG94" s="100"/>
      <c r="EH94" s="100"/>
      <c r="EI94" s="100"/>
      <c r="EJ94" s="100"/>
      <c r="EK94" s="100"/>
      <c r="EL94" s="100"/>
      <c r="EM94" s="100"/>
      <c r="EN94" s="100"/>
      <c r="EO94" s="100"/>
      <c r="EP94" s="100"/>
      <c r="EQ94" s="106"/>
      <c r="ER94" s="106"/>
      <c r="ES94" s="106"/>
      <c r="ET94" s="106"/>
      <c r="EU94" s="106"/>
      <c r="EV94" s="106"/>
      <c r="EW94" s="106"/>
      <c r="EX94" s="106"/>
      <c r="EY94" s="106"/>
      <c r="EZ94" s="106"/>
      <c r="FA94" s="106"/>
      <c r="FB94" s="106"/>
      <c r="FC94" s="106"/>
      <c r="FD94" s="106"/>
      <c r="FE94" s="106"/>
      <c r="FF94" s="106"/>
      <c r="FG94" s="106"/>
      <c r="FH94" s="106"/>
      <c r="FI94" s="106"/>
      <c r="FJ94" s="106"/>
      <c r="FK94" s="106"/>
      <c r="FL94" s="106"/>
      <c r="FM94" s="106"/>
      <c r="FN94" s="106"/>
      <c r="FO94" s="106"/>
      <c r="FP94" s="106"/>
      <c r="FQ94" s="106"/>
      <c r="FR94" s="106"/>
      <c r="FS94" s="106"/>
      <c r="FT94" s="106"/>
      <c r="FU94" s="106"/>
      <c r="FV94" s="106"/>
      <c r="FW94" s="106"/>
      <c r="FX94" s="106"/>
      <c r="FY94" s="106"/>
      <c r="FZ94" s="106"/>
      <c r="GA94" s="106"/>
      <c r="GB94" s="106"/>
      <c r="GC94" s="106"/>
      <c r="GD94" s="106"/>
      <c r="GE94" s="106"/>
      <c r="GF94" s="106"/>
      <c r="GG94" s="159"/>
    </row>
    <row r="95" spans="2:189" x14ac:dyDescent="0.2">
      <c r="B95" s="97">
        <v>42887</v>
      </c>
      <c r="C95" s="100">
        <v>70.400000000000006</v>
      </c>
      <c r="D95" s="100">
        <v>70.599999999999994</v>
      </c>
      <c r="E95" s="100">
        <v>70.599999999999994</v>
      </c>
      <c r="F95" s="100">
        <v>70.7</v>
      </c>
      <c r="G95" s="100">
        <v>70.5</v>
      </c>
      <c r="H95" s="100">
        <v>70.3</v>
      </c>
      <c r="I95" s="100">
        <v>70.400000000000006</v>
      </c>
      <c r="J95" s="100">
        <v>70.5</v>
      </c>
      <c r="K95" s="100">
        <v>70.599999999999994</v>
      </c>
      <c r="L95" s="100">
        <v>70.5</v>
      </c>
      <c r="M95" s="100">
        <v>70.5</v>
      </c>
      <c r="N95" s="100">
        <v>70.5</v>
      </c>
      <c r="O95" s="100">
        <v>70.5</v>
      </c>
      <c r="P95" s="100">
        <v>70.2</v>
      </c>
      <c r="Q95" s="100">
        <v>70.2</v>
      </c>
      <c r="R95" s="100">
        <v>70.099999999999994</v>
      </c>
      <c r="S95" s="100">
        <v>70.099999999999994</v>
      </c>
      <c r="T95" s="100">
        <v>70.099999999999994</v>
      </c>
      <c r="U95" s="100">
        <v>70.2</v>
      </c>
      <c r="V95" s="100">
        <v>70.3</v>
      </c>
      <c r="W95" s="100">
        <v>70.3</v>
      </c>
      <c r="X95" s="100">
        <v>70.5</v>
      </c>
      <c r="Y95" s="100">
        <v>70.5</v>
      </c>
      <c r="Z95" s="100">
        <v>70.7</v>
      </c>
      <c r="AA95" s="100">
        <v>70.900000000000006</v>
      </c>
      <c r="AB95" s="100">
        <v>71.099999999999994</v>
      </c>
      <c r="AC95" s="100">
        <v>71.2</v>
      </c>
      <c r="AD95" s="100">
        <v>71.099999999999994</v>
      </c>
      <c r="AE95" s="100">
        <v>71.099999999999994</v>
      </c>
      <c r="AF95" s="100">
        <v>71.3</v>
      </c>
      <c r="AG95" s="100">
        <v>71.400000000000006</v>
      </c>
      <c r="AH95" s="100">
        <v>71.400000000000006</v>
      </c>
      <c r="AI95" s="100">
        <v>71.2</v>
      </c>
      <c r="AJ95" s="100">
        <v>71.2</v>
      </c>
      <c r="AK95" s="100">
        <v>71.2</v>
      </c>
      <c r="AL95" s="100">
        <v>71.2</v>
      </c>
      <c r="AM95" s="100">
        <v>71.3</v>
      </c>
      <c r="AN95" s="100">
        <v>71.5</v>
      </c>
      <c r="AO95" s="100">
        <v>71.5</v>
      </c>
      <c r="AP95" s="100">
        <v>71.7</v>
      </c>
      <c r="AQ95" s="100">
        <v>71.900000000000006</v>
      </c>
      <c r="AR95" s="100">
        <v>72</v>
      </c>
      <c r="AS95" s="100">
        <v>72</v>
      </c>
      <c r="AT95" s="100">
        <v>72.099999999999994</v>
      </c>
      <c r="AU95" s="100">
        <v>72.400000000000006</v>
      </c>
      <c r="AV95" s="100">
        <v>72.5</v>
      </c>
      <c r="AW95" s="100">
        <v>72.7</v>
      </c>
      <c r="AX95" s="100">
        <v>72.900000000000006</v>
      </c>
      <c r="AY95" s="100">
        <v>72.8</v>
      </c>
      <c r="AZ95" s="100">
        <v>72.8</v>
      </c>
      <c r="BA95" s="100">
        <v>73</v>
      </c>
      <c r="BB95" s="100">
        <v>73</v>
      </c>
      <c r="BC95" s="100">
        <v>73</v>
      </c>
      <c r="BD95" s="100">
        <v>73</v>
      </c>
      <c r="BE95" s="100">
        <v>73.2</v>
      </c>
      <c r="BF95" s="100">
        <v>73.3</v>
      </c>
      <c r="BG95" s="100">
        <v>73.400000000000006</v>
      </c>
      <c r="BH95" s="100">
        <v>73.400000000000006</v>
      </c>
      <c r="BI95" s="100">
        <v>73.400000000000006</v>
      </c>
      <c r="BJ95" s="100">
        <v>73.3</v>
      </c>
      <c r="BK95" s="100">
        <v>73.400000000000006</v>
      </c>
      <c r="BL95" s="100">
        <v>73.5</v>
      </c>
      <c r="BM95" s="100">
        <v>73.599999999999994</v>
      </c>
      <c r="BN95" s="100">
        <v>73.8</v>
      </c>
      <c r="BO95" s="100">
        <v>74</v>
      </c>
      <c r="BP95" s="100">
        <v>74.099999999999994</v>
      </c>
      <c r="BQ95" s="100">
        <v>74.099999999999994</v>
      </c>
      <c r="BR95" s="100">
        <v>74.099999999999994</v>
      </c>
      <c r="BS95" s="100">
        <v>74.099999999999994</v>
      </c>
      <c r="BT95" s="100">
        <v>74.2</v>
      </c>
      <c r="BU95" s="103">
        <v>74.2</v>
      </c>
      <c r="BV95" s="100">
        <v>74.400000000000006</v>
      </c>
      <c r="BW95" s="100">
        <v>74.400000000000006</v>
      </c>
      <c r="BX95" s="100">
        <v>74.5</v>
      </c>
      <c r="BY95" s="100">
        <v>74.5</v>
      </c>
      <c r="BZ95" s="100">
        <v>74.400000000000006</v>
      </c>
      <c r="CA95" s="100">
        <v>74.400000000000006</v>
      </c>
      <c r="CB95" s="100">
        <v>74.5</v>
      </c>
      <c r="CC95" s="100">
        <v>74.599999999999994</v>
      </c>
      <c r="CD95" s="100">
        <v>74.599999999999994</v>
      </c>
      <c r="CE95" s="100">
        <v>74.599999999999994</v>
      </c>
      <c r="CF95" s="100">
        <v>74.8</v>
      </c>
      <c r="CG95" s="102">
        <v>74.8</v>
      </c>
      <c r="CH95" s="100"/>
      <c r="CI95" s="100"/>
      <c r="CJ95" s="100"/>
      <c r="CK95" s="100"/>
      <c r="CL95" s="100"/>
      <c r="CM95" s="100"/>
      <c r="CN95" s="100"/>
      <c r="CO95" s="100"/>
      <c r="CP95" s="100"/>
      <c r="CQ95" s="100"/>
      <c r="CR95" s="100"/>
      <c r="CS95" s="100"/>
      <c r="CT95" s="100"/>
      <c r="CU95" s="100"/>
      <c r="CV95" s="100"/>
      <c r="CW95" s="100"/>
      <c r="CX95" s="100"/>
      <c r="CY95" s="100"/>
      <c r="CZ95" s="100"/>
      <c r="DA95" s="100"/>
      <c r="DB95" s="100"/>
      <c r="DC95" s="100"/>
      <c r="DD95" s="100"/>
      <c r="DE95" s="100"/>
      <c r="DF95" s="100"/>
      <c r="DG95" s="100"/>
      <c r="DH95" s="100"/>
      <c r="DI95" s="100"/>
      <c r="DJ95" s="100"/>
      <c r="DK95" s="100"/>
      <c r="DL95" s="100"/>
      <c r="DM95" s="100"/>
      <c r="DN95" s="100"/>
      <c r="DO95" s="100"/>
      <c r="DP95" s="100"/>
      <c r="DQ95" s="100"/>
      <c r="DR95" s="100"/>
      <c r="DS95" s="100"/>
      <c r="DT95" s="100"/>
      <c r="DU95" s="100"/>
      <c r="DV95" s="100"/>
      <c r="DW95" s="100"/>
      <c r="DX95" s="100"/>
      <c r="DY95" s="100"/>
      <c r="DZ95" s="100"/>
      <c r="EA95" s="100"/>
      <c r="EB95" s="100"/>
      <c r="EC95" s="100"/>
      <c r="ED95" s="100"/>
      <c r="EE95" s="100"/>
      <c r="EF95" s="100"/>
      <c r="EG95" s="100"/>
      <c r="EH95" s="100"/>
      <c r="EI95" s="100"/>
      <c r="EJ95" s="100"/>
      <c r="EK95" s="100"/>
      <c r="EL95" s="100"/>
      <c r="EM95" s="100"/>
      <c r="EN95" s="100"/>
      <c r="EO95" s="100"/>
      <c r="EP95" s="100"/>
      <c r="EQ95" s="106"/>
      <c r="ER95" s="106"/>
      <c r="ES95" s="106"/>
      <c r="ET95" s="106"/>
      <c r="EU95" s="106"/>
      <c r="EV95" s="106"/>
      <c r="EW95" s="106"/>
      <c r="EX95" s="106"/>
      <c r="EY95" s="106"/>
      <c r="EZ95" s="106"/>
      <c r="FA95" s="106"/>
      <c r="FB95" s="106"/>
      <c r="FC95" s="106"/>
      <c r="FD95" s="106"/>
      <c r="FE95" s="106"/>
      <c r="FF95" s="106"/>
      <c r="FG95" s="106"/>
      <c r="FH95" s="106"/>
      <c r="FI95" s="106"/>
      <c r="FJ95" s="106"/>
      <c r="FK95" s="106"/>
      <c r="FL95" s="106"/>
      <c r="FM95" s="106"/>
      <c r="FN95" s="106"/>
      <c r="FO95" s="106"/>
      <c r="FP95" s="106"/>
      <c r="FQ95" s="106"/>
      <c r="FR95" s="106"/>
      <c r="FS95" s="106"/>
      <c r="FT95" s="106"/>
      <c r="FU95" s="106"/>
      <c r="FV95" s="106"/>
      <c r="FW95" s="106"/>
      <c r="FX95" s="106"/>
      <c r="FY95" s="106"/>
      <c r="FZ95" s="106"/>
      <c r="GA95" s="106"/>
      <c r="GB95" s="106"/>
      <c r="GC95" s="106"/>
      <c r="GD95" s="106"/>
      <c r="GE95" s="106"/>
      <c r="GF95" s="106"/>
      <c r="GG95" s="159"/>
    </row>
    <row r="96" spans="2:189" x14ac:dyDescent="0.2">
      <c r="B96" s="97">
        <v>42917</v>
      </c>
      <c r="C96" s="100">
        <v>70.400000000000006</v>
      </c>
      <c r="D96" s="100">
        <v>70.599999999999994</v>
      </c>
      <c r="E96" s="100">
        <v>70.599999999999994</v>
      </c>
      <c r="F96" s="100">
        <v>70.7</v>
      </c>
      <c r="G96" s="100">
        <v>70.5</v>
      </c>
      <c r="H96" s="100">
        <v>70.3</v>
      </c>
      <c r="I96" s="100">
        <v>70.400000000000006</v>
      </c>
      <c r="J96" s="100">
        <v>70.5</v>
      </c>
      <c r="K96" s="100">
        <v>70.599999999999994</v>
      </c>
      <c r="L96" s="100">
        <v>70.5</v>
      </c>
      <c r="M96" s="100">
        <v>70.5</v>
      </c>
      <c r="N96" s="100">
        <v>70.5</v>
      </c>
      <c r="O96" s="100">
        <v>70.5</v>
      </c>
      <c r="P96" s="100">
        <v>70.2</v>
      </c>
      <c r="Q96" s="100">
        <v>70.2</v>
      </c>
      <c r="R96" s="100">
        <v>70.099999999999994</v>
      </c>
      <c r="S96" s="100">
        <v>70.099999999999994</v>
      </c>
      <c r="T96" s="100">
        <v>70.099999999999994</v>
      </c>
      <c r="U96" s="100">
        <v>70.2</v>
      </c>
      <c r="V96" s="100">
        <v>70.3</v>
      </c>
      <c r="W96" s="100">
        <v>70.3</v>
      </c>
      <c r="X96" s="100">
        <v>70.5</v>
      </c>
      <c r="Y96" s="100">
        <v>70.5</v>
      </c>
      <c r="Z96" s="100">
        <v>70.7</v>
      </c>
      <c r="AA96" s="100">
        <v>70.900000000000006</v>
      </c>
      <c r="AB96" s="100">
        <v>71.099999999999994</v>
      </c>
      <c r="AC96" s="100">
        <v>71.2</v>
      </c>
      <c r="AD96" s="100">
        <v>71.099999999999994</v>
      </c>
      <c r="AE96" s="100">
        <v>71.099999999999994</v>
      </c>
      <c r="AF96" s="100">
        <v>71.3</v>
      </c>
      <c r="AG96" s="100">
        <v>71.400000000000006</v>
      </c>
      <c r="AH96" s="100">
        <v>71.400000000000006</v>
      </c>
      <c r="AI96" s="100">
        <v>71.2</v>
      </c>
      <c r="AJ96" s="100">
        <v>71.2</v>
      </c>
      <c r="AK96" s="100">
        <v>71.2</v>
      </c>
      <c r="AL96" s="100">
        <v>71.2</v>
      </c>
      <c r="AM96" s="100">
        <v>71.3</v>
      </c>
      <c r="AN96" s="100">
        <v>71.5</v>
      </c>
      <c r="AO96" s="100">
        <v>71.5</v>
      </c>
      <c r="AP96" s="100">
        <v>71.7</v>
      </c>
      <c r="AQ96" s="100">
        <v>71.900000000000006</v>
      </c>
      <c r="AR96" s="100">
        <v>72</v>
      </c>
      <c r="AS96" s="100">
        <v>72</v>
      </c>
      <c r="AT96" s="100">
        <v>72.099999999999994</v>
      </c>
      <c r="AU96" s="100">
        <v>72.400000000000006</v>
      </c>
      <c r="AV96" s="100">
        <v>72.5</v>
      </c>
      <c r="AW96" s="100">
        <v>72.7</v>
      </c>
      <c r="AX96" s="100">
        <v>72.900000000000006</v>
      </c>
      <c r="AY96" s="100">
        <v>72.8</v>
      </c>
      <c r="AZ96" s="100">
        <v>72.8</v>
      </c>
      <c r="BA96" s="100">
        <v>73</v>
      </c>
      <c r="BB96" s="100">
        <v>73</v>
      </c>
      <c r="BC96" s="100">
        <v>73</v>
      </c>
      <c r="BD96" s="100">
        <v>73</v>
      </c>
      <c r="BE96" s="100">
        <v>73.2</v>
      </c>
      <c r="BF96" s="100">
        <v>73.3</v>
      </c>
      <c r="BG96" s="100">
        <v>73.400000000000006</v>
      </c>
      <c r="BH96" s="100">
        <v>73.400000000000006</v>
      </c>
      <c r="BI96" s="100">
        <v>73.400000000000006</v>
      </c>
      <c r="BJ96" s="100">
        <v>73.3</v>
      </c>
      <c r="BK96" s="100">
        <v>73.400000000000006</v>
      </c>
      <c r="BL96" s="100">
        <v>73.5</v>
      </c>
      <c r="BM96" s="100">
        <v>73.599999999999994</v>
      </c>
      <c r="BN96" s="100">
        <v>73.8</v>
      </c>
      <c r="BO96" s="100">
        <v>74</v>
      </c>
      <c r="BP96" s="100">
        <v>74.099999999999994</v>
      </c>
      <c r="BQ96" s="100">
        <v>74.099999999999994</v>
      </c>
      <c r="BR96" s="100">
        <v>74.099999999999994</v>
      </c>
      <c r="BS96" s="100">
        <v>74.099999999999994</v>
      </c>
      <c r="BT96" s="100">
        <v>74.2</v>
      </c>
      <c r="BU96" s="100">
        <v>74.2</v>
      </c>
      <c r="BV96" s="103">
        <v>74.400000000000006</v>
      </c>
      <c r="BW96" s="100">
        <v>74.400000000000006</v>
      </c>
      <c r="BX96" s="100">
        <v>74.5</v>
      </c>
      <c r="BY96" s="100">
        <v>74.5</v>
      </c>
      <c r="BZ96" s="100">
        <v>74.400000000000006</v>
      </c>
      <c r="CA96" s="100">
        <v>74.400000000000006</v>
      </c>
      <c r="CB96" s="100">
        <v>74.5</v>
      </c>
      <c r="CC96" s="100">
        <v>74.599999999999994</v>
      </c>
      <c r="CD96" s="100">
        <v>74.599999999999994</v>
      </c>
      <c r="CE96" s="100">
        <v>74.599999999999994</v>
      </c>
      <c r="CF96" s="100">
        <v>74.8</v>
      </c>
      <c r="CG96" s="100">
        <v>74.8</v>
      </c>
      <c r="CH96" s="102">
        <v>74.900000000000006</v>
      </c>
      <c r="CI96" s="100"/>
      <c r="CJ96" s="100"/>
      <c r="CK96" s="100"/>
      <c r="CL96" s="100"/>
      <c r="CM96" s="100"/>
      <c r="CN96" s="100"/>
      <c r="CO96" s="100"/>
      <c r="CP96" s="100"/>
      <c r="CQ96" s="100"/>
      <c r="CR96" s="100"/>
      <c r="CS96" s="100"/>
      <c r="CT96" s="100"/>
      <c r="CU96" s="100"/>
      <c r="CV96" s="100"/>
      <c r="CW96" s="100"/>
      <c r="CX96" s="100"/>
      <c r="CY96" s="100"/>
      <c r="CZ96" s="100"/>
      <c r="DA96" s="100"/>
      <c r="DB96" s="100"/>
      <c r="DC96" s="100"/>
      <c r="DD96" s="100"/>
      <c r="DE96" s="100"/>
      <c r="DF96" s="100"/>
      <c r="DG96" s="100"/>
      <c r="DH96" s="100"/>
      <c r="DI96" s="100"/>
      <c r="DJ96" s="100"/>
      <c r="DK96" s="100"/>
      <c r="DL96" s="100"/>
      <c r="DM96" s="100"/>
      <c r="DN96" s="100"/>
      <c r="DO96" s="100"/>
      <c r="DP96" s="100"/>
      <c r="DQ96" s="100"/>
      <c r="DR96" s="100"/>
      <c r="DS96" s="100"/>
      <c r="DT96" s="100"/>
      <c r="DU96" s="100"/>
      <c r="DV96" s="100"/>
      <c r="DW96" s="100"/>
      <c r="DX96" s="100"/>
      <c r="DY96" s="100"/>
      <c r="DZ96" s="100"/>
      <c r="EA96" s="100"/>
      <c r="EB96" s="100"/>
      <c r="EC96" s="100"/>
      <c r="ED96" s="100"/>
      <c r="EE96" s="100"/>
      <c r="EF96" s="100"/>
      <c r="EG96" s="100"/>
      <c r="EH96" s="100"/>
      <c r="EI96" s="100"/>
      <c r="EJ96" s="100"/>
      <c r="EK96" s="100"/>
      <c r="EL96" s="100"/>
      <c r="EM96" s="100"/>
      <c r="EN96" s="100"/>
      <c r="EO96" s="100"/>
      <c r="EP96" s="100"/>
      <c r="EQ96" s="106"/>
      <c r="ER96" s="106"/>
      <c r="ES96" s="106"/>
      <c r="ET96" s="106"/>
      <c r="EU96" s="106"/>
      <c r="EV96" s="106"/>
      <c r="EW96" s="106"/>
      <c r="EX96" s="106"/>
      <c r="EY96" s="106"/>
      <c r="EZ96" s="106"/>
      <c r="FA96" s="106"/>
      <c r="FB96" s="106"/>
      <c r="FC96" s="106"/>
      <c r="FD96" s="106"/>
      <c r="FE96" s="106"/>
      <c r="FF96" s="106"/>
      <c r="FG96" s="106"/>
      <c r="FH96" s="106"/>
      <c r="FI96" s="106"/>
      <c r="FJ96" s="106"/>
      <c r="FK96" s="106"/>
      <c r="FL96" s="106"/>
      <c r="FM96" s="106"/>
      <c r="FN96" s="106"/>
      <c r="FO96" s="106"/>
      <c r="FP96" s="106"/>
      <c r="FQ96" s="106"/>
      <c r="FR96" s="106"/>
      <c r="FS96" s="106"/>
      <c r="FT96" s="106"/>
      <c r="FU96" s="106"/>
      <c r="FV96" s="106"/>
      <c r="FW96" s="106"/>
      <c r="FX96" s="106"/>
      <c r="FY96" s="106"/>
      <c r="FZ96" s="106"/>
      <c r="GA96" s="106"/>
      <c r="GB96" s="106"/>
      <c r="GC96" s="106"/>
      <c r="GD96" s="106"/>
      <c r="GE96" s="106"/>
      <c r="GF96" s="106"/>
      <c r="GG96" s="159"/>
    </row>
    <row r="97" spans="2:189" x14ac:dyDescent="0.2">
      <c r="B97" s="97">
        <v>42948</v>
      </c>
      <c r="C97" s="100">
        <v>70.400000000000006</v>
      </c>
      <c r="D97" s="100">
        <v>70.599999999999994</v>
      </c>
      <c r="E97" s="100">
        <v>70.599999999999994</v>
      </c>
      <c r="F97" s="100">
        <v>70.7</v>
      </c>
      <c r="G97" s="100">
        <v>70.5</v>
      </c>
      <c r="H97" s="100">
        <v>70.3</v>
      </c>
      <c r="I97" s="100">
        <v>70.400000000000006</v>
      </c>
      <c r="J97" s="100">
        <v>70.5</v>
      </c>
      <c r="K97" s="100">
        <v>70.599999999999994</v>
      </c>
      <c r="L97" s="100">
        <v>70.5</v>
      </c>
      <c r="M97" s="100">
        <v>70.5</v>
      </c>
      <c r="N97" s="100">
        <v>70.5</v>
      </c>
      <c r="O97" s="100">
        <v>70.5</v>
      </c>
      <c r="P97" s="100">
        <v>70.2</v>
      </c>
      <c r="Q97" s="100">
        <v>70.2</v>
      </c>
      <c r="R97" s="100">
        <v>70.099999999999994</v>
      </c>
      <c r="S97" s="100">
        <v>70.099999999999994</v>
      </c>
      <c r="T97" s="100">
        <v>70.099999999999994</v>
      </c>
      <c r="U97" s="100">
        <v>70.2</v>
      </c>
      <c r="V97" s="100">
        <v>70.3</v>
      </c>
      <c r="W97" s="100">
        <v>70.3</v>
      </c>
      <c r="X97" s="100">
        <v>70.5</v>
      </c>
      <c r="Y97" s="100">
        <v>70.5</v>
      </c>
      <c r="Z97" s="100">
        <v>70.7</v>
      </c>
      <c r="AA97" s="100">
        <v>70.900000000000006</v>
      </c>
      <c r="AB97" s="100">
        <v>71.099999999999994</v>
      </c>
      <c r="AC97" s="100">
        <v>71.2</v>
      </c>
      <c r="AD97" s="100">
        <v>71.099999999999994</v>
      </c>
      <c r="AE97" s="100">
        <v>71.099999999999994</v>
      </c>
      <c r="AF97" s="100">
        <v>71.3</v>
      </c>
      <c r="AG97" s="100">
        <v>71.400000000000006</v>
      </c>
      <c r="AH97" s="100">
        <v>71.400000000000006</v>
      </c>
      <c r="AI97" s="100">
        <v>71.2</v>
      </c>
      <c r="AJ97" s="100">
        <v>71.2</v>
      </c>
      <c r="AK97" s="100">
        <v>71.2</v>
      </c>
      <c r="AL97" s="100">
        <v>71.2</v>
      </c>
      <c r="AM97" s="100">
        <v>71.3</v>
      </c>
      <c r="AN97" s="100">
        <v>71.5</v>
      </c>
      <c r="AO97" s="100">
        <v>71.5</v>
      </c>
      <c r="AP97" s="100">
        <v>71.7</v>
      </c>
      <c r="AQ97" s="100">
        <v>71.900000000000006</v>
      </c>
      <c r="AR97" s="100">
        <v>72</v>
      </c>
      <c r="AS97" s="100">
        <v>72</v>
      </c>
      <c r="AT97" s="100">
        <v>72.099999999999994</v>
      </c>
      <c r="AU97" s="100">
        <v>72.400000000000006</v>
      </c>
      <c r="AV97" s="100">
        <v>72.5</v>
      </c>
      <c r="AW97" s="100">
        <v>72.7</v>
      </c>
      <c r="AX97" s="100">
        <v>72.900000000000006</v>
      </c>
      <c r="AY97" s="100">
        <v>72.8</v>
      </c>
      <c r="AZ97" s="100">
        <v>72.8</v>
      </c>
      <c r="BA97" s="100">
        <v>73</v>
      </c>
      <c r="BB97" s="100">
        <v>73</v>
      </c>
      <c r="BC97" s="100">
        <v>73</v>
      </c>
      <c r="BD97" s="100">
        <v>73</v>
      </c>
      <c r="BE97" s="100">
        <v>73.2</v>
      </c>
      <c r="BF97" s="100">
        <v>73.3</v>
      </c>
      <c r="BG97" s="100">
        <v>73.400000000000006</v>
      </c>
      <c r="BH97" s="100">
        <v>73.400000000000006</v>
      </c>
      <c r="BI97" s="100">
        <v>73.400000000000006</v>
      </c>
      <c r="BJ97" s="100">
        <v>73.3</v>
      </c>
      <c r="BK97" s="100">
        <v>73.400000000000006</v>
      </c>
      <c r="BL97" s="100">
        <v>73.5</v>
      </c>
      <c r="BM97" s="100">
        <v>73.599999999999994</v>
      </c>
      <c r="BN97" s="100">
        <v>73.8</v>
      </c>
      <c r="BO97" s="100">
        <v>74</v>
      </c>
      <c r="BP97" s="100">
        <v>74.099999999999994</v>
      </c>
      <c r="BQ97" s="100">
        <v>74.099999999999994</v>
      </c>
      <c r="BR97" s="100">
        <v>74.099999999999994</v>
      </c>
      <c r="BS97" s="100">
        <v>74.099999999999994</v>
      </c>
      <c r="BT97" s="100">
        <v>74.2</v>
      </c>
      <c r="BU97" s="100">
        <v>74.2</v>
      </c>
      <c r="BV97" s="100">
        <v>74.400000000000006</v>
      </c>
      <c r="BW97" s="103">
        <v>74.400000000000006</v>
      </c>
      <c r="BX97" s="100">
        <v>74.5</v>
      </c>
      <c r="BY97" s="100">
        <v>74.5</v>
      </c>
      <c r="BZ97" s="100">
        <v>74.400000000000006</v>
      </c>
      <c r="CA97" s="100">
        <v>74.400000000000006</v>
      </c>
      <c r="CB97" s="100">
        <v>74.5</v>
      </c>
      <c r="CC97" s="100">
        <v>74.599999999999994</v>
      </c>
      <c r="CD97" s="100">
        <v>74.599999999999994</v>
      </c>
      <c r="CE97" s="100">
        <v>74.599999999999994</v>
      </c>
      <c r="CF97" s="100">
        <v>74.8</v>
      </c>
      <c r="CG97" s="100">
        <v>74.8</v>
      </c>
      <c r="CH97" s="100">
        <v>74.900000000000006</v>
      </c>
      <c r="CI97" s="102">
        <v>75.099999999999994</v>
      </c>
      <c r="CJ97" s="100"/>
      <c r="CK97" s="100"/>
      <c r="CL97" s="100"/>
      <c r="CM97" s="100"/>
      <c r="CN97" s="100"/>
      <c r="CO97" s="100"/>
      <c r="CP97" s="100"/>
      <c r="CQ97" s="100"/>
      <c r="CR97" s="100"/>
      <c r="CS97" s="100"/>
      <c r="CT97" s="100"/>
      <c r="CU97" s="100"/>
      <c r="CV97" s="100"/>
      <c r="CW97" s="100"/>
      <c r="CX97" s="100"/>
      <c r="CY97" s="100"/>
      <c r="CZ97" s="100"/>
      <c r="DA97" s="100"/>
      <c r="DB97" s="100"/>
      <c r="DC97" s="100"/>
      <c r="DD97" s="100"/>
      <c r="DE97" s="100"/>
      <c r="DF97" s="100"/>
      <c r="DG97" s="100"/>
      <c r="DH97" s="100"/>
      <c r="DI97" s="100"/>
      <c r="DJ97" s="100"/>
      <c r="DK97" s="100"/>
      <c r="DL97" s="100"/>
      <c r="DM97" s="100"/>
      <c r="DN97" s="100"/>
      <c r="DO97" s="100"/>
      <c r="DP97" s="100"/>
      <c r="DQ97" s="100"/>
      <c r="DR97" s="100"/>
      <c r="DS97" s="100"/>
      <c r="DT97" s="100"/>
      <c r="DU97" s="100"/>
      <c r="DV97" s="100"/>
      <c r="DW97" s="100"/>
      <c r="DX97" s="100"/>
      <c r="DY97" s="100"/>
      <c r="DZ97" s="100"/>
      <c r="EA97" s="100"/>
      <c r="EB97" s="100"/>
      <c r="EC97" s="100"/>
      <c r="ED97" s="100"/>
      <c r="EE97" s="100"/>
      <c r="EF97" s="100"/>
      <c r="EG97" s="100"/>
      <c r="EH97" s="100"/>
      <c r="EI97" s="100"/>
      <c r="EJ97" s="100"/>
      <c r="EK97" s="100"/>
      <c r="EL97" s="100"/>
      <c r="EM97" s="100"/>
      <c r="EN97" s="100"/>
      <c r="EO97" s="100"/>
      <c r="EP97" s="100"/>
      <c r="EQ97" s="106"/>
      <c r="ER97" s="106"/>
      <c r="ES97" s="106"/>
      <c r="ET97" s="106"/>
      <c r="EU97" s="106"/>
      <c r="EV97" s="106"/>
      <c r="EW97" s="106"/>
      <c r="EX97" s="106"/>
      <c r="EY97" s="106"/>
      <c r="EZ97" s="106"/>
      <c r="FA97" s="106"/>
      <c r="FB97" s="106"/>
      <c r="FC97" s="106"/>
      <c r="FD97" s="106"/>
      <c r="FE97" s="106"/>
      <c r="FF97" s="106"/>
      <c r="FG97" s="106"/>
      <c r="FH97" s="106"/>
      <c r="FI97" s="106"/>
      <c r="FJ97" s="106"/>
      <c r="FK97" s="106"/>
      <c r="FL97" s="106"/>
      <c r="FM97" s="106"/>
      <c r="FN97" s="106"/>
      <c r="FO97" s="106"/>
      <c r="FP97" s="106"/>
      <c r="FQ97" s="106"/>
      <c r="FR97" s="106"/>
      <c r="FS97" s="106"/>
      <c r="FT97" s="106"/>
      <c r="FU97" s="106"/>
      <c r="FV97" s="106"/>
      <c r="FW97" s="106"/>
      <c r="FX97" s="106"/>
      <c r="FY97" s="106"/>
      <c r="FZ97" s="106"/>
      <c r="GA97" s="106"/>
      <c r="GB97" s="106"/>
      <c r="GC97" s="106"/>
      <c r="GD97" s="106"/>
      <c r="GE97" s="106"/>
      <c r="GF97" s="106"/>
      <c r="GG97" s="159"/>
    </row>
    <row r="98" spans="2:189" x14ac:dyDescent="0.2">
      <c r="B98" s="97">
        <v>42979</v>
      </c>
      <c r="C98" s="100">
        <v>70.400000000000006</v>
      </c>
      <c r="D98" s="100">
        <v>70.599999999999994</v>
      </c>
      <c r="E98" s="100">
        <v>70.599999999999994</v>
      </c>
      <c r="F98" s="100">
        <v>70.7</v>
      </c>
      <c r="G98" s="100">
        <v>70.5</v>
      </c>
      <c r="H98" s="100">
        <v>70.3</v>
      </c>
      <c r="I98" s="100">
        <v>70.400000000000006</v>
      </c>
      <c r="J98" s="100">
        <v>70.5</v>
      </c>
      <c r="K98" s="100">
        <v>70.599999999999994</v>
      </c>
      <c r="L98" s="100">
        <v>70.5</v>
      </c>
      <c r="M98" s="100">
        <v>70.5</v>
      </c>
      <c r="N98" s="100">
        <v>70.5</v>
      </c>
      <c r="O98" s="100">
        <v>70.5</v>
      </c>
      <c r="P98" s="100">
        <v>70.2</v>
      </c>
      <c r="Q98" s="100">
        <v>70.2</v>
      </c>
      <c r="R98" s="100">
        <v>70.099999999999994</v>
      </c>
      <c r="S98" s="100">
        <v>70.099999999999994</v>
      </c>
      <c r="T98" s="100">
        <v>70.099999999999994</v>
      </c>
      <c r="U98" s="100">
        <v>70.2</v>
      </c>
      <c r="V98" s="100">
        <v>70.3</v>
      </c>
      <c r="W98" s="100">
        <v>70.3</v>
      </c>
      <c r="X98" s="100">
        <v>70.5</v>
      </c>
      <c r="Y98" s="100">
        <v>70.5</v>
      </c>
      <c r="Z98" s="100">
        <v>70.7</v>
      </c>
      <c r="AA98" s="100">
        <v>70.900000000000006</v>
      </c>
      <c r="AB98" s="100">
        <v>71.099999999999994</v>
      </c>
      <c r="AC98" s="100">
        <v>71.2</v>
      </c>
      <c r="AD98" s="100">
        <v>71.099999999999994</v>
      </c>
      <c r="AE98" s="100">
        <v>71.099999999999994</v>
      </c>
      <c r="AF98" s="100">
        <v>71.3</v>
      </c>
      <c r="AG98" s="100">
        <v>71.400000000000006</v>
      </c>
      <c r="AH98" s="100">
        <v>71.400000000000006</v>
      </c>
      <c r="AI98" s="100">
        <v>71.2</v>
      </c>
      <c r="AJ98" s="100">
        <v>71.2</v>
      </c>
      <c r="AK98" s="100">
        <v>71.2</v>
      </c>
      <c r="AL98" s="100">
        <v>71.2</v>
      </c>
      <c r="AM98" s="100">
        <v>71.3</v>
      </c>
      <c r="AN98" s="100">
        <v>71.5</v>
      </c>
      <c r="AO98" s="100">
        <v>71.5</v>
      </c>
      <c r="AP98" s="100">
        <v>71.7</v>
      </c>
      <c r="AQ98" s="100">
        <v>71.900000000000006</v>
      </c>
      <c r="AR98" s="100">
        <v>72</v>
      </c>
      <c r="AS98" s="100">
        <v>72</v>
      </c>
      <c r="AT98" s="100">
        <v>72.099999999999994</v>
      </c>
      <c r="AU98" s="100">
        <v>72.400000000000006</v>
      </c>
      <c r="AV98" s="100">
        <v>72.5</v>
      </c>
      <c r="AW98" s="100">
        <v>72.7</v>
      </c>
      <c r="AX98" s="100">
        <v>72.900000000000006</v>
      </c>
      <c r="AY98" s="100">
        <v>72.8</v>
      </c>
      <c r="AZ98" s="100">
        <v>72.8</v>
      </c>
      <c r="BA98" s="100">
        <v>73</v>
      </c>
      <c r="BB98" s="100">
        <v>73</v>
      </c>
      <c r="BC98" s="100">
        <v>73</v>
      </c>
      <c r="BD98" s="100">
        <v>73</v>
      </c>
      <c r="BE98" s="100">
        <v>73.2</v>
      </c>
      <c r="BF98" s="100">
        <v>73.3</v>
      </c>
      <c r="BG98" s="100">
        <v>73.400000000000006</v>
      </c>
      <c r="BH98" s="100">
        <v>73.400000000000006</v>
      </c>
      <c r="BI98" s="100">
        <v>73.400000000000006</v>
      </c>
      <c r="BJ98" s="100">
        <v>73.3</v>
      </c>
      <c r="BK98" s="100">
        <v>73.400000000000006</v>
      </c>
      <c r="BL98" s="100">
        <v>73.5</v>
      </c>
      <c r="BM98" s="100">
        <v>73.599999999999994</v>
      </c>
      <c r="BN98" s="100">
        <v>73.8</v>
      </c>
      <c r="BO98" s="100">
        <v>74</v>
      </c>
      <c r="BP98" s="100">
        <v>74.099999999999994</v>
      </c>
      <c r="BQ98" s="100">
        <v>74.099999999999994</v>
      </c>
      <c r="BR98" s="100">
        <v>74.099999999999994</v>
      </c>
      <c r="BS98" s="100">
        <v>74.099999999999994</v>
      </c>
      <c r="BT98" s="100">
        <v>74.2</v>
      </c>
      <c r="BU98" s="100">
        <v>74.2</v>
      </c>
      <c r="BV98" s="100">
        <v>74.400000000000006</v>
      </c>
      <c r="BW98" s="100">
        <v>74.400000000000006</v>
      </c>
      <c r="BX98" s="103">
        <v>74.5</v>
      </c>
      <c r="BY98" s="100">
        <v>74.5</v>
      </c>
      <c r="BZ98" s="100">
        <v>74.400000000000006</v>
      </c>
      <c r="CA98" s="100">
        <v>74.400000000000006</v>
      </c>
      <c r="CB98" s="100">
        <v>74.5</v>
      </c>
      <c r="CC98" s="100">
        <v>74.599999999999994</v>
      </c>
      <c r="CD98" s="100">
        <v>74.599999999999994</v>
      </c>
      <c r="CE98" s="100">
        <v>74.599999999999994</v>
      </c>
      <c r="CF98" s="100">
        <v>74.8</v>
      </c>
      <c r="CG98" s="100">
        <v>74.8</v>
      </c>
      <c r="CH98" s="100">
        <v>74.900000000000006</v>
      </c>
      <c r="CI98" s="100">
        <v>75.099999999999994</v>
      </c>
      <c r="CJ98" s="102">
        <v>75.3</v>
      </c>
      <c r="CK98" s="100"/>
      <c r="CL98" s="100"/>
      <c r="CM98" s="100"/>
      <c r="CN98" s="100"/>
      <c r="CO98" s="100"/>
      <c r="CP98" s="100"/>
      <c r="CQ98" s="100"/>
      <c r="CR98" s="100"/>
      <c r="CS98" s="100"/>
      <c r="CT98" s="100"/>
      <c r="CU98" s="100"/>
      <c r="CV98" s="100"/>
      <c r="CW98" s="100"/>
      <c r="CX98" s="100"/>
      <c r="CY98" s="100"/>
      <c r="CZ98" s="100"/>
      <c r="DA98" s="100"/>
      <c r="DB98" s="100"/>
      <c r="DC98" s="100"/>
      <c r="DD98" s="100"/>
      <c r="DE98" s="100"/>
      <c r="DF98" s="100"/>
      <c r="DG98" s="100"/>
      <c r="DH98" s="100"/>
      <c r="DI98" s="100"/>
      <c r="DJ98" s="100"/>
      <c r="DK98" s="100"/>
      <c r="DL98" s="100"/>
      <c r="DM98" s="100"/>
      <c r="DN98" s="100"/>
      <c r="DO98" s="100"/>
      <c r="DP98" s="100"/>
      <c r="DQ98" s="100"/>
      <c r="DR98" s="100"/>
      <c r="DS98" s="100"/>
      <c r="DT98" s="100"/>
      <c r="DU98" s="100"/>
      <c r="DV98" s="100"/>
      <c r="DW98" s="100"/>
      <c r="DX98" s="100"/>
      <c r="DY98" s="100"/>
      <c r="DZ98" s="100"/>
      <c r="EA98" s="100"/>
      <c r="EB98" s="100"/>
      <c r="EC98" s="100"/>
      <c r="ED98" s="100"/>
      <c r="EE98" s="100"/>
      <c r="EF98" s="100"/>
      <c r="EG98" s="100"/>
      <c r="EH98" s="100"/>
      <c r="EI98" s="100"/>
      <c r="EJ98" s="100"/>
      <c r="EK98" s="100"/>
      <c r="EL98" s="100"/>
      <c r="EM98" s="100"/>
      <c r="EN98" s="100"/>
      <c r="EO98" s="100"/>
      <c r="EP98" s="100"/>
      <c r="EQ98" s="106"/>
      <c r="ER98" s="106"/>
      <c r="ES98" s="106"/>
      <c r="ET98" s="106"/>
      <c r="EU98" s="106"/>
      <c r="EV98" s="106"/>
      <c r="EW98" s="106"/>
      <c r="EX98" s="106"/>
      <c r="EY98" s="106"/>
      <c r="EZ98" s="106"/>
      <c r="FA98" s="106"/>
      <c r="FB98" s="106"/>
      <c r="FC98" s="106"/>
      <c r="FD98" s="106"/>
      <c r="FE98" s="106"/>
      <c r="FF98" s="106"/>
      <c r="FG98" s="106"/>
      <c r="FH98" s="106"/>
      <c r="FI98" s="106"/>
      <c r="FJ98" s="106"/>
      <c r="FK98" s="106"/>
      <c r="FL98" s="106"/>
      <c r="FM98" s="106"/>
      <c r="FN98" s="106"/>
      <c r="FO98" s="106"/>
      <c r="FP98" s="106"/>
      <c r="FQ98" s="106"/>
      <c r="FR98" s="106"/>
      <c r="FS98" s="106"/>
      <c r="FT98" s="106"/>
      <c r="FU98" s="106"/>
      <c r="FV98" s="106"/>
      <c r="FW98" s="106"/>
      <c r="FX98" s="106"/>
      <c r="FY98" s="106"/>
      <c r="FZ98" s="106"/>
      <c r="GA98" s="106"/>
      <c r="GB98" s="106"/>
      <c r="GC98" s="106"/>
      <c r="GD98" s="106"/>
      <c r="GE98" s="106"/>
      <c r="GF98" s="106"/>
      <c r="GG98" s="159"/>
    </row>
    <row r="99" spans="2:189" x14ac:dyDescent="0.2">
      <c r="B99" s="97">
        <v>43009</v>
      </c>
      <c r="C99" s="100">
        <v>70.400000000000006</v>
      </c>
      <c r="D99" s="100">
        <v>70.599999999999994</v>
      </c>
      <c r="E99" s="100">
        <v>70.599999999999994</v>
      </c>
      <c r="F99" s="100">
        <v>70.7</v>
      </c>
      <c r="G99" s="100">
        <v>70.5</v>
      </c>
      <c r="H99" s="100">
        <v>70.3</v>
      </c>
      <c r="I99" s="100">
        <v>70.400000000000006</v>
      </c>
      <c r="J99" s="100">
        <v>70.5</v>
      </c>
      <c r="K99" s="100">
        <v>70.599999999999994</v>
      </c>
      <c r="L99" s="100">
        <v>70.5</v>
      </c>
      <c r="M99" s="100">
        <v>70.5</v>
      </c>
      <c r="N99" s="100">
        <v>70.5</v>
      </c>
      <c r="O99" s="100">
        <v>70.5</v>
      </c>
      <c r="P99" s="100">
        <v>70.2</v>
      </c>
      <c r="Q99" s="100">
        <v>70.2</v>
      </c>
      <c r="R99" s="100">
        <v>70.099999999999994</v>
      </c>
      <c r="S99" s="100">
        <v>70.099999999999994</v>
      </c>
      <c r="T99" s="100">
        <v>70.099999999999994</v>
      </c>
      <c r="U99" s="100">
        <v>70.2</v>
      </c>
      <c r="V99" s="100">
        <v>70.3</v>
      </c>
      <c r="W99" s="100">
        <v>70.3</v>
      </c>
      <c r="X99" s="100">
        <v>70.5</v>
      </c>
      <c r="Y99" s="100">
        <v>70.5</v>
      </c>
      <c r="Z99" s="100">
        <v>70.7</v>
      </c>
      <c r="AA99" s="100">
        <v>70.900000000000006</v>
      </c>
      <c r="AB99" s="100">
        <v>71.099999999999994</v>
      </c>
      <c r="AC99" s="100">
        <v>71.2</v>
      </c>
      <c r="AD99" s="100">
        <v>71.099999999999994</v>
      </c>
      <c r="AE99" s="100">
        <v>71.099999999999994</v>
      </c>
      <c r="AF99" s="100">
        <v>71.3</v>
      </c>
      <c r="AG99" s="100">
        <v>71.400000000000006</v>
      </c>
      <c r="AH99" s="100">
        <v>71.400000000000006</v>
      </c>
      <c r="AI99" s="100">
        <v>71.2</v>
      </c>
      <c r="AJ99" s="100">
        <v>71.2</v>
      </c>
      <c r="AK99" s="100">
        <v>71.2</v>
      </c>
      <c r="AL99" s="100">
        <v>71.2</v>
      </c>
      <c r="AM99" s="100">
        <v>71.3</v>
      </c>
      <c r="AN99" s="100">
        <v>71.5</v>
      </c>
      <c r="AO99" s="100">
        <v>71.5</v>
      </c>
      <c r="AP99" s="100">
        <v>71.7</v>
      </c>
      <c r="AQ99" s="100">
        <v>71.900000000000006</v>
      </c>
      <c r="AR99" s="100">
        <v>72</v>
      </c>
      <c r="AS99" s="100">
        <v>72</v>
      </c>
      <c r="AT99" s="100">
        <v>72.099999999999994</v>
      </c>
      <c r="AU99" s="100">
        <v>72.400000000000006</v>
      </c>
      <c r="AV99" s="100">
        <v>72.5</v>
      </c>
      <c r="AW99" s="100">
        <v>72.7</v>
      </c>
      <c r="AX99" s="100">
        <v>72.900000000000006</v>
      </c>
      <c r="AY99" s="100">
        <v>72.8</v>
      </c>
      <c r="AZ99" s="100">
        <v>72.8</v>
      </c>
      <c r="BA99" s="100">
        <v>73</v>
      </c>
      <c r="BB99" s="100">
        <v>73</v>
      </c>
      <c r="BC99" s="100">
        <v>73</v>
      </c>
      <c r="BD99" s="100">
        <v>73</v>
      </c>
      <c r="BE99" s="100">
        <v>73.2</v>
      </c>
      <c r="BF99" s="100">
        <v>73.3</v>
      </c>
      <c r="BG99" s="100">
        <v>73.400000000000006</v>
      </c>
      <c r="BH99" s="100">
        <v>73.400000000000006</v>
      </c>
      <c r="BI99" s="100">
        <v>73.400000000000006</v>
      </c>
      <c r="BJ99" s="100">
        <v>73.3</v>
      </c>
      <c r="BK99" s="100">
        <v>73.400000000000006</v>
      </c>
      <c r="BL99" s="100">
        <v>73.5</v>
      </c>
      <c r="BM99" s="100">
        <v>73.599999999999994</v>
      </c>
      <c r="BN99" s="100">
        <v>73.8</v>
      </c>
      <c r="BO99" s="100">
        <v>74</v>
      </c>
      <c r="BP99" s="100">
        <v>74.099999999999994</v>
      </c>
      <c r="BQ99" s="100">
        <v>74.099999999999994</v>
      </c>
      <c r="BR99" s="100">
        <v>74.099999999999994</v>
      </c>
      <c r="BS99" s="100">
        <v>74.099999999999994</v>
      </c>
      <c r="BT99" s="100">
        <v>74.2</v>
      </c>
      <c r="BU99" s="100">
        <v>74.2</v>
      </c>
      <c r="BV99" s="100">
        <v>74.400000000000006</v>
      </c>
      <c r="BW99" s="100">
        <v>74.400000000000006</v>
      </c>
      <c r="BX99" s="100">
        <v>74.5</v>
      </c>
      <c r="BY99" s="103">
        <v>74.5</v>
      </c>
      <c r="BZ99" s="100">
        <v>74.400000000000006</v>
      </c>
      <c r="CA99" s="100">
        <v>74.400000000000006</v>
      </c>
      <c r="CB99" s="100">
        <v>74.5</v>
      </c>
      <c r="CC99" s="100">
        <v>74.599999999999994</v>
      </c>
      <c r="CD99" s="100">
        <v>74.599999999999994</v>
      </c>
      <c r="CE99" s="100">
        <v>74.599999999999994</v>
      </c>
      <c r="CF99" s="100">
        <v>74.8</v>
      </c>
      <c r="CG99" s="100">
        <v>74.8</v>
      </c>
      <c r="CH99" s="100">
        <v>74.900000000000006</v>
      </c>
      <c r="CI99" s="100">
        <v>75.099999999999994</v>
      </c>
      <c r="CJ99" s="100">
        <v>75.3</v>
      </c>
      <c r="CK99" s="102">
        <v>75.099999999999994</v>
      </c>
      <c r="CL99" s="100"/>
      <c r="CM99" s="100"/>
      <c r="CN99" s="100"/>
      <c r="CO99" s="100"/>
      <c r="CP99" s="100"/>
      <c r="CQ99" s="100"/>
      <c r="CR99" s="100"/>
      <c r="CS99" s="100"/>
      <c r="CT99" s="100"/>
      <c r="CU99" s="100"/>
      <c r="CV99" s="100"/>
      <c r="CW99" s="100"/>
      <c r="CX99" s="100"/>
      <c r="CY99" s="100"/>
      <c r="CZ99" s="100"/>
      <c r="DA99" s="100"/>
      <c r="DB99" s="100"/>
      <c r="DC99" s="100"/>
      <c r="DD99" s="100"/>
      <c r="DE99" s="100"/>
      <c r="DF99" s="100"/>
      <c r="DG99" s="100"/>
      <c r="DH99" s="100"/>
      <c r="DI99" s="100"/>
      <c r="DJ99" s="100"/>
      <c r="DK99" s="100"/>
      <c r="DL99" s="100"/>
      <c r="DM99" s="100"/>
      <c r="DN99" s="100"/>
      <c r="DO99" s="100"/>
      <c r="DP99" s="100"/>
      <c r="DQ99" s="100"/>
      <c r="DR99" s="100"/>
      <c r="DS99" s="100"/>
      <c r="DT99" s="100"/>
      <c r="DU99" s="100"/>
      <c r="DV99" s="100"/>
      <c r="DW99" s="100"/>
      <c r="DX99" s="100"/>
      <c r="DY99" s="100"/>
      <c r="DZ99" s="100"/>
      <c r="EA99" s="100"/>
      <c r="EB99" s="100"/>
      <c r="EC99" s="100"/>
      <c r="ED99" s="100"/>
      <c r="EE99" s="100"/>
      <c r="EF99" s="100"/>
      <c r="EG99" s="100"/>
      <c r="EH99" s="100"/>
      <c r="EI99" s="100"/>
      <c r="EJ99" s="100"/>
      <c r="EK99" s="100"/>
      <c r="EL99" s="100"/>
      <c r="EM99" s="100"/>
      <c r="EN99" s="100"/>
      <c r="EO99" s="100"/>
      <c r="EP99" s="100"/>
      <c r="EQ99" s="106"/>
      <c r="ER99" s="106"/>
      <c r="ES99" s="106"/>
      <c r="ET99" s="106"/>
      <c r="EU99" s="106"/>
      <c r="EV99" s="106"/>
      <c r="EW99" s="106"/>
      <c r="EX99" s="106"/>
      <c r="EY99" s="106"/>
      <c r="EZ99" s="106"/>
      <c r="FA99" s="106"/>
      <c r="FB99" s="106"/>
      <c r="FC99" s="106"/>
      <c r="FD99" s="106"/>
      <c r="FE99" s="106"/>
      <c r="FF99" s="106"/>
      <c r="FG99" s="106"/>
      <c r="FH99" s="106"/>
      <c r="FI99" s="106"/>
      <c r="FJ99" s="106"/>
      <c r="FK99" s="106"/>
      <c r="FL99" s="106"/>
      <c r="FM99" s="106"/>
      <c r="FN99" s="106"/>
      <c r="FO99" s="106"/>
      <c r="FP99" s="106"/>
      <c r="FQ99" s="106"/>
      <c r="FR99" s="106"/>
      <c r="FS99" s="106"/>
      <c r="FT99" s="106"/>
      <c r="FU99" s="106"/>
      <c r="FV99" s="106"/>
      <c r="FW99" s="106"/>
      <c r="FX99" s="106"/>
      <c r="FY99" s="106"/>
      <c r="FZ99" s="106"/>
      <c r="GA99" s="106"/>
      <c r="GB99" s="106"/>
      <c r="GC99" s="106"/>
      <c r="GD99" s="106"/>
      <c r="GE99" s="106"/>
      <c r="GF99" s="106"/>
      <c r="GG99" s="159"/>
    </row>
    <row r="100" spans="2:189" x14ac:dyDescent="0.2">
      <c r="B100" s="97">
        <v>43040</v>
      </c>
      <c r="C100" s="100">
        <v>70.400000000000006</v>
      </c>
      <c r="D100" s="100">
        <v>70.599999999999994</v>
      </c>
      <c r="E100" s="100">
        <v>70.599999999999994</v>
      </c>
      <c r="F100" s="100">
        <v>70.7</v>
      </c>
      <c r="G100" s="100">
        <v>70.5</v>
      </c>
      <c r="H100" s="100">
        <v>70.3</v>
      </c>
      <c r="I100" s="100">
        <v>70.400000000000006</v>
      </c>
      <c r="J100" s="100">
        <v>70.5</v>
      </c>
      <c r="K100" s="100">
        <v>70.599999999999994</v>
      </c>
      <c r="L100" s="100">
        <v>70.5</v>
      </c>
      <c r="M100" s="100">
        <v>70.5</v>
      </c>
      <c r="N100" s="100">
        <v>70.5</v>
      </c>
      <c r="O100" s="100">
        <v>70.5</v>
      </c>
      <c r="P100" s="100">
        <v>70.2</v>
      </c>
      <c r="Q100" s="100">
        <v>70.2</v>
      </c>
      <c r="R100" s="100">
        <v>70.099999999999994</v>
      </c>
      <c r="S100" s="100">
        <v>70.099999999999994</v>
      </c>
      <c r="T100" s="100">
        <v>70.099999999999994</v>
      </c>
      <c r="U100" s="100">
        <v>70.2</v>
      </c>
      <c r="V100" s="100">
        <v>70.3</v>
      </c>
      <c r="W100" s="100">
        <v>70.3</v>
      </c>
      <c r="X100" s="100">
        <v>70.5</v>
      </c>
      <c r="Y100" s="100">
        <v>70.5</v>
      </c>
      <c r="Z100" s="100">
        <v>70.7</v>
      </c>
      <c r="AA100" s="100">
        <v>70.900000000000006</v>
      </c>
      <c r="AB100" s="100">
        <v>71.099999999999994</v>
      </c>
      <c r="AC100" s="100">
        <v>71.2</v>
      </c>
      <c r="AD100" s="100">
        <v>71.099999999999994</v>
      </c>
      <c r="AE100" s="100">
        <v>71.099999999999994</v>
      </c>
      <c r="AF100" s="100">
        <v>71.3</v>
      </c>
      <c r="AG100" s="100">
        <v>71.400000000000006</v>
      </c>
      <c r="AH100" s="100">
        <v>71.400000000000006</v>
      </c>
      <c r="AI100" s="100">
        <v>71.2</v>
      </c>
      <c r="AJ100" s="100">
        <v>71.2</v>
      </c>
      <c r="AK100" s="100">
        <v>71.2</v>
      </c>
      <c r="AL100" s="100">
        <v>71.2</v>
      </c>
      <c r="AM100" s="100">
        <v>71.3</v>
      </c>
      <c r="AN100" s="100">
        <v>71.5</v>
      </c>
      <c r="AO100" s="100">
        <v>71.5</v>
      </c>
      <c r="AP100" s="100">
        <v>71.7</v>
      </c>
      <c r="AQ100" s="100">
        <v>71.900000000000006</v>
      </c>
      <c r="AR100" s="100">
        <v>72</v>
      </c>
      <c r="AS100" s="100">
        <v>72</v>
      </c>
      <c r="AT100" s="100">
        <v>72.099999999999994</v>
      </c>
      <c r="AU100" s="100">
        <v>72.400000000000006</v>
      </c>
      <c r="AV100" s="100">
        <v>72.5</v>
      </c>
      <c r="AW100" s="100">
        <v>72.7</v>
      </c>
      <c r="AX100" s="100">
        <v>72.900000000000006</v>
      </c>
      <c r="AY100" s="100">
        <v>72.8</v>
      </c>
      <c r="AZ100" s="100">
        <v>72.8</v>
      </c>
      <c r="BA100" s="100">
        <v>73</v>
      </c>
      <c r="BB100" s="100">
        <v>73</v>
      </c>
      <c r="BC100" s="100">
        <v>73</v>
      </c>
      <c r="BD100" s="100">
        <v>73</v>
      </c>
      <c r="BE100" s="100">
        <v>73.2</v>
      </c>
      <c r="BF100" s="100">
        <v>73.3</v>
      </c>
      <c r="BG100" s="100">
        <v>73.400000000000006</v>
      </c>
      <c r="BH100" s="100">
        <v>73.400000000000006</v>
      </c>
      <c r="BI100" s="100">
        <v>73.400000000000006</v>
      </c>
      <c r="BJ100" s="100">
        <v>73.3</v>
      </c>
      <c r="BK100" s="100">
        <v>73.400000000000006</v>
      </c>
      <c r="BL100" s="100">
        <v>73.5</v>
      </c>
      <c r="BM100" s="100">
        <v>73.599999999999994</v>
      </c>
      <c r="BN100" s="100">
        <v>73.8</v>
      </c>
      <c r="BO100" s="100">
        <v>74</v>
      </c>
      <c r="BP100" s="100">
        <v>74.099999999999994</v>
      </c>
      <c r="BQ100" s="100">
        <v>74.099999999999994</v>
      </c>
      <c r="BR100" s="100">
        <v>74.099999999999994</v>
      </c>
      <c r="BS100" s="100">
        <v>74.099999999999994</v>
      </c>
      <c r="BT100" s="100">
        <v>74.2</v>
      </c>
      <c r="BU100" s="100">
        <v>74.2</v>
      </c>
      <c r="BV100" s="100">
        <v>74.400000000000006</v>
      </c>
      <c r="BW100" s="100">
        <v>74.400000000000006</v>
      </c>
      <c r="BX100" s="100">
        <v>74.5</v>
      </c>
      <c r="BY100" s="100">
        <v>74.5</v>
      </c>
      <c r="BZ100" s="103">
        <v>74.400000000000006</v>
      </c>
      <c r="CA100" s="100">
        <v>74.400000000000006</v>
      </c>
      <c r="CB100" s="100">
        <v>74.5</v>
      </c>
      <c r="CC100" s="100">
        <v>74.599999999999994</v>
      </c>
      <c r="CD100" s="100">
        <v>74.599999999999994</v>
      </c>
      <c r="CE100" s="100">
        <v>74.599999999999994</v>
      </c>
      <c r="CF100" s="100">
        <v>74.8</v>
      </c>
      <c r="CG100" s="100">
        <v>74.8</v>
      </c>
      <c r="CH100" s="100">
        <v>74.900000000000006</v>
      </c>
      <c r="CI100" s="100">
        <v>75.099999999999994</v>
      </c>
      <c r="CJ100" s="100">
        <v>75.3</v>
      </c>
      <c r="CK100" s="100">
        <v>75.099999999999994</v>
      </c>
      <c r="CL100" s="102">
        <v>75</v>
      </c>
      <c r="CM100" s="100"/>
      <c r="CN100" s="100"/>
      <c r="CO100" s="100"/>
      <c r="CP100" s="100"/>
      <c r="CQ100" s="100"/>
      <c r="CR100" s="100"/>
      <c r="CS100" s="100"/>
      <c r="CT100" s="100"/>
      <c r="CU100" s="100"/>
      <c r="CV100" s="100"/>
      <c r="CW100" s="100"/>
      <c r="CX100" s="100"/>
      <c r="CY100" s="100"/>
      <c r="CZ100" s="100"/>
      <c r="DA100" s="100"/>
      <c r="DB100" s="100"/>
      <c r="DC100" s="100"/>
      <c r="DD100" s="100"/>
      <c r="DE100" s="100"/>
      <c r="DF100" s="100"/>
      <c r="DG100" s="100"/>
      <c r="DH100" s="100"/>
      <c r="DI100" s="100"/>
      <c r="DJ100" s="100"/>
      <c r="DK100" s="100"/>
      <c r="DL100" s="100"/>
      <c r="DM100" s="100"/>
      <c r="DN100" s="100"/>
      <c r="DO100" s="100"/>
      <c r="DP100" s="100"/>
      <c r="DQ100" s="100"/>
      <c r="DR100" s="100"/>
      <c r="DS100" s="100"/>
      <c r="DT100" s="100"/>
      <c r="DU100" s="100"/>
      <c r="DV100" s="100"/>
      <c r="DW100" s="100"/>
      <c r="DX100" s="100"/>
      <c r="DY100" s="100"/>
      <c r="DZ100" s="100"/>
      <c r="EA100" s="100"/>
      <c r="EB100" s="100"/>
      <c r="EC100" s="100"/>
      <c r="ED100" s="100"/>
      <c r="EE100" s="100"/>
      <c r="EF100" s="100"/>
      <c r="EG100" s="100"/>
      <c r="EH100" s="100"/>
      <c r="EI100" s="100"/>
      <c r="EJ100" s="100"/>
      <c r="EK100" s="100"/>
      <c r="EL100" s="100"/>
      <c r="EM100" s="100"/>
      <c r="EN100" s="100"/>
      <c r="EO100" s="100"/>
      <c r="EP100" s="100"/>
      <c r="EQ100" s="106"/>
      <c r="ER100" s="106"/>
      <c r="ES100" s="106"/>
      <c r="ET100" s="106"/>
      <c r="EU100" s="106"/>
      <c r="EV100" s="106"/>
      <c r="EW100" s="106"/>
      <c r="EX100" s="106"/>
      <c r="EY100" s="106"/>
      <c r="EZ100" s="106"/>
      <c r="FA100" s="106"/>
      <c r="FB100" s="106"/>
      <c r="FC100" s="106"/>
      <c r="FD100" s="106"/>
      <c r="FE100" s="106"/>
      <c r="FF100" s="106"/>
      <c r="FG100" s="106"/>
      <c r="FH100" s="106"/>
      <c r="FI100" s="106"/>
      <c r="FJ100" s="106"/>
      <c r="FK100" s="106"/>
      <c r="FL100" s="106"/>
      <c r="FM100" s="106"/>
      <c r="FN100" s="106"/>
      <c r="FO100" s="106"/>
      <c r="FP100" s="106"/>
      <c r="FQ100" s="106"/>
      <c r="FR100" s="106"/>
      <c r="FS100" s="106"/>
      <c r="FT100" s="106"/>
      <c r="FU100" s="106"/>
      <c r="FV100" s="106"/>
      <c r="FW100" s="106"/>
      <c r="FX100" s="106"/>
      <c r="FY100" s="106"/>
      <c r="FZ100" s="106"/>
      <c r="GA100" s="106"/>
      <c r="GB100" s="106"/>
      <c r="GC100" s="106"/>
      <c r="GD100" s="106"/>
      <c r="GE100" s="106"/>
      <c r="GF100" s="106"/>
      <c r="GG100" s="159"/>
    </row>
    <row r="101" spans="2:189" x14ac:dyDescent="0.2">
      <c r="B101" s="97">
        <v>43070</v>
      </c>
      <c r="C101" s="100">
        <v>70.400000000000006</v>
      </c>
      <c r="D101" s="100">
        <v>70.599999999999994</v>
      </c>
      <c r="E101" s="100">
        <v>70.599999999999994</v>
      </c>
      <c r="F101" s="100">
        <v>70.7</v>
      </c>
      <c r="G101" s="100">
        <v>70.5</v>
      </c>
      <c r="H101" s="100">
        <v>70.3</v>
      </c>
      <c r="I101" s="100">
        <v>70.400000000000006</v>
      </c>
      <c r="J101" s="100">
        <v>70.5</v>
      </c>
      <c r="K101" s="100">
        <v>70.599999999999994</v>
      </c>
      <c r="L101" s="100">
        <v>70.5</v>
      </c>
      <c r="M101" s="100">
        <v>70.5</v>
      </c>
      <c r="N101" s="100">
        <v>70.5</v>
      </c>
      <c r="O101" s="100">
        <v>70.5</v>
      </c>
      <c r="P101" s="100">
        <v>70.2</v>
      </c>
      <c r="Q101" s="100">
        <v>70.2</v>
      </c>
      <c r="R101" s="100">
        <v>70.099999999999994</v>
      </c>
      <c r="S101" s="100">
        <v>70.099999999999994</v>
      </c>
      <c r="T101" s="100">
        <v>70.099999999999994</v>
      </c>
      <c r="U101" s="100">
        <v>70.2</v>
      </c>
      <c r="V101" s="100">
        <v>70.3</v>
      </c>
      <c r="W101" s="100">
        <v>70.3</v>
      </c>
      <c r="X101" s="100">
        <v>70.5</v>
      </c>
      <c r="Y101" s="100">
        <v>70.5</v>
      </c>
      <c r="Z101" s="100">
        <v>70.7</v>
      </c>
      <c r="AA101" s="100">
        <v>70.900000000000006</v>
      </c>
      <c r="AB101" s="100">
        <v>71.099999999999994</v>
      </c>
      <c r="AC101" s="100">
        <v>71.2</v>
      </c>
      <c r="AD101" s="100">
        <v>71.099999999999994</v>
      </c>
      <c r="AE101" s="100">
        <v>71.099999999999994</v>
      </c>
      <c r="AF101" s="100">
        <v>71.3</v>
      </c>
      <c r="AG101" s="100">
        <v>71.400000000000006</v>
      </c>
      <c r="AH101" s="100">
        <v>71.400000000000006</v>
      </c>
      <c r="AI101" s="100">
        <v>71.2</v>
      </c>
      <c r="AJ101" s="100">
        <v>71.2</v>
      </c>
      <c r="AK101" s="100">
        <v>71.2</v>
      </c>
      <c r="AL101" s="100">
        <v>71.2</v>
      </c>
      <c r="AM101" s="100">
        <v>71.3</v>
      </c>
      <c r="AN101" s="100">
        <v>71.5</v>
      </c>
      <c r="AO101" s="100">
        <v>71.5</v>
      </c>
      <c r="AP101" s="100">
        <v>71.7</v>
      </c>
      <c r="AQ101" s="100">
        <v>71.900000000000006</v>
      </c>
      <c r="AR101" s="100">
        <v>72</v>
      </c>
      <c r="AS101" s="100">
        <v>72</v>
      </c>
      <c r="AT101" s="100">
        <v>72.099999999999994</v>
      </c>
      <c r="AU101" s="100">
        <v>72.400000000000006</v>
      </c>
      <c r="AV101" s="100">
        <v>72.5</v>
      </c>
      <c r="AW101" s="100">
        <v>72.7</v>
      </c>
      <c r="AX101" s="100">
        <v>72.900000000000006</v>
      </c>
      <c r="AY101" s="100">
        <v>72.8</v>
      </c>
      <c r="AZ101" s="100">
        <v>72.8</v>
      </c>
      <c r="BA101" s="100">
        <v>73</v>
      </c>
      <c r="BB101" s="100">
        <v>73</v>
      </c>
      <c r="BC101" s="100">
        <v>73</v>
      </c>
      <c r="BD101" s="100">
        <v>73</v>
      </c>
      <c r="BE101" s="100">
        <v>73.2</v>
      </c>
      <c r="BF101" s="100">
        <v>73.3</v>
      </c>
      <c r="BG101" s="100">
        <v>73.400000000000006</v>
      </c>
      <c r="BH101" s="100">
        <v>73.400000000000006</v>
      </c>
      <c r="BI101" s="100">
        <v>73.400000000000006</v>
      </c>
      <c r="BJ101" s="100">
        <v>73.3</v>
      </c>
      <c r="BK101" s="100">
        <v>73.400000000000006</v>
      </c>
      <c r="BL101" s="100">
        <v>73.5</v>
      </c>
      <c r="BM101" s="100">
        <v>73.599999999999994</v>
      </c>
      <c r="BN101" s="100">
        <v>73.8</v>
      </c>
      <c r="BO101" s="100">
        <v>74</v>
      </c>
      <c r="BP101" s="100">
        <v>74.099999999999994</v>
      </c>
      <c r="BQ101" s="100">
        <v>74.099999999999994</v>
      </c>
      <c r="BR101" s="100">
        <v>74.099999999999994</v>
      </c>
      <c r="BS101" s="100">
        <v>74.099999999999994</v>
      </c>
      <c r="BT101" s="100">
        <v>74.2</v>
      </c>
      <c r="BU101" s="100">
        <v>74.2</v>
      </c>
      <c r="BV101" s="100">
        <v>74.400000000000006</v>
      </c>
      <c r="BW101" s="100">
        <v>74.400000000000006</v>
      </c>
      <c r="BX101" s="100">
        <v>74.5</v>
      </c>
      <c r="BY101" s="100">
        <v>74.5</v>
      </c>
      <c r="BZ101" s="100">
        <v>74.400000000000006</v>
      </c>
      <c r="CA101" s="103">
        <v>74.400000000000006</v>
      </c>
      <c r="CB101" s="100">
        <v>74.5</v>
      </c>
      <c r="CC101" s="100">
        <v>74.599999999999994</v>
      </c>
      <c r="CD101" s="100">
        <v>74.599999999999994</v>
      </c>
      <c r="CE101" s="100">
        <v>74.599999999999994</v>
      </c>
      <c r="CF101" s="100">
        <v>74.8</v>
      </c>
      <c r="CG101" s="100">
        <v>74.8</v>
      </c>
      <c r="CH101" s="100">
        <v>74.900000000000006</v>
      </c>
      <c r="CI101" s="100">
        <v>75.099999999999994</v>
      </c>
      <c r="CJ101" s="100">
        <v>75.3</v>
      </c>
      <c r="CK101" s="100">
        <v>75.099999999999994</v>
      </c>
      <c r="CL101" s="100">
        <v>75</v>
      </c>
      <c r="CM101" s="102">
        <v>75.099999999999994</v>
      </c>
      <c r="CN101" s="100"/>
      <c r="CO101" s="100"/>
      <c r="CP101" s="100"/>
      <c r="CQ101" s="100"/>
      <c r="CR101" s="100"/>
      <c r="CS101" s="100"/>
      <c r="CT101" s="100"/>
      <c r="CU101" s="100"/>
      <c r="CV101" s="100"/>
      <c r="CW101" s="100"/>
      <c r="CX101" s="100"/>
      <c r="CY101" s="100"/>
      <c r="CZ101" s="100"/>
      <c r="DA101" s="100"/>
      <c r="DB101" s="100"/>
      <c r="DC101" s="100"/>
      <c r="DD101" s="100"/>
      <c r="DE101" s="100"/>
      <c r="DF101" s="100"/>
      <c r="DG101" s="100"/>
      <c r="DH101" s="100"/>
      <c r="DI101" s="100"/>
      <c r="DJ101" s="100"/>
      <c r="DK101" s="100"/>
      <c r="DL101" s="100"/>
      <c r="DM101" s="100"/>
      <c r="DN101" s="100"/>
      <c r="DO101" s="100"/>
      <c r="DP101" s="100"/>
      <c r="DQ101" s="100"/>
      <c r="DR101" s="100"/>
      <c r="DS101" s="100"/>
      <c r="DT101" s="100"/>
      <c r="DU101" s="100"/>
      <c r="DV101" s="100"/>
      <c r="DW101" s="100"/>
      <c r="DX101" s="100"/>
      <c r="DY101" s="100"/>
      <c r="DZ101" s="100"/>
      <c r="EA101" s="100"/>
      <c r="EB101" s="100"/>
      <c r="EC101" s="100"/>
      <c r="ED101" s="100"/>
      <c r="EE101" s="100"/>
      <c r="EF101" s="100"/>
      <c r="EG101" s="100"/>
      <c r="EH101" s="100"/>
      <c r="EI101" s="100"/>
      <c r="EJ101" s="100"/>
      <c r="EK101" s="100"/>
      <c r="EL101" s="100"/>
      <c r="EM101" s="100"/>
      <c r="EN101" s="100"/>
      <c r="EO101" s="100"/>
      <c r="EP101" s="100"/>
      <c r="EQ101" s="106"/>
      <c r="ER101" s="106"/>
      <c r="ES101" s="106"/>
      <c r="ET101" s="106"/>
      <c r="EU101" s="106"/>
      <c r="EV101" s="106"/>
      <c r="EW101" s="106"/>
      <c r="EX101" s="106"/>
      <c r="EY101" s="106"/>
      <c r="EZ101" s="106"/>
      <c r="FA101" s="106"/>
      <c r="FB101" s="106"/>
      <c r="FC101" s="106"/>
      <c r="FD101" s="106"/>
      <c r="FE101" s="106"/>
      <c r="FF101" s="106"/>
      <c r="FG101" s="106"/>
      <c r="FH101" s="106"/>
      <c r="FI101" s="106"/>
      <c r="FJ101" s="106"/>
      <c r="FK101" s="106"/>
      <c r="FL101" s="106"/>
      <c r="FM101" s="106"/>
      <c r="FN101" s="106"/>
      <c r="FO101" s="106"/>
      <c r="FP101" s="106"/>
      <c r="FQ101" s="106"/>
      <c r="FR101" s="106"/>
      <c r="FS101" s="106"/>
      <c r="FT101" s="106"/>
      <c r="FU101" s="106"/>
      <c r="FV101" s="106"/>
      <c r="FW101" s="106"/>
      <c r="FX101" s="106"/>
      <c r="FY101" s="106"/>
      <c r="FZ101" s="106"/>
      <c r="GA101" s="106"/>
      <c r="GB101" s="106"/>
      <c r="GC101" s="106"/>
      <c r="GD101" s="106"/>
      <c r="GE101" s="106"/>
      <c r="GF101" s="106"/>
      <c r="GG101" s="159"/>
    </row>
    <row r="102" spans="2:189" x14ac:dyDescent="0.2">
      <c r="B102" s="97">
        <v>43101</v>
      </c>
      <c r="C102" s="100">
        <v>70.400000000000006</v>
      </c>
      <c r="D102" s="100">
        <v>70.599999999999994</v>
      </c>
      <c r="E102" s="100">
        <v>70.599999999999994</v>
      </c>
      <c r="F102" s="100">
        <v>70.7</v>
      </c>
      <c r="G102" s="100">
        <v>70.5</v>
      </c>
      <c r="H102" s="100">
        <v>70.3</v>
      </c>
      <c r="I102" s="100">
        <v>70.400000000000006</v>
      </c>
      <c r="J102" s="100">
        <v>70.5</v>
      </c>
      <c r="K102" s="100">
        <v>70.599999999999994</v>
      </c>
      <c r="L102" s="100">
        <v>70.5</v>
      </c>
      <c r="M102" s="100">
        <v>70.5</v>
      </c>
      <c r="N102" s="100">
        <v>70.5</v>
      </c>
      <c r="O102" s="100">
        <v>70.5</v>
      </c>
      <c r="P102" s="100">
        <v>70.2</v>
      </c>
      <c r="Q102" s="100">
        <v>70.2</v>
      </c>
      <c r="R102" s="100">
        <v>70.099999999999994</v>
      </c>
      <c r="S102" s="100">
        <v>70.099999999999994</v>
      </c>
      <c r="T102" s="100">
        <v>70.099999999999994</v>
      </c>
      <c r="U102" s="100">
        <v>70.2</v>
      </c>
      <c r="V102" s="100">
        <v>70.3</v>
      </c>
      <c r="W102" s="100">
        <v>70.3</v>
      </c>
      <c r="X102" s="100">
        <v>70.5</v>
      </c>
      <c r="Y102" s="100">
        <v>70.5</v>
      </c>
      <c r="Z102" s="100">
        <v>70.7</v>
      </c>
      <c r="AA102" s="100">
        <v>70.900000000000006</v>
      </c>
      <c r="AB102" s="100">
        <v>71.099999999999994</v>
      </c>
      <c r="AC102" s="100">
        <v>71.2</v>
      </c>
      <c r="AD102" s="100">
        <v>71.099999999999994</v>
      </c>
      <c r="AE102" s="100">
        <v>71.099999999999994</v>
      </c>
      <c r="AF102" s="100">
        <v>71.3</v>
      </c>
      <c r="AG102" s="100">
        <v>71.400000000000006</v>
      </c>
      <c r="AH102" s="100">
        <v>71.400000000000006</v>
      </c>
      <c r="AI102" s="100">
        <v>71.2</v>
      </c>
      <c r="AJ102" s="100">
        <v>71.2</v>
      </c>
      <c r="AK102" s="100">
        <v>71.2</v>
      </c>
      <c r="AL102" s="100">
        <v>71.2</v>
      </c>
      <c r="AM102" s="100">
        <v>71.3</v>
      </c>
      <c r="AN102" s="100">
        <v>71.5</v>
      </c>
      <c r="AO102" s="100">
        <v>71.5</v>
      </c>
      <c r="AP102" s="100">
        <v>71.7</v>
      </c>
      <c r="AQ102" s="100">
        <v>71.900000000000006</v>
      </c>
      <c r="AR102" s="100">
        <v>72</v>
      </c>
      <c r="AS102" s="100">
        <v>72</v>
      </c>
      <c r="AT102" s="100">
        <v>72.099999999999994</v>
      </c>
      <c r="AU102" s="100">
        <v>72.400000000000006</v>
      </c>
      <c r="AV102" s="100">
        <v>72.5</v>
      </c>
      <c r="AW102" s="100">
        <v>72.7</v>
      </c>
      <c r="AX102" s="100">
        <v>72.900000000000006</v>
      </c>
      <c r="AY102" s="100">
        <v>72.8</v>
      </c>
      <c r="AZ102" s="100">
        <v>72.8</v>
      </c>
      <c r="BA102" s="100">
        <v>73</v>
      </c>
      <c r="BB102" s="100">
        <v>73</v>
      </c>
      <c r="BC102" s="100">
        <v>73</v>
      </c>
      <c r="BD102" s="100">
        <v>73</v>
      </c>
      <c r="BE102" s="100">
        <v>73.2</v>
      </c>
      <c r="BF102" s="100">
        <v>73.3</v>
      </c>
      <c r="BG102" s="100">
        <v>73.400000000000006</v>
      </c>
      <c r="BH102" s="100">
        <v>73.400000000000006</v>
      </c>
      <c r="BI102" s="100">
        <v>73.400000000000006</v>
      </c>
      <c r="BJ102" s="100">
        <v>73.3</v>
      </c>
      <c r="BK102" s="100">
        <v>73.400000000000006</v>
      </c>
      <c r="BL102" s="100">
        <v>73.5</v>
      </c>
      <c r="BM102" s="100">
        <v>73.599999999999994</v>
      </c>
      <c r="BN102" s="100">
        <v>73.8</v>
      </c>
      <c r="BO102" s="100">
        <v>74</v>
      </c>
      <c r="BP102" s="100">
        <v>74.099999999999994</v>
      </c>
      <c r="BQ102" s="100">
        <v>74.099999999999994</v>
      </c>
      <c r="BR102" s="100">
        <v>74.099999999999994</v>
      </c>
      <c r="BS102" s="100">
        <v>74.099999999999994</v>
      </c>
      <c r="BT102" s="100">
        <v>74.2</v>
      </c>
      <c r="BU102" s="100">
        <v>74.2</v>
      </c>
      <c r="BV102" s="100">
        <v>74.400000000000006</v>
      </c>
      <c r="BW102" s="100">
        <v>74.400000000000006</v>
      </c>
      <c r="BX102" s="100">
        <v>74.5</v>
      </c>
      <c r="BY102" s="100">
        <v>74.5</v>
      </c>
      <c r="BZ102" s="100">
        <v>74.400000000000006</v>
      </c>
      <c r="CA102" s="100">
        <v>74.400000000000006</v>
      </c>
      <c r="CB102" s="103">
        <v>74.5</v>
      </c>
      <c r="CC102" s="100">
        <v>74.599999999999994</v>
      </c>
      <c r="CD102" s="100">
        <v>74.599999999999994</v>
      </c>
      <c r="CE102" s="100">
        <v>74.599999999999994</v>
      </c>
      <c r="CF102" s="100">
        <v>74.8</v>
      </c>
      <c r="CG102" s="100">
        <v>74.8</v>
      </c>
      <c r="CH102" s="100">
        <v>74.900000000000006</v>
      </c>
      <c r="CI102" s="100">
        <v>75.099999999999994</v>
      </c>
      <c r="CJ102" s="100">
        <v>75.3</v>
      </c>
      <c r="CK102" s="100">
        <v>75.099999999999994</v>
      </c>
      <c r="CL102" s="100">
        <v>75</v>
      </c>
      <c r="CM102" s="100">
        <v>75.099999999999994</v>
      </c>
      <c r="CN102" s="102">
        <v>75.3</v>
      </c>
      <c r="CO102" s="100"/>
      <c r="CP102" s="100"/>
      <c r="CQ102" s="100"/>
      <c r="CR102" s="100"/>
      <c r="CS102" s="100"/>
      <c r="CT102" s="100"/>
      <c r="CU102" s="100"/>
      <c r="CV102" s="100"/>
      <c r="CW102" s="100"/>
      <c r="CX102" s="100"/>
      <c r="CY102" s="100"/>
      <c r="CZ102" s="100"/>
      <c r="DA102" s="100"/>
      <c r="DB102" s="100"/>
      <c r="DC102" s="100"/>
      <c r="DD102" s="100"/>
      <c r="DE102" s="100"/>
      <c r="DF102" s="100"/>
      <c r="DG102" s="100"/>
      <c r="DH102" s="100"/>
      <c r="DI102" s="100"/>
      <c r="DJ102" s="100"/>
      <c r="DK102" s="100"/>
      <c r="DL102" s="100"/>
      <c r="DM102" s="100"/>
      <c r="DN102" s="100"/>
      <c r="DO102" s="100"/>
      <c r="DP102" s="100"/>
      <c r="DQ102" s="100"/>
      <c r="DR102" s="100"/>
      <c r="DS102" s="100"/>
      <c r="DT102" s="100"/>
      <c r="DU102" s="100"/>
      <c r="DV102" s="100"/>
      <c r="DW102" s="100"/>
      <c r="DX102" s="100"/>
      <c r="DY102" s="100"/>
      <c r="DZ102" s="100"/>
      <c r="EA102" s="100"/>
      <c r="EB102" s="100"/>
      <c r="EC102" s="100"/>
      <c r="ED102" s="100"/>
      <c r="EE102" s="100"/>
      <c r="EF102" s="100"/>
      <c r="EG102" s="100"/>
      <c r="EH102" s="100"/>
      <c r="EI102" s="100"/>
      <c r="EJ102" s="100"/>
      <c r="EK102" s="100"/>
      <c r="EL102" s="100"/>
      <c r="EM102" s="100"/>
      <c r="EN102" s="100"/>
      <c r="EO102" s="100"/>
      <c r="EP102" s="100"/>
      <c r="EQ102" s="106"/>
      <c r="ER102" s="106"/>
      <c r="ES102" s="106"/>
      <c r="ET102" s="106"/>
      <c r="EU102" s="106"/>
      <c r="EV102" s="106"/>
      <c r="EW102" s="106"/>
      <c r="EX102" s="106"/>
      <c r="EY102" s="106"/>
      <c r="EZ102" s="106"/>
      <c r="FA102" s="106"/>
      <c r="FB102" s="106"/>
      <c r="FC102" s="106"/>
      <c r="FD102" s="106"/>
      <c r="FE102" s="106"/>
      <c r="FF102" s="106"/>
      <c r="FG102" s="106"/>
      <c r="FH102" s="106"/>
      <c r="FI102" s="106"/>
      <c r="FJ102" s="106"/>
      <c r="FK102" s="106"/>
      <c r="FL102" s="106"/>
      <c r="FM102" s="106"/>
      <c r="FN102" s="106"/>
      <c r="FO102" s="106"/>
      <c r="FP102" s="106"/>
      <c r="FQ102" s="106"/>
      <c r="FR102" s="106"/>
      <c r="FS102" s="106"/>
      <c r="FT102" s="106"/>
      <c r="FU102" s="106"/>
      <c r="FV102" s="106"/>
      <c r="FW102" s="106"/>
      <c r="FX102" s="106"/>
      <c r="FY102" s="106"/>
      <c r="FZ102" s="106"/>
      <c r="GA102" s="106"/>
      <c r="GB102" s="106"/>
      <c r="GC102" s="106"/>
      <c r="GD102" s="106"/>
      <c r="GE102" s="106"/>
      <c r="GF102" s="106"/>
      <c r="GG102" s="159"/>
    </row>
    <row r="103" spans="2:189" x14ac:dyDescent="0.2">
      <c r="B103" s="97">
        <v>43132</v>
      </c>
      <c r="C103" s="100">
        <v>70.400000000000006</v>
      </c>
      <c r="D103" s="100">
        <v>70.599999999999994</v>
      </c>
      <c r="E103" s="100">
        <v>70.599999999999994</v>
      </c>
      <c r="F103" s="100">
        <v>70.7</v>
      </c>
      <c r="G103" s="100">
        <v>70.5</v>
      </c>
      <c r="H103" s="100">
        <v>70.3</v>
      </c>
      <c r="I103" s="100">
        <v>70.400000000000006</v>
      </c>
      <c r="J103" s="100">
        <v>70.5</v>
      </c>
      <c r="K103" s="100">
        <v>70.599999999999994</v>
      </c>
      <c r="L103" s="100">
        <v>70.5</v>
      </c>
      <c r="M103" s="100">
        <v>70.5</v>
      </c>
      <c r="N103" s="100">
        <v>70.5</v>
      </c>
      <c r="O103" s="100">
        <v>70.5</v>
      </c>
      <c r="P103" s="100">
        <v>70.2</v>
      </c>
      <c r="Q103" s="100">
        <v>70.2</v>
      </c>
      <c r="R103" s="100">
        <v>70.099999999999994</v>
      </c>
      <c r="S103" s="100">
        <v>70.099999999999994</v>
      </c>
      <c r="T103" s="100">
        <v>70.099999999999994</v>
      </c>
      <c r="U103" s="100">
        <v>70.2</v>
      </c>
      <c r="V103" s="100">
        <v>70.3</v>
      </c>
      <c r="W103" s="100">
        <v>70.3</v>
      </c>
      <c r="X103" s="100">
        <v>70.5</v>
      </c>
      <c r="Y103" s="100">
        <v>70.5</v>
      </c>
      <c r="Z103" s="100">
        <v>70.7</v>
      </c>
      <c r="AA103" s="100">
        <v>70.900000000000006</v>
      </c>
      <c r="AB103" s="100">
        <v>71.099999999999994</v>
      </c>
      <c r="AC103" s="100">
        <v>71.2</v>
      </c>
      <c r="AD103" s="100">
        <v>71.099999999999994</v>
      </c>
      <c r="AE103" s="100">
        <v>71.099999999999994</v>
      </c>
      <c r="AF103" s="100">
        <v>71.3</v>
      </c>
      <c r="AG103" s="100">
        <v>71.400000000000006</v>
      </c>
      <c r="AH103" s="100">
        <v>71.400000000000006</v>
      </c>
      <c r="AI103" s="100">
        <v>71.2</v>
      </c>
      <c r="AJ103" s="100">
        <v>71.2</v>
      </c>
      <c r="AK103" s="100">
        <v>71.2</v>
      </c>
      <c r="AL103" s="100">
        <v>71.2</v>
      </c>
      <c r="AM103" s="100">
        <v>71.3</v>
      </c>
      <c r="AN103" s="100">
        <v>71.5</v>
      </c>
      <c r="AO103" s="100">
        <v>71.5</v>
      </c>
      <c r="AP103" s="100">
        <v>71.7</v>
      </c>
      <c r="AQ103" s="100">
        <v>71.900000000000006</v>
      </c>
      <c r="AR103" s="100">
        <v>72</v>
      </c>
      <c r="AS103" s="100">
        <v>72</v>
      </c>
      <c r="AT103" s="100">
        <v>72.099999999999994</v>
      </c>
      <c r="AU103" s="100">
        <v>72.400000000000006</v>
      </c>
      <c r="AV103" s="100">
        <v>72.5</v>
      </c>
      <c r="AW103" s="100">
        <v>72.7</v>
      </c>
      <c r="AX103" s="100">
        <v>72.900000000000006</v>
      </c>
      <c r="AY103" s="100">
        <v>72.8</v>
      </c>
      <c r="AZ103" s="100">
        <v>72.8</v>
      </c>
      <c r="BA103" s="100">
        <v>73</v>
      </c>
      <c r="BB103" s="100">
        <v>73</v>
      </c>
      <c r="BC103" s="100">
        <v>73</v>
      </c>
      <c r="BD103" s="100">
        <v>73</v>
      </c>
      <c r="BE103" s="100">
        <v>73.2</v>
      </c>
      <c r="BF103" s="100">
        <v>73.3</v>
      </c>
      <c r="BG103" s="100">
        <v>73.400000000000006</v>
      </c>
      <c r="BH103" s="100">
        <v>73.400000000000006</v>
      </c>
      <c r="BI103" s="100">
        <v>73.400000000000006</v>
      </c>
      <c r="BJ103" s="100">
        <v>73.3</v>
      </c>
      <c r="BK103" s="100">
        <v>73.400000000000006</v>
      </c>
      <c r="BL103" s="100">
        <v>73.5</v>
      </c>
      <c r="BM103" s="100">
        <v>73.599999999999994</v>
      </c>
      <c r="BN103" s="100">
        <v>73.8</v>
      </c>
      <c r="BO103" s="100">
        <v>74</v>
      </c>
      <c r="BP103" s="100">
        <v>74.099999999999994</v>
      </c>
      <c r="BQ103" s="100">
        <v>74.099999999999994</v>
      </c>
      <c r="BR103" s="100">
        <v>74.099999999999994</v>
      </c>
      <c r="BS103" s="100">
        <v>74.099999999999994</v>
      </c>
      <c r="BT103" s="100">
        <v>74.2</v>
      </c>
      <c r="BU103" s="100">
        <v>74.2</v>
      </c>
      <c r="BV103" s="100">
        <v>74.400000000000006</v>
      </c>
      <c r="BW103" s="100">
        <v>74.400000000000006</v>
      </c>
      <c r="BX103" s="100">
        <v>74.5</v>
      </c>
      <c r="BY103" s="100">
        <v>74.5</v>
      </c>
      <c r="BZ103" s="100">
        <v>74.400000000000006</v>
      </c>
      <c r="CA103" s="100">
        <v>74.400000000000006</v>
      </c>
      <c r="CB103" s="100">
        <v>74.5</v>
      </c>
      <c r="CC103" s="103">
        <v>74.599999999999994</v>
      </c>
      <c r="CD103" s="100">
        <v>74.599999999999994</v>
      </c>
      <c r="CE103" s="100">
        <v>74.599999999999994</v>
      </c>
      <c r="CF103" s="100">
        <v>74.8</v>
      </c>
      <c r="CG103" s="100">
        <v>74.8</v>
      </c>
      <c r="CH103" s="100">
        <v>74.900000000000006</v>
      </c>
      <c r="CI103" s="100">
        <v>75.099999999999994</v>
      </c>
      <c r="CJ103" s="100">
        <v>75.3</v>
      </c>
      <c r="CK103" s="100">
        <v>75.099999999999994</v>
      </c>
      <c r="CL103" s="100">
        <v>75</v>
      </c>
      <c r="CM103" s="100">
        <v>75.099999999999994</v>
      </c>
      <c r="CN103" s="100">
        <v>75.3</v>
      </c>
      <c r="CO103" s="102">
        <v>75.2</v>
      </c>
      <c r="CP103" s="100"/>
      <c r="CQ103" s="100"/>
      <c r="CR103" s="100"/>
      <c r="CS103" s="100"/>
      <c r="CT103" s="100"/>
      <c r="CU103" s="100"/>
      <c r="CV103" s="100"/>
      <c r="CW103" s="100"/>
      <c r="CX103" s="100"/>
      <c r="CY103" s="100"/>
      <c r="CZ103" s="100"/>
      <c r="DA103" s="100"/>
      <c r="DB103" s="100"/>
      <c r="DC103" s="100"/>
      <c r="DD103" s="100"/>
      <c r="DE103" s="100"/>
      <c r="DF103" s="100"/>
      <c r="DG103" s="100"/>
      <c r="DH103" s="100"/>
      <c r="DI103" s="100"/>
      <c r="DJ103" s="100"/>
      <c r="DK103" s="100"/>
      <c r="DL103" s="100"/>
      <c r="DM103" s="100"/>
      <c r="DN103" s="100"/>
      <c r="DO103" s="100"/>
      <c r="DP103" s="100"/>
      <c r="DQ103" s="100"/>
      <c r="DR103" s="100"/>
      <c r="DS103" s="100"/>
      <c r="DT103" s="100"/>
      <c r="DU103" s="100"/>
      <c r="DV103" s="100"/>
      <c r="DW103" s="100"/>
      <c r="DX103" s="100"/>
      <c r="DY103" s="100"/>
      <c r="DZ103" s="100"/>
      <c r="EA103" s="100"/>
      <c r="EB103" s="100"/>
      <c r="EC103" s="100"/>
      <c r="ED103" s="100"/>
      <c r="EE103" s="100"/>
      <c r="EF103" s="100"/>
      <c r="EG103" s="100"/>
      <c r="EH103" s="100"/>
      <c r="EI103" s="100"/>
      <c r="EJ103" s="100"/>
      <c r="EK103" s="100"/>
      <c r="EL103" s="100"/>
      <c r="EM103" s="100"/>
      <c r="EN103" s="100"/>
      <c r="EO103" s="100"/>
      <c r="EP103" s="100"/>
      <c r="EQ103" s="106"/>
      <c r="ER103" s="106"/>
      <c r="ES103" s="106"/>
      <c r="ET103" s="106"/>
      <c r="EU103" s="106"/>
      <c r="EV103" s="106"/>
      <c r="EW103" s="106"/>
      <c r="EX103" s="106"/>
      <c r="EY103" s="106"/>
      <c r="EZ103" s="106"/>
      <c r="FA103" s="106"/>
      <c r="FB103" s="106"/>
      <c r="FC103" s="106"/>
      <c r="FD103" s="106"/>
      <c r="FE103" s="106"/>
      <c r="FF103" s="106"/>
      <c r="FG103" s="106"/>
      <c r="FH103" s="106"/>
      <c r="FI103" s="106"/>
      <c r="FJ103" s="106"/>
      <c r="FK103" s="106"/>
      <c r="FL103" s="106"/>
      <c r="FM103" s="106"/>
      <c r="FN103" s="106"/>
      <c r="FO103" s="106"/>
      <c r="FP103" s="106"/>
      <c r="FQ103" s="106"/>
      <c r="FR103" s="106"/>
      <c r="FS103" s="106"/>
      <c r="FT103" s="106"/>
      <c r="FU103" s="106"/>
      <c r="FV103" s="106"/>
      <c r="FW103" s="106"/>
      <c r="FX103" s="106"/>
      <c r="FY103" s="106"/>
      <c r="FZ103" s="106"/>
      <c r="GA103" s="106"/>
      <c r="GB103" s="106"/>
      <c r="GC103" s="106"/>
      <c r="GD103" s="106"/>
      <c r="GE103" s="106"/>
      <c r="GF103" s="106"/>
      <c r="GG103" s="159"/>
    </row>
    <row r="104" spans="2:189" x14ac:dyDescent="0.2">
      <c r="B104" s="97">
        <v>43160</v>
      </c>
      <c r="C104" s="100">
        <v>70.400000000000006</v>
      </c>
      <c r="D104" s="100">
        <v>70.599999999999994</v>
      </c>
      <c r="E104" s="100">
        <v>70.599999999999994</v>
      </c>
      <c r="F104" s="100">
        <v>70.7</v>
      </c>
      <c r="G104" s="100">
        <v>70.5</v>
      </c>
      <c r="H104" s="100">
        <v>70.3</v>
      </c>
      <c r="I104" s="100">
        <v>70.400000000000006</v>
      </c>
      <c r="J104" s="100">
        <v>70.5</v>
      </c>
      <c r="K104" s="100">
        <v>70.599999999999994</v>
      </c>
      <c r="L104" s="100">
        <v>70.5</v>
      </c>
      <c r="M104" s="100">
        <v>70.5</v>
      </c>
      <c r="N104" s="100">
        <v>70.5</v>
      </c>
      <c r="O104" s="100">
        <v>70.5</v>
      </c>
      <c r="P104" s="100">
        <v>70.2</v>
      </c>
      <c r="Q104" s="100">
        <v>70.2</v>
      </c>
      <c r="R104" s="100">
        <v>70.099999999999994</v>
      </c>
      <c r="S104" s="100">
        <v>70.099999999999994</v>
      </c>
      <c r="T104" s="100">
        <v>70.099999999999994</v>
      </c>
      <c r="U104" s="100">
        <v>70.2</v>
      </c>
      <c r="V104" s="100">
        <v>70.3</v>
      </c>
      <c r="W104" s="100">
        <v>70.3</v>
      </c>
      <c r="X104" s="100">
        <v>70.5</v>
      </c>
      <c r="Y104" s="100">
        <v>70.5</v>
      </c>
      <c r="Z104" s="100">
        <v>70.7</v>
      </c>
      <c r="AA104" s="100">
        <v>70.900000000000006</v>
      </c>
      <c r="AB104" s="100">
        <v>71.099999999999994</v>
      </c>
      <c r="AC104" s="100">
        <v>71.2</v>
      </c>
      <c r="AD104" s="100">
        <v>71.099999999999994</v>
      </c>
      <c r="AE104" s="100">
        <v>71.099999999999994</v>
      </c>
      <c r="AF104" s="100">
        <v>71.3</v>
      </c>
      <c r="AG104" s="100">
        <v>71.400000000000006</v>
      </c>
      <c r="AH104" s="100">
        <v>71.400000000000006</v>
      </c>
      <c r="AI104" s="100">
        <v>71.2</v>
      </c>
      <c r="AJ104" s="100">
        <v>71.2</v>
      </c>
      <c r="AK104" s="100">
        <v>71.2</v>
      </c>
      <c r="AL104" s="100">
        <v>71.2</v>
      </c>
      <c r="AM104" s="100">
        <v>71.3</v>
      </c>
      <c r="AN104" s="100">
        <v>71.5</v>
      </c>
      <c r="AO104" s="100">
        <v>71.5</v>
      </c>
      <c r="AP104" s="100">
        <v>71.7</v>
      </c>
      <c r="AQ104" s="100">
        <v>71.900000000000006</v>
      </c>
      <c r="AR104" s="100">
        <v>72</v>
      </c>
      <c r="AS104" s="100">
        <v>72</v>
      </c>
      <c r="AT104" s="100">
        <v>72.099999999999994</v>
      </c>
      <c r="AU104" s="100">
        <v>72.400000000000006</v>
      </c>
      <c r="AV104" s="100">
        <v>72.5</v>
      </c>
      <c r="AW104" s="100">
        <v>72.7</v>
      </c>
      <c r="AX104" s="100">
        <v>72.900000000000006</v>
      </c>
      <c r="AY104" s="100">
        <v>72.8</v>
      </c>
      <c r="AZ104" s="100">
        <v>72.8</v>
      </c>
      <c r="BA104" s="100">
        <v>73</v>
      </c>
      <c r="BB104" s="100">
        <v>73</v>
      </c>
      <c r="BC104" s="100">
        <v>73</v>
      </c>
      <c r="BD104" s="100">
        <v>73</v>
      </c>
      <c r="BE104" s="100">
        <v>73.2</v>
      </c>
      <c r="BF104" s="100">
        <v>73.3</v>
      </c>
      <c r="BG104" s="100">
        <v>73.400000000000006</v>
      </c>
      <c r="BH104" s="100">
        <v>73.400000000000006</v>
      </c>
      <c r="BI104" s="100">
        <v>73.400000000000006</v>
      </c>
      <c r="BJ104" s="100">
        <v>73.3</v>
      </c>
      <c r="BK104" s="100">
        <v>73.400000000000006</v>
      </c>
      <c r="BL104" s="100">
        <v>73.5</v>
      </c>
      <c r="BM104" s="100">
        <v>73.599999999999994</v>
      </c>
      <c r="BN104" s="100">
        <v>73.8</v>
      </c>
      <c r="BO104" s="100">
        <v>74</v>
      </c>
      <c r="BP104" s="100">
        <v>74.099999999999994</v>
      </c>
      <c r="BQ104" s="100">
        <v>74.099999999999994</v>
      </c>
      <c r="BR104" s="100">
        <v>74.099999999999994</v>
      </c>
      <c r="BS104" s="100">
        <v>74.099999999999994</v>
      </c>
      <c r="BT104" s="100">
        <v>74.2</v>
      </c>
      <c r="BU104" s="100">
        <v>74.2</v>
      </c>
      <c r="BV104" s="100">
        <v>74.400000000000006</v>
      </c>
      <c r="BW104" s="100">
        <v>74.400000000000006</v>
      </c>
      <c r="BX104" s="100">
        <v>74.5</v>
      </c>
      <c r="BY104" s="100">
        <v>74.5</v>
      </c>
      <c r="BZ104" s="100">
        <v>74.400000000000006</v>
      </c>
      <c r="CA104" s="100">
        <v>74.400000000000006</v>
      </c>
      <c r="CB104" s="100">
        <v>74.5</v>
      </c>
      <c r="CC104" s="100">
        <v>74.599999999999994</v>
      </c>
      <c r="CD104" s="103">
        <v>74.599999999999994</v>
      </c>
      <c r="CE104" s="100">
        <v>74.599999999999994</v>
      </c>
      <c r="CF104" s="100">
        <v>74.8</v>
      </c>
      <c r="CG104" s="100">
        <v>74.8</v>
      </c>
      <c r="CH104" s="100">
        <v>74.900000000000006</v>
      </c>
      <c r="CI104" s="100">
        <v>75.099999999999994</v>
      </c>
      <c r="CJ104" s="100">
        <v>75.3</v>
      </c>
      <c r="CK104" s="100">
        <v>75.099999999999994</v>
      </c>
      <c r="CL104" s="100">
        <v>75</v>
      </c>
      <c r="CM104" s="100">
        <v>75.099999999999994</v>
      </c>
      <c r="CN104" s="100">
        <v>75.3</v>
      </c>
      <c r="CO104" s="100">
        <v>75.2</v>
      </c>
      <c r="CP104" s="102">
        <v>75.3</v>
      </c>
      <c r="CQ104" s="100"/>
      <c r="CR104" s="100"/>
      <c r="CS104" s="100"/>
      <c r="CT104" s="100"/>
      <c r="CU104" s="100"/>
      <c r="CV104" s="100"/>
      <c r="CW104" s="100"/>
      <c r="CX104" s="100"/>
      <c r="CY104" s="100"/>
      <c r="CZ104" s="100"/>
      <c r="DA104" s="100"/>
      <c r="DB104" s="100"/>
      <c r="DC104" s="100"/>
      <c r="DD104" s="100"/>
      <c r="DE104" s="100"/>
      <c r="DF104" s="100"/>
      <c r="DG104" s="100"/>
      <c r="DH104" s="100"/>
      <c r="DI104" s="100"/>
      <c r="DJ104" s="100"/>
      <c r="DK104" s="100"/>
      <c r="DL104" s="100"/>
      <c r="DM104" s="100"/>
      <c r="DN104" s="100"/>
      <c r="DO104" s="100"/>
      <c r="DP104" s="100"/>
      <c r="DQ104" s="100"/>
      <c r="DR104" s="100"/>
      <c r="DS104" s="100"/>
      <c r="DT104" s="100"/>
      <c r="DU104" s="100"/>
      <c r="DV104" s="100"/>
      <c r="DW104" s="100"/>
      <c r="DX104" s="100"/>
      <c r="DY104" s="100"/>
      <c r="DZ104" s="100"/>
      <c r="EA104" s="100"/>
      <c r="EB104" s="100"/>
      <c r="EC104" s="100"/>
      <c r="ED104" s="100"/>
      <c r="EE104" s="100"/>
      <c r="EF104" s="100"/>
      <c r="EG104" s="100"/>
      <c r="EH104" s="100"/>
      <c r="EI104" s="100"/>
      <c r="EJ104" s="100"/>
      <c r="EK104" s="100"/>
      <c r="EL104" s="100"/>
      <c r="EM104" s="100"/>
      <c r="EN104" s="100"/>
      <c r="EO104" s="100"/>
      <c r="EP104" s="100"/>
      <c r="EQ104" s="106"/>
      <c r="ER104" s="106"/>
      <c r="ES104" s="106"/>
      <c r="ET104" s="106"/>
      <c r="EU104" s="106"/>
      <c r="EV104" s="106"/>
      <c r="EW104" s="106"/>
      <c r="EX104" s="106"/>
      <c r="EY104" s="106"/>
      <c r="EZ104" s="106"/>
      <c r="FA104" s="106"/>
      <c r="FB104" s="106"/>
      <c r="FC104" s="106"/>
      <c r="FD104" s="106"/>
      <c r="FE104" s="106"/>
      <c r="FF104" s="106"/>
      <c r="FG104" s="106"/>
      <c r="FH104" s="106"/>
      <c r="FI104" s="106"/>
      <c r="FJ104" s="106"/>
      <c r="FK104" s="106"/>
      <c r="FL104" s="106"/>
      <c r="FM104" s="106"/>
      <c r="FN104" s="106"/>
      <c r="FO104" s="106"/>
      <c r="FP104" s="106"/>
      <c r="FQ104" s="106"/>
      <c r="FR104" s="106"/>
      <c r="FS104" s="106"/>
      <c r="FT104" s="106"/>
      <c r="FU104" s="106"/>
      <c r="FV104" s="106"/>
      <c r="FW104" s="106"/>
      <c r="FX104" s="106"/>
      <c r="FY104" s="106"/>
      <c r="FZ104" s="106"/>
      <c r="GA104" s="106"/>
      <c r="GB104" s="106"/>
      <c r="GC104" s="106"/>
      <c r="GD104" s="106"/>
      <c r="GE104" s="106"/>
      <c r="GF104" s="106"/>
      <c r="GG104" s="159"/>
    </row>
    <row r="105" spans="2:189" x14ac:dyDescent="0.2">
      <c r="B105" s="97">
        <v>43191</v>
      </c>
      <c r="C105" s="100">
        <v>70.400000000000006</v>
      </c>
      <c r="D105" s="100">
        <v>70.599999999999994</v>
      </c>
      <c r="E105" s="100">
        <v>70.599999999999994</v>
      </c>
      <c r="F105" s="100">
        <v>70.7</v>
      </c>
      <c r="G105" s="100">
        <v>70.5</v>
      </c>
      <c r="H105" s="100">
        <v>70.3</v>
      </c>
      <c r="I105" s="100">
        <v>70.400000000000006</v>
      </c>
      <c r="J105" s="100">
        <v>70.5</v>
      </c>
      <c r="K105" s="100">
        <v>70.599999999999994</v>
      </c>
      <c r="L105" s="100">
        <v>70.5</v>
      </c>
      <c r="M105" s="100">
        <v>70.5</v>
      </c>
      <c r="N105" s="100">
        <v>70.5</v>
      </c>
      <c r="O105" s="100">
        <v>70.5</v>
      </c>
      <c r="P105" s="100">
        <v>70.2</v>
      </c>
      <c r="Q105" s="100">
        <v>70.2</v>
      </c>
      <c r="R105" s="100">
        <v>70.099999999999994</v>
      </c>
      <c r="S105" s="100">
        <v>70.099999999999994</v>
      </c>
      <c r="T105" s="100">
        <v>70.099999999999994</v>
      </c>
      <c r="U105" s="100">
        <v>70.2</v>
      </c>
      <c r="V105" s="100">
        <v>70.3</v>
      </c>
      <c r="W105" s="100">
        <v>70.3</v>
      </c>
      <c r="X105" s="100">
        <v>70.5</v>
      </c>
      <c r="Y105" s="100">
        <v>70.5</v>
      </c>
      <c r="Z105" s="100">
        <v>70.7</v>
      </c>
      <c r="AA105" s="100">
        <v>70.900000000000006</v>
      </c>
      <c r="AB105" s="100">
        <v>71.099999999999994</v>
      </c>
      <c r="AC105" s="100">
        <v>71.2</v>
      </c>
      <c r="AD105" s="100">
        <v>71.099999999999994</v>
      </c>
      <c r="AE105" s="100">
        <v>71.099999999999994</v>
      </c>
      <c r="AF105" s="100">
        <v>71.3</v>
      </c>
      <c r="AG105" s="100">
        <v>71.400000000000006</v>
      </c>
      <c r="AH105" s="100">
        <v>71.400000000000006</v>
      </c>
      <c r="AI105" s="100">
        <v>71.2</v>
      </c>
      <c r="AJ105" s="100">
        <v>71.2</v>
      </c>
      <c r="AK105" s="100">
        <v>71.2</v>
      </c>
      <c r="AL105" s="100">
        <v>71.2</v>
      </c>
      <c r="AM105" s="100">
        <v>71.3</v>
      </c>
      <c r="AN105" s="100">
        <v>71.5</v>
      </c>
      <c r="AO105" s="100">
        <v>71.5</v>
      </c>
      <c r="AP105" s="100">
        <v>71.7</v>
      </c>
      <c r="AQ105" s="100">
        <v>71.900000000000006</v>
      </c>
      <c r="AR105" s="100">
        <v>72</v>
      </c>
      <c r="AS105" s="100">
        <v>72</v>
      </c>
      <c r="AT105" s="100">
        <v>72.099999999999994</v>
      </c>
      <c r="AU105" s="100">
        <v>72.400000000000006</v>
      </c>
      <c r="AV105" s="100">
        <v>72.5</v>
      </c>
      <c r="AW105" s="100">
        <v>72.7</v>
      </c>
      <c r="AX105" s="100">
        <v>72.900000000000006</v>
      </c>
      <c r="AY105" s="100">
        <v>72.8</v>
      </c>
      <c r="AZ105" s="100">
        <v>72.8</v>
      </c>
      <c r="BA105" s="100">
        <v>73</v>
      </c>
      <c r="BB105" s="100">
        <v>73</v>
      </c>
      <c r="BC105" s="100">
        <v>73</v>
      </c>
      <c r="BD105" s="100">
        <v>73</v>
      </c>
      <c r="BE105" s="100">
        <v>73.2</v>
      </c>
      <c r="BF105" s="100">
        <v>73.3</v>
      </c>
      <c r="BG105" s="100">
        <v>73.400000000000006</v>
      </c>
      <c r="BH105" s="100">
        <v>73.400000000000006</v>
      </c>
      <c r="BI105" s="100">
        <v>73.400000000000006</v>
      </c>
      <c r="BJ105" s="100">
        <v>73.3</v>
      </c>
      <c r="BK105" s="100">
        <v>73.400000000000006</v>
      </c>
      <c r="BL105" s="100">
        <v>73.5</v>
      </c>
      <c r="BM105" s="100">
        <v>73.599999999999994</v>
      </c>
      <c r="BN105" s="100">
        <v>73.8</v>
      </c>
      <c r="BO105" s="100">
        <v>74</v>
      </c>
      <c r="BP105" s="100">
        <v>74.099999999999994</v>
      </c>
      <c r="BQ105" s="100">
        <v>74.099999999999994</v>
      </c>
      <c r="BR105" s="100">
        <v>74.099999999999994</v>
      </c>
      <c r="BS105" s="100">
        <v>74.099999999999994</v>
      </c>
      <c r="BT105" s="100">
        <v>74.2</v>
      </c>
      <c r="BU105" s="100">
        <v>74.2</v>
      </c>
      <c r="BV105" s="100">
        <v>74.400000000000006</v>
      </c>
      <c r="BW105" s="100">
        <v>74.400000000000006</v>
      </c>
      <c r="BX105" s="100">
        <v>74.5</v>
      </c>
      <c r="BY105" s="100">
        <v>74.5</v>
      </c>
      <c r="BZ105" s="100">
        <v>74.400000000000006</v>
      </c>
      <c r="CA105" s="100">
        <v>74.400000000000006</v>
      </c>
      <c r="CB105" s="100">
        <v>74.5</v>
      </c>
      <c r="CC105" s="100">
        <v>74.599999999999994</v>
      </c>
      <c r="CD105" s="100">
        <v>74.599999999999994</v>
      </c>
      <c r="CE105" s="103">
        <v>74.599999999999994</v>
      </c>
      <c r="CF105" s="100">
        <v>74.8</v>
      </c>
      <c r="CG105" s="100">
        <v>74.8</v>
      </c>
      <c r="CH105" s="100">
        <v>74.900000000000006</v>
      </c>
      <c r="CI105" s="100">
        <v>75.099999999999994</v>
      </c>
      <c r="CJ105" s="100">
        <v>75.3</v>
      </c>
      <c r="CK105" s="100">
        <v>75.099999999999994</v>
      </c>
      <c r="CL105" s="100">
        <v>75</v>
      </c>
      <c r="CM105" s="100">
        <v>75.099999999999994</v>
      </c>
      <c r="CN105" s="100">
        <v>75.3</v>
      </c>
      <c r="CO105" s="100">
        <v>75.2</v>
      </c>
      <c r="CP105" s="100">
        <v>75.3</v>
      </c>
      <c r="CQ105" s="102">
        <v>75.400000000000006</v>
      </c>
      <c r="CR105" s="100"/>
      <c r="CS105" s="100"/>
      <c r="CT105" s="100"/>
      <c r="CU105" s="100"/>
      <c r="CV105" s="100"/>
      <c r="CW105" s="100"/>
      <c r="CX105" s="100"/>
      <c r="CY105" s="100"/>
      <c r="CZ105" s="100"/>
      <c r="DA105" s="100"/>
      <c r="DB105" s="100"/>
      <c r="DC105" s="100"/>
      <c r="DD105" s="100"/>
      <c r="DE105" s="100"/>
      <c r="DF105" s="100"/>
      <c r="DG105" s="100"/>
      <c r="DH105" s="100"/>
      <c r="DI105" s="100"/>
      <c r="DJ105" s="100"/>
      <c r="DK105" s="100"/>
      <c r="DL105" s="100"/>
      <c r="DM105" s="100"/>
      <c r="DN105" s="100"/>
      <c r="DO105" s="100"/>
      <c r="DP105" s="100"/>
      <c r="DQ105" s="100"/>
      <c r="DR105" s="100"/>
      <c r="DS105" s="100"/>
      <c r="DT105" s="100"/>
      <c r="DU105" s="100"/>
      <c r="DV105" s="100"/>
      <c r="DW105" s="100"/>
      <c r="DX105" s="100"/>
      <c r="DY105" s="100"/>
      <c r="DZ105" s="100"/>
      <c r="EA105" s="100"/>
      <c r="EB105" s="100"/>
      <c r="EC105" s="100"/>
      <c r="ED105" s="100"/>
      <c r="EE105" s="100"/>
      <c r="EF105" s="100"/>
      <c r="EG105" s="100"/>
      <c r="EH105" s="100"/>
      <c r="EI105" s="100"/>
      <c r="EJ105" s="100"/>
      <c r="EK105" s="100"/>
      <c r="EL105" s="100"/>
      <c r="EM105" s="100"/>
      <c r="EN105" s="100"/>
      <c r="EO105" s="100"/>
      <c r="EP105" s="100"/>
      <c r="EQ105" s="106"/>
      <c r="ER105" s="106"/>
      <c r="ES105" s="106"/>
      <c r="ET105" s="106"/>
      <c r="EU105" s="106"/>
      <c r="EV105" s="106"/>
      <c r="EW105" s="106"/>
      <c r="EX105" s="106"/>
      <c r="EY105" s="106"/>
      <c r="EZ105" s="106"/>
      <c r="FA105" s="106"/>
      <c r="FB105" s="106"/>
      <c r="FC105" s="106"/>
      <c r="FD105" s="106"/>
      <c r="FE105" s="106"/>
      <c r="FF105" s="106"/>
      <c r="FG105" s="106"/>
      <c r="FH105" s="106"/>
      <c r="FI105" s="106"/>
      <c r="FJ105" s="106"/>
      <c r="FK105" s="106"/>
      <c r="FL105" s="106"/>
      <c r="FM105" s="106"/>
      <c r="FN105" s="106"/>
      <c r="FO105" s="106"/>
      <c r="FP105" s="106"/>
      <c r="FQ105" s="106"/>
      <c r="FR105" s="106"/>
      <c r="FS105" s="106"/>
      <c r="FT105" s="106"/>
      <c r="FU105" s="106"/>
      <c r="FV105" s="106"/>
      <c r="FW105" s="106"/>
      <c r="FX105" s="106"/>
      <c r="FY105" s="106"/>
      <c r="FZ105" s="106"/>
      <c r="GA105" s="106"/>
      <c r="GB105" s="106"/>
      <c r="GC105" s="106"/>
      <c r="GD105" s="106"/>
      <c r="GE105" s="106"/>
      <c r="GF105" s="106"/>
      <c r="GG105" s="159"/>
    </row>
    <row r="106" spans="2:189" x14ac:dyDescent="0.2">
      <c r="B106" s="97">
        <v>43221</v>
      </c>
      <c r="C106" s="100">
        <v>70.400000000000006</v>
      </c>
      <c r="D106" s="100">
        <v>70.599999999999994</v>
      </c>
      <c r="E106" s="100">
        <v>70.599999999999994</v>
      </c>
      <c r="F106" s="100">
        <v>70.7</v>
      </c>
      <c r="G106" s="100">
        <v>70.5</v>
      </c>
      <c r="H106" s="100">
        <v>70.3</v>
      </c>
      <c r="I106" s="100">
        <v>70.400000000000006</v>
      </c>
      <c r="J106" s="100">
        <v>70.5</v>
      </c>
      <c r="K106" s="100">
        <v>70.599999999999994</v>
      </c>
      <c r="L106" s="100">
        <v>70.5</v>
      </c>
      <c r="M106" s="100">
        <v>70.5</v>
      </c>
      <c r="N106" s="100">
        <v>70.5</v>
      </c>
      <c r="O106" s="100">
        <v>70.5</v>
      </c>
      <c r="P106" s="100">
        <v>70.2</v>
      </c>
      <c r="Q106" s="100">
        <v>70.2</v>
      </c>
      <c r="R106" s="100">
        <v>70.099999999999994</v>
      </c>
      <c r="S106" s="100">
        <v>70.099999999999994</v>
      </c>
      <c r="T106" s="100">
        <v>70.099999999999994</v>
      </c>
      <c r="U106" s="100">
        <v>70.2</v>
      </c>
      <c r="V106" s="100">
        <v>70.3</v>
      </c>
      <c r="W106" s="100">
        <v>70.3</v>
      </c>
      <c r="X106" s="100">
        <v>70.5</v>
      </c>
      <c r="Y106" s="100">
        <v>70.5</v>
      </c>
      <c r="Z106" s="100">
        <v>70.7</v>
      </c>
      <c r="AA106" s="100">
        <v>70.900000000000006</v>
      </c>
      <c r="AB106" s="100">
        <v>71.099999999999994</v>
      </c>
      <c r="AC106" s="100">
        <v>71.2</v>
      </c>
      <c r="AD106" s="100">
        <v>71.099999999999994</v>
      </c>
      <c r="AE106" s="100">
        <v>71.099999999999994</v>
      </c>
      <c r="AF106" s="100">
        <v>71.3</v>
      </c>
      <c r="AG106" s="100">
        <v>71.400000000000006</v>
      </c>
      <c r="AH106" s="100">
        <v>71.400000000000006</v>
      </c>
      <c r="AI106" s="100">
        <v>71.2</v>
      </c>
      <c r="AJ106" s="100">
        <v>71.2</v>
      </c>
      <c r="AK106" s="100">
        <v>71.2</v>
      </c>
      <c r="AL106" s="100">
        <v>71.2</v>
      </c>
      <c r="AM106" s="100">
        <v>71.3</v>
      </c>
      <c r="AN106" s="100">
        <v>71.5</v>
      </c>
      <c r="AO106" s="100">
        <v>71.5</v>
      </c>
      <c r="AP106" s="100">
        <v>71.7</v>
      </c>
      <c r="AQ106" s="100">
        <v>71.900000000000006</v>
      </c>
      <c r="AR106" s="100">
        <v>72</v>
      </c>
      <c r="AS106" s="100">
        <v>72</v>
      </c>
      <c r="AT106" s="100">
        <v>72.099999999999994</v>
      </c>
      <c r="AU106" s="100">
        <v>72.400000000000006</v>
      </c>
      <c r="AV106" s="100">
        <v>72.5</v>
      </c>
      <c r="AW106" s="100">
        <v>72.7</v>
      </c>
      <c r="AX106" s="100">
        <v>72.900000000000006</v>
      </c>
      <c r="AY106" s="100">
        <v>72.8</v>
      </c>
      <c r="AZ106" s="100">
        <v>72.8</v>
      </c>
      <c r="BA106" s="100">
        <v>73</v>
      </c>
      <c r="BB106" s="100">
        <v>73</v>
      </c>
      <c r="BC106" s="100">
        <v>73</v>
      </c>
      <c r="BD106" s="100">
        <v>73</v>
      </c>
      <c r="BE106" s="100">
        <v>73.2</v>
      </c>
      <c r="BF106" s="100">
        <v>73.3</v>
      </c>
      <c r="BG106" s="100">
        <v>73.400000000000006</v>
      </c>
      <c r="BH106" s="100">
        <v>73.400000000000006</v>
      </c>
      <c r="BI106" s="100">
        <v>73.400000000000006</v>
      </c>
      <c r="BJ106" s="100">
        <v>73.3</v>
      </c>
      <c r="BK106" s="100">
        <v>73.400000000000006</v>
      </c>
      <c r="BL106" s="100">
        <v>73.5</v>
      </c>
      <c r="BM106" s="100">
        <v>73.599999999999994</v>
      </c>
      <c r="BN106" s="100">
        <v>73.8</v>
      </c>
      <c r="BO106" s="100">
        <v>74</v>
      </c>
      <c r="BP106" s="100">
        <v>74.099999999999994</v>
      </c>
      <c r="BQ106" s="100">
        <v>74.099999999999994</v>
      </c>
      <c r="BR106" s="100">
        <v>74.099999999999994</v>
      </c>
      <c r="BS106" s="100">
        <v>74.099999999999994</v>
      </c>
      <c r="BT106" s="100">
        <v>74.2</v>
      </c>
      <c r="BU106" s="100">
        <v>74.2</v>
      </c>
      <c r="BV106" s="100">
        <v>74.400000000000006</v>
      </c>
      <c r="BW106" s="100">
        <v>74.400000000000006</v>
      </c>
      <c r="BX106" s="100">
        <v>74.5</v>
      </c>
      <c r="BY106" s="100">
        <v>74.5</v>
      </c>
      <c r="BZ106" s="100">
        <v>74.400000000000006</v>
      </c>
      <c r="CA106" s="100">
        <v>74.400000000000006</v>
      </c>
      <c r="CB106" s="100">
        <v>74.5</v>
      </c>
      <c r="CC106" s="100">
        <v>74.599999999999994</v>
      </c>
      <c r="CD106" s="100">
        <v>74.599999999999994</v>
      </c>
      <c r="CE106" s="100">
        <v>74.599999999999994</v>
      </c>
      <c r="CF106" s="103">
        <v>74.8</v>
      </c>
      <c r="CG106" s="100">
        <v>74.8</v>
      </c>
      <c r="CH106" s="100">
        <v>74.900000000000006</v>
      </c>
      <c r="CI106" s="100">
        <v>75.099999999999994</v>
      </c>
      <c r="CJ106" s="100">
        <v>75.3</v>
      </c>
      <c r="CK106" s="100">
        <v>75.099999999999994</v>
      </c>
      <c r="CL106" s="100">
        <v>75</v>
      </c>
      <c r="CM106" s="100">
        <v>75.099999999999994</v>
      </c>
      <c r="CN106" s="100">
        <v>75.3</v>
      </c>
      <c r="CO106" s="100">
        <v>75.2</v>
      </c>
      <c r="CP106" s="100">
        <v>75.3</v>
      </c>
      <c r="CQ106" s="100">
        <v>75.400000000000006</v>
      </c>
      <c r="CR106" s="102">
        <v>75.599999999999994</v>
      </c>
      <c r="CS106" s="100"/>
      <c r="CT106" s="100"/>
      <c r="CU106" s="100"/>
      <c r="CV106" s="100"/>
      <c r="CW106" s="100"/>
      <c r="CX106" s="100"/>
      <c r="CY106" s="100"/>
      <c r="CZ106" s="100"/>
      <c r="DA106" s="100"/>
      <c r="DB106" s="100"/>
      <c r="DC106" s="100"/>
      <c r="DD106" s="100"/>
      <c r="DE106" s="100"/>
      <c r="DF106" s="100"/>
      <c r="DG106" s="100"/>
      <c r="DH106" s="100"/>
      <c r="DI106" s="100"/>
      <c r="DJ106" s="100"/>
      <c r="DK106" s="100"/>
      <c r="DL106" s="100"/>
      <c r="DM106" s="100"/>
      <c r="DN106" s="100"/>
      <c r="DO106" s="100"/>
      <c r="DP106" s="100"/>
      <c r="DQ106" s="100"/>
      <c r="DR106" s="100"/>
      <c r="DS106" s="100"/>
      <c r="DT106" s="100"/>
      <c r="DU106" s="100"/>
      <c r="DV106" s="100"/>
      <c r="DW106" s="100"/>
      <c r="DX106" s="100"/>
      <c r="DY106" s="100"/>
      <c r="DZ106" s="100"/>
      <c r="EA106" s="100"/>
      <c r="EB106" s="100"/>
      <c r="EC106" s="100"/>
      <c r="ED106" s="100"/>
      <c r="EE106" s="100"/>
      <c r="EF106" s="100"/>
      <c r="EG106" s="100"/>
      <c r="EH106" s="100"/>
      <c r="EI106" s="100"/>
      <c r="EJ106" s="100"/>
      <c r="EK106" s="100"/>
      <c r="EL106" s="100"/>
      <c r="EM106" s="100"/>
      <c r="EN106" s="100"/>
      <c r="EO106" s="100"/>
      <c r="EP106" s="100"/>
      <c r="EQ106" s="106"/>
      <c r="ER106" s="106"/>
      <c r="ES106" s="106"/>
      <c r="ET106" s="106"/>
      <c r="EU106" s="106"/>
      <c r="EV106" s="106"/>
      <c r="EW106" s="106"/>
      <c r="EX106" s="106"/>
      <c r="EY106" s="106"/>
      <c r="EZ106" s="106"/>
      <c r="FA106" s="106"/>
      <c r="FB106" s="106"/>
      <c r="FC106" s="106"/>
      <c r="FD106" s="106"/>
      <c r="FE106" s="106"/>
      <c r="FF106" s="106"/>
      <c r="FG106" s="106"/>
      <c r="FH106" s="106"/>
      <c r="FI106" s="106"/>
      <c r="FJ106" s="106"/>
      <c r="FK106" s="106"/>
      <c r="FL106" s="106"/>
      <c r="FM106" s="106"/>
      <c r="FN106" s="106"/>
      <c r="FO106" s="106"/>
      <c r="FP106" s="106"/>
      <c r="FQ106" s="106"/>
      <c r="FR106" s="106"/>
      <c r="FS106" s="106"/>
      <c r="FT106" s="106"/>
      <c r="FU106" s="106"/>
      <c r="FV106" s="106"/>
      <c r="FW106" s="106"/>
      <c r="FX106" s="106"/>
      <c r="FY106" s="106"/>
      <c r="FZ106" s="106"/>
      <c r="GA106" s="106"/>
      <c r="GB106" s="106"/>
      <c r="GC106" s="106"/>
      <c r="GD106" s="106"/>
      <c r="GE106" s="106"/>
      <c r="GF106" s="106"/>
      <c r="GG106" s="159"/>
    </row>
    <row r="107" spans="2:189" x14ac:dyDescent="0.2">
      <c r="B107" s="97">
        <v>43252</v>
      </c>
      <c r="C107" s="100">
        <v>70.400000000000006</v>
      </c>
      <c r="D107" s="100">
        <v>70.599999999999994</v>
      </c>
      <c r="E107" s="100">
        <v>70.599999999999994</v>
      </c>
      <c r="F107" s="100">
        <v>70.7</v>
      </c>
      <c r="G107" s="100">
        <v>70.5</v>
      </c>
      <c r="H107" s="100">
        <v>70.3</v>
      </c>
      <c r="I107" s="100">
        <v>70.400000000000006</v>
      </c>
      <c r="J107" s="100">
        <v>70.5</v>
      </c>
      <c r="K107" s="100">
        <v>70.599999999999994</v>
      </c>
      <c r="L107" s="100">
        <v>70.5</v>
      </c>
      <c r="M107" s="100">
        <v>70.5</v>
      </c>
      <c r="N107" s="100">
        <v>70.5</v>
      </c>
      <c r="O107" s="100">
        <v>70.5</v>
      </c>
      <c r="P107" s="100">
        <v>70.2</v>
      </c>
      <c r="Q107" s="100">
        <v>70.2</v>
      </c>
      <c r="R107" s="100">
        <v>70.099999999999994</v>
      </c>
      <c r="S107" s="100">
        <v>70.099999999999994</v>
      </c>
      <c r="T107" s="100">
        <v>70.099999999999994</v>
      </c>
      <c r="U107" s="100">
        <v>70.2</v>
      </c>
      <c r="V107" s="100">
        <v>70.3</v>
      </c>
      <c r="W107" s="100">
        <v>70.3</v>
      </c>
      <c r="X107" s="100">
        <v>70.5</v>
      </c>
      <c r="Y107" s="100">
        <v>70.5</v>
      </c>
      <c r="Z107" s="100">
        <v>70.7</v>
      </c>
      <c r="AA107" s="100">
        <v>70.900000000000006</v>
      </c>
      <c r="AB107" s="100">
        <v>71.099999999999994</v>
      </c>
      <c r="AC107" s="100">
        <v>71.2</v>
      </c>
      <c r="AD107" s="100">
        <v>71.099999999999994</v>
      </c>
      <c r="AE107" s="100">
        <v>71.099999999999994</v>
      </c>
      <c r="AF107" s="100">
        <v>71.3</v>
      </c>
      <c r="AG107" s="100">
        <v>71.400000000000006</v>
      </c>
      <c r="AH107" s="100">
        <v>71.400000000000006</v>
      </c>
      <c r="AI107" s="100">
        <v>71.2</v>
      </c>
      <c r="AJ107" s="100">
        <v>71.2</v>
      </c>
      <c r="AK107" s="100">
        <v>71.2</v>
      </c>
      <c r="AL107" s="100">
        <v>71.2</v>
      </c>
      <c r="AM107" s="100">
        <v>71.3</v>
      </c>
      <c r="AN107" s="100">
        <v>71.5</v>
      </c>
      <c r="AO107" s="100">
        <v>71.5</v>
      </c>
      <c r="AP107" s="100">
        <v>71.7</v>
      </c>
      <c r="AQ107" s="100">
        <v>71.900000000000006</v>
      </c>
      <c r="AR107" s="100">
        <v>72</v>
      </c>
      <c r="AS107" s="100">
        <v>72</v>
      </c>
      <c r="AT107" s="100">
        <v>72.099999999999994</v>
      </c>
      <c r="AU107" s="100">
        <v>72.400000000000006</v>
      </c>
      <c r="AV107" s="100">
        <v>72.5</v>
      </c>
      <c r="AW107" s="100">
        <v>72.7</v>
      </c>
      <c r="AX107" s="100">
        <v>72.900000000000006</v>
      </c>
      <c r="AY107" s="100">
        <v>72.8</v>
      </c>
      <c r="AZ107" s="100">
        <v>72.8</v>
      </c>
      <c r="BA107" s="100">
        <v>73</v>
      </c>
      <c r="BB107" s="100">
        <v>73</v>
      </c>
      <c r="BC107" s="100">
        <v>73</v>
      </c>
      <c r="BD107" s="100">
        <v>73</v>
      </c>
      <c r="BE107" s="100">
        <v>73.2</v>
      </c>
      <c r="BF107" s="100">
        <v>73.3</v>
      </c>
      <c r="BG107" s="100">
        <v>73.400000000000006</v>
      </c>
      <c r="BH107" s="100">
        <v>73.400000000000006</v>
      </c>
      <c r="BI107" s="100">
        <v>73.400000000000006</v>
      </c>
      <c r="BJ107" s="100">
        <v>73.3</v>
      </c>
      <c r="BK107" s="100">
        <v>73.400000000000006</v>
      </c>
      <c r="BL107" s="100">
        <v>73.5</v>
      </c>
      <c r="BM107" s="100">
        <v>73.599999999999994</v>
      </c>
      <c r="BN107" s="100">
        <v>73.8</v>
      </c>
      <c r="BO107" s="100">
        <v>74</v>
      </c>
      <c r="BP107" s="100">
        <v>74.099999999999994</v>
      </c>
      <c r="BQ107" s="100">
        <v>74.099999999999994</v>
      </c>
      <c r="BR107" s="100">
        <v>74.099999999999994</v>
      </c>
      <c r="BS107" s="100">
        <v>74.099999999999994</v>
      </c>
      <c r="BT107" s="100">
        <v>74.2</v>
      </c>
      <c r="BU107" s="100">
        <v>74.2</v>
      </c>
      <c r="BV107" s="100">
        <v>74.400000000000006</v>
      </c>
      <c r="BW107" s="100">
        <v>74.400000000000006</v>
      </c>
      <c r="BX107" s="100">
        <v>74.5</v>
      </c>
      <c r="BY107" s="100">
        <v>74.5</v>
      </c>
      <c r="BZ107" s="100">
        <v>74.400000000000006</v>
      </c>
      <c r="CA107" s="100">
        <v>74.400000000000006</v>
      </c>
      <c r="CB107" s="100">
        <v>74.5</v>
      </c>
      <c r="CC107" s="100">
        <v>74.599999999999994</v>
      </c>
      <c r="CD107" s="100">
        <v>74.599999999999994</v>
      </c>
      <c r="CE107" s="100">
        <v>74.599999999999994</v>
      </c>
      <c r="CF107" s="100">
        <v>74.8</v>
      </c>
      <c r="CG107" s="103">
        <v>74.8</v>
      </c>
      <c r="CH107" s="100">
        <v>74.900000000000006</v>
      </c>
      <c r="CI107" s="100">
        <v>75.099999999999994</v>
      </c>
      <c r="CJ107" s="100">
        <v>75.3</v>
      </c>
      <c r="CK107" s="100">
        <v>75.099999999999994</v>
      </c>
      <c r="CL107" s="100">
        <v>75</v>
      </c>
      <c r="CM107" s="100">
        <v>75.099999999999994</v>
      </c>
      <c r="CN107" s="100">
        <v>75.3</v>
      </c>
      <c r="CO107" s="100">
        <v>75.2</v>
      </c>
      <c r="CP107" s="100">
        <v>75.3</v>
      </c>
      <c r="CQ107" s="100">
        <v>75.400000000000006</v>
      </c>
      <c r="CR107" s="100">
        <v>75.599999999999994</v>
      </c>
      <c r="CS107" s="102">
        <v>75.599999999999994</v>
      </c>
      <c r="CT107" s="100"/>
      <c r="CU107" s="100"/>
      <c r="CV107" s="100"/>
      <c r="CW107" s="100"/>
      <c r="CX107" s="100"/>
      <c r="CY107" s="100"/>
      <c r="CZ107" s="100"/>
      <c r="DA107" s="100"/>
      <c r="DB107" s="100"/>
      <c r="DC107" s="100"/>
      <c r="DD107" s="100"/>
      <c r="DE107" s="100"/>
      <c r="DF107" s="100"/>
      <c r="DG107" s="100"/>
      <c r="DH107" s="100"/>
      <c r="DI107" s="100"/>
      <c r="DJ107" s="100"/>
      <c r="DK107" s="100"/>
      <c r="DL107" s="100"/>
      <c r="DM107" s="100"/>
      <c r="DN107" s="100"/>
      <c r="DO107" s="100"/>
      <c r="DP107" s="100"/>
      <c r="DQ107" s="100"/>
      <c r="DR107" s="100"/>
      <c r="DS107" s="100"/>
      <c r="DT107" s="100"/>
      <c r="DU107" s="100"/>
      <c r="DV107" s="100"/>
      <c r="DW107" s="100"/>
      <c r="DX107" s="100"/>
      <c r="DY107" s="100"/>
      <c r="DZ107" s="100"/>
      <c r="EA107" s="100"/>
      <c r="EB107" s="100"/>
      <c r="EC107" s="100"/>
      <c r="ED107" s="100"/>
      <c r="EE107" s="100"/>
      <c r="EF107" s="100"/>
      <c r="EG107" s="100"/>
      <c r="EH107" s="100"/>
      <c r="EI107" s="100"/>
      <c r="EJ107" s="100"/>
      <c r="EK107" s="100"/>
      <c r="EL107" s="100"/>
      <c r="EM107" s="100"/>
      <c r="EN107" s="100"/>
      <c r="EO107" s="100"/>
      <c r="EP107" s="100"/>
      <c r="EQ107" s="106"/>
      <c r="ER107" s="106"/>
      <c r="ES107" s="106"/>
      <c r="ET107" s="106"/>
      <c r="EU107" s="106"/>
      <c r="EV107" s="106"/>
      <c r="EW107" s="106"/>
      <c r="EX107" s="106"/>
      <c r="EY107" s="106"/>
      <c r="EZ107" s="106"/>
      <c r="FA107" s="106"/>
      <c r="FB107" s="106"/>
      <c r="FC107" s="106"/>
      <c r="FD107" s="106"/>
      <c r="FE107" s="106"/>
      <c r="FF107" s="106"/>
      <c r="FG107" s="106"/>
      <c r="FH107" s="106"/>
      <c r="FI107" s="106"/>
      <c r="FJ107" s="106"/>
      <c r="FK107" s="106"/>
      <c r="FL107" s="106"/>
      <c r="FM107" s="106"/>
      <c r="FN107" s="106"/>
      <c r="FO107" s="106"/>
      <c r="FP107" s="106"/>
      <c r="FQ107" s="106"/>
      <c r="FR107" s="106"/>
      <c r="FS107" s="106"/>
      <c r="FT107" s="106"/>
      <c r="FU107" s="106"/>
      <c r="FV107" s="106"/>
      <c r="FW107" s="106"/>
      <c r="FX107" s="106"/>
      <c r="FY107" s="106"/>
      <c r="FZ107" s="106"/>
      <c r="GA107" s="106"/>
      <c r="GB107" s="106"/>
      <c r="GC107" s="106"/>
      <c r="GD107" s="106"/>
      <c r="GE107" s="106"/>
      <c r="GF107" s="106"/>
      <c r="GG107" s="159"/>
    </row>
    <row r="108" spans="2:189" x14ac:dyDescent="0.2">
      <c r="B108" s="97">
        <v>43282</v>
      </c>
      <c r="C108" s="100">
        <v>70.400000000000006</v>
      </c>
      <c r="D108" s="100">
        <v>70.599999999999994</v>
      </c>
      <c r="E108" s="100">
        <v>70.599999999999994</v>
      </c>
      <c r="F108" s="100">
        <v>70.7</v>
      </c>
      <c r="G108" s="100">
        <v>70.5</v>
      </c>
      <c r="H108" s="100">
        <v>70.3</v>
      </c>
      <c r="I108" s="100">
        <v>70.400000000000006</v>
      </c>
      <c r="J108" s="100">
        <v>70.5</v>
      </c>
      <c r="K108" s="100">
        <v>70.599999999999994</v>
      </c>
      <c r="L108" s="100">
        <v>70.5</v>
      </c>
      <c r="M108" s="100">
        <v>70.5</v>
      </c>
      <c r="N108" s="100">
        <v>70.5</v>
      </c>
      <c r="O108" s="100">
        <v>70.5</v>
      </c>
      <c r="P108" s="100">
        <v>70.2</v>
      </c>
      <c r="Q108" s="100">
        <v>70.2</v>
      </c>
      <c r="R108" s="100">
        <v>70.099999999999994</v>
      </c>
      <c r="S108" s="100">
        <v>70.099999999999994</v>
      </c>
      <c r="T108" s="100">
        <v>70.099999999999994</v>
      </c>
      <c r="U108" s="100">
        <v>70.2</v>
      </c>
      <c r="V108" s="100">
        <v>70.3</v>
      </c>
      <c r="W108" s="100">
        <v>70.3</v>
      </c>
      <c r="X108" s="100">
        <v>70.5</v>
      </c>
      <c r="Y108" s="100">
        <v>70.5</v>
      </c>
      <c r="Z108" s="100">
        <v>70.7</v>
      </c>
      <c r="AA108" s="100">
        <v>70.900000000000006</v>
      </c>
      <c r="AB108" s="100">
        <v>71.099999999999994</v>
      </c>
      <c r="AC108" s="100">
        <v>71.2</v>
      </c>
      <c r="AD108" s="100">
        <v>71.099999999999994</v>
      </c>
      <c r="AE108" s="100">
        <v>71.099999999999994</v>
      </c>
      <c r="AF108" s="100">
        <v>71.3</v>
      </c>
      <c r="AG108" s="100">
        <v>71.400000000000006</v>
      </c>
      <c r="AH108" s="100">
        <v>71.400000000000006</v>
      </c>
      <c r="AI108" s="100">
        <v>71.2</v>
      </c>
      <c r="AJ108" s="100">
        <v>71.2</v>
      </c>
      <c r="AK108" s="100">
        <v>71.2</v>
      </c>
      <c r="AL108" s="100">
        <v>71.2</v>
      </c>
      <c r="AM108" s="100">
        <v>71.3</v>
      </c>
      <c r="AN108" s="100">
        <v>71.5</v>
      </c>
      <c r="AO108" s="100">
        <v>71.5</v>
      </c>
      <c r="AP108" s="100">
        <v>71.7</v>
      </c>
      <c r="AQ108" s="100">
        <v>71.900000000000006</v>
      </c>
      <c r="AR108" s="100">
        <v>72</v>
      </c>
      <c r="AS108" s="100">
        <v>72</v>
      </c>
      <c r="AT108" s="100">
        <v>72.099999999999994</v>
      </c>
      <c r="AU108" s="100">
        <v>72.400000000000006</v>
      </c>
      <c r="AV108" s="100">
        <v>72.5</v>
      </c>
      <c r="AW108" s="100">
        <v>72.7</v>
      </c>
      <c r="AX108" s="100">
        <v>72.900000000000006</v>
      </c>
      <c r="AY108" s="100">
        <v>72.8</v>
      </c>
      <c r="AZ108" s="100">
        <v>72.8</v>
      </c>
      <c r="BA108" s="100">
        <v>73</v>
      </c>
      <c r="BB108" s="100">
        <v>73</v>
      </c>
      <c r="BC108" s="100">
        <v>73</v>
      </c>
      <c r="BD108" s="100">
        <v>73</v>
      </c>
      <c r="BE108" s="100">
        <v>73.2</v>
      </c>
      <c r="BF108" s="100">
        <v>73.3</v>
      </c>
      <c r="BG108" s="100">
        <v>73.400000000000006</v>
      </c>
      <c r="BH108" s="100">
        <v>73.400000000000006</v>
      </c>
      <c r="BI108" s="100">
        <v>73.400000000000006</v>
      </c>
      <c r="BJ108" s="100">
        <v>73.3</v>
      </c>
      <c r="BK108" s="100">
        <v>73.400000000000006</v>
      </c>
      <c r="BL108" s="100">
        <v>73.5</v>
      </c>
      <c r="BM108" s="100">
        <v>73.599999999999994</v>
      </c>
      <c r="BN108" s="100">
        <v>73.8</v>
      </c>
      <c r="BO108" s="100">
        <v>74</v>
      </c>
      <c r="BP108" s="100">
        <v>74.099999999999994</v>
      </c>
      <c r="BQ108" s="100">
        <v>74.099999999999994</v>
      </c>
      <c r="BR108" s="100">
        <v>74.099999999999994</v>
      </c>
      <c r="BS108" s="100">
        <v>74.099999999999994</v>
      </c>
      <c r="BT108" s="100">
        <v>74.2</v>
      </c>
      <c r="BU108" s="100">
        <v>74.2</v>
      </c>
      <c r="BV108" s="100">
        <v>74.400000000000006</v>
      </c>
      <c r="BW108" s="100">
        <v>74.400000000000006</v>
      </c>
      <c r="BX108" s="100">
        <v>74.5</v>
      </c>
      <c r="BY108" s="100">
        <v>74.5</v>
      </c>
      <c r="BZ108" s="100">
        <v>74.400000000000006</v>
      </c>
      <c r="CA108" s="100">
        <v>74.400000000000006</v>
      </c>
      <c r="CB108" s="100">
        <v>74.5</v>
      </c>
      <c r="CC108" s="100">
        <v>74.599999999999994</v>
      </c>
      <c r="CD108" s="100">
        <v>74.599999999999994</v>
      </c>
      <c r="CE108" s="100">
        <v>74.599999999999994</v>
      </c>
      <c r="CF108" s="100">
        <v>74.8</v>
      </c>
      <c r="CG108" s="100">
        <v>74.8</v>
      </c>
      <c r="CH108" s="103">
        <v>74.900000000000006</v>
      </c>
      <c r="CI108" s="100">
        <v>75.099999999999994</v>
      </c>
      <c r="CJ108" s="100">
        <v>75.3</v>
      </c>
      <c r="CK108" s="100">
        <v>75.099999999999994</v>
      </c>
      <c r="CL108" s="100">
        <v>75</v>
      </c>
      <c r="CM108" s="100">
        <v>75.099999999999994</v>
      </c>
      <c r="CN108" s="100">
        <v>75.3</v>
      </c>
      <c r="CO108" s="100">
        <v>75.2</v>
      </c>
      <c r="CP108" s="100">
        <v>75.3</v>
      </c>
      <c r="CQ108" s="100">
        <v>75.400000000000006</v>
      </c>
      <c r="CR108" s="100">
        <v>75.599999999999994</v>
      </c>
      <c r="CS108" s="100">
        <v>75.599999999999994</v>
      </c>
      <c r="CT108" s="102">
        <v>75.7</v>
      </c>
      <c r="CU108" s="100"/>
      <c r="CV108" s="100"/>
      <c r="CW108" s="100"/>
      <c r="CX108" s="100"/>
      <c r="CY108" s="100"/>
      <c r="CZ108" s="100"/>
      <c r="DA108" s="100"/>
      <c r="DB108" s="100"/>
      <c r="DC108" s="100"/>
      <c r="DD108" s="100"/>
      <c r="DE108" s="100"/>
      <c r="DF108" s="100"/>
      <c r="DG108" s="100"/>
      <c r="DH108" s="100"/>
      <c r="DI108" s="100"/>
      <c r="DJ108" s="100"/>
      <c r="DK108" s="100"/>
      <c r="DL108" s="100"/>
      <c r="DM108" s="100"/>
      <c r="DN108" s="100"/>
      <c r="DO108" s="100"/>
      <c r="DP108" s="100"/>
      <c r="DQ108" s="100"/>
      <c r="DR108" s="100"/>
      <c r="DS108" s="100"/>
      <c r="DT108" s="100"/>
      <c r="DU108" s="100"/>
      <c r="DV108" s="100"/>
      <c r="DW108" s="100"/>
      <c r="DX108" s="100"/>
      <c r="DY108" s="100"/>
      <c r="DZ108" s="100"/>
      <c r="EA108" s="100"/>
      <c r="EB108" s="100"/>
      <c r="EC108" s="100"/>
      <c r="ED108" s="100"/>
      <c r="EE108" s="100"/>
      <c r="EF108" s="100"/>
      <c r="EG108" s="100"/>
      <c r="EH108" s="100"/>
      <c r="EI108" s="100"/>
      <c r="EJ108" s="100"/>
      <c r="EK108" s="100"/>
      <c r="EL108" s="100"/>
      <c r="EM108" s="100"/>
      <c r="EN108" s="100"/>
      <c r="EO108" s="100"/>
      <c r="EP108" s="100"/>
      <c r="EQ108" s="106"/>
      <c r="ER108" s="106"/>
      <c r="ES108" s="106"/>
      <c r="ET108" s="106"/>
      <c r="EU108" s="106"/>
      <c r="EV108" s="106"/>
      <c r="EW108" s="106"/>
      <c r="EX108" s="106"/>
      <c r="EY108" s="106"/>
      <c r="EZ108" s="106"/>
      <c r="FA108" s="106"/>
      <c r="FB108" s="106"/>
      <c r="FC108" s="106"/>
      <c r="FD108" s="106"/>
      <c r="FE108" s="106"/>
      <c r="FF108" s="106"/>
      <c r="FG108" s="106"/>
      <c r="FH108" s="106"/>
      <c r="FI108" s="106"/>
      <c r="FJ108" s="106"/>
      <c r="FK108" s="106"/>
      <c r="FL108" s="106"/>
      <c r="FM108" s="106"/>
      <c r="FN108" s="106"/>
      <c r="FO108" s="106"/>
      <c r="FP108" s="106"/>
      <c r="FQ108" s="106"/>
      <c r="FR108" s="106"/>
      <c r="FS108" s="106"/>
      <c r="FT108" s="106"/>
      <c r="FU108" s="106"/>
      <c r="FV108" s="106"/>
      <c r="FW108" s="106"/>
      <c r="FX108" s="106"/>
      <c r="FY108" s="106"/>
      <c r="FZ108" s="106"/>
      <c r="GA108" s="106"/>
      <c r="GB108" s="106"/>
      <c r="GC108" s="106"/>
      <c r="GD108" s="106"/>
      <c r="GE108" s="106"/>
      <c r="GF108" s="106"/>
      <c r="GG108" s="159"/>
    </row>
    <row r="109" spans="2:189" x14ac:dyDescent="0.2">
      <c r="B109" s="97">
        <v>43313</v>
      </c>
      <c r="C109" s="100">
        <v>70.400000000000006</v>
      </c>
      <c r="D109" s="100">
        <v>70.599999999999994</v>
      </c>
      <c r="E109" s="100">
        <v>70.599999999999994</v>
      </c>
      <c r="F109" s="100">
        <v>70.7</v>
      </c>
      <c r="G109" s="100">
        <v>70.5</v>
      </c>
      <c r="H109" s="100">
        <v>70.3</v>
      </c>
      <c r="I109" s="100">
        <v>70.400000000000006</v>
      </c>
      <c r="J109" s="100">
        <v>70.5</v>
      </c>
      <c r="K109" s="100">
        <v>70.599999999999994</v>
      </c>
      <c r="L109" s="100">
        <v>70.5</v>
      </c>
      <c r="M109" s="100">
        <v>70.5</v>
      </c>
      <c r="N109" s="100">
        <v>70.5</v>
      </c>
      <c r="O109" s="100">
        <v>70.5</v>
      </c>
      <c r="P109" s="100">
        <v>70.2</v>
      </c>
      <c r="Q109" s="100">
        <v>70.2</v>
      </c>
      <c r="R109" s="100">
        <v>70.099999999999994</v>
      </c>
      <c r="S109" s="100">
        <v>70.099999999999994</v>
      </c>
      <c r="T109" s="100">
        <v>70.099999999999994</v>
      </c>
      <c r="U109" s="100">
        <v>70.2</v>
      </c>
      <c r="V109" s="100">
        <v>70.3</v>
      </c>
      <c r="W109" s="100">
        <v>70.3</v>
      </c>
      <c r="X109" s="100">
        <v>70.5</v>
      </c>
      <c r="Y109" s="100">
        <v>70.5</v>
      </c>
      <c r="Z109" s="100">
        <v>70.7</v>
      </c>
      <c r="AA109" s="100">
        <v>70.900000000000006</v>
      </c>
      <c r="AB109" s="100">
        <v>71.099999999999994</v>
      </c>
      <c r="AC109" s="100">
        <v>71.2</v>
      </c>
      <c r="AD109" s="100">
        <v>71.099999999999994</v>
      </c>
      <c r="AE109" s="100">
        <v>71.099999999999994</v>
      </c>
      <c r="AF109" s="100">
        <v>71.3</v>
      </c>
      <c r="AG109" s="100">
        <v>71.400000000000006</v>
      </c>
      <c r="AH109" s="100">
        <v>71.400000000000006</v>
      </c>
      <c r="AI109" s="100">
        <v>71.2</v>
      </c>
      <c r="AJ109" s="100">
        <v>71.2</v>
      </c>
      <c r="AK109" s="100">
        <v>71.2</v>
      </c>
      <c r="AL109" s="100">
        <v>71.2</v>
      </c>
      <c r="AM109" s="100">
        <v>71.3</v>
      </c>
      <c r="AN109" s="100">
        <v>71.5</v>
      </c>
      <c r="AO109" s="100">
        <v>71.5</v>
      </c>
      <c r="AP109" s="100">
        <v>71.7</v>
      </c>
      <c r="AQ109" s="100">
        <v>71.900000000000006</v>
      </c>
      <c r="AR109" s="100">
        <v>72</v>
      </c>
      <c r="AS109" s="100">
        <v>72</v>
      </c>
      <c r="AT109" s="100">
        <v>72.099999999999994</v>
      </c>
      <c r="AU109" s="100">
        <v>72.400000000000006</v>
      </c>
      <c r="AV109" s="100">
        <v>72.5</v>
      </c>
      <c r="AW109" s="100">
        <v>72.7</v>
      </c>
      <c r="AX109" s="100">
        <v>72.900000000000006</v>
      </c>
      <c r="AY109" s="100">
        <v>72.8</v>
      </c>
      <c r="AZ109" s="100">
        <v>72.8</v>
      </c>
      <c r="BA109" s="100">
        <v>73</v>
      </c>
      <c r="BB109" s="100">
        <v>73</v>
      </c>
      <c r="BC109" s="100">
        <v>73</v>
      </c>
      <c r="BD109" s="100">
        <v>73</v>
      </c>
      <c r="BE109" s="100">
        <v>73.2</v>
      </c>
      <c r="BF109" s="100">
        <v>73.3</v>
      </c>
      <c r="BG109" s="100">
        <v>73.400000000000006</v>
      </c>
      <c r="BH109" s="100">
        <v>73.400000000000006</v>
      </c>
      <c r="BI109" s="100">
        <v>73.400000000000006</v>
      </c>
      <c r="BJ109" s="100">
        <v>73.3</v>
      </c>
      <c r="BK109" s="100">
        <v>73.400000000000006</v>
      </c>
      <c r="BL109" s="100">
        <v>73.5</v>
      </c>
      <c r="BM109" s="100">
        <v>73.599999999999994</v>
      </c>
      <c r="BN109" s="100">
        <v>73.8</v>
      </c>
      <c r="BO109" s="100">
        <v>74</v>
      </c>
      <c r="BP109" s="100">
        <v>74.099999999999994</v>
      </c>
      <c r="BQ109" s="100">
        <v>74.099999999999994</v>
      </c>
      <c r="BR109" s="100">
        <v>74.099999999999994</v>
      </c>
      <c r="BS109" s="100">
        <v>74.099999999999994</v>
      </c>
      <c r="BT109" s="100">
        <v>74.2</v>
      </c>
      <c r="BU109" s="100">
        <v>74.2</v>
      </c>
      <c r="BV109" s="100">
        <v>74.400000000000006</v>
      </c>
      <c r="BW109" s="100">
        <v>74.400000000000006</v>
      </c>
      <c r="BX109" s="100">
        <v>74.5</v>
      </c>
      <c r="BY109" s="100">
        <v>74.5</v>
      </c>
      <c r="BZ109" s="100">
        <v>74.400000000000006</v>
      </c>
      <c r="CA109" s="100">
        <v>74.400000000000006</v>
      </c>
      <c r="CB109" s="100">
        <v>74.5</v>
      </c>
      <c r="CC109" s="100">
        <v>74.599999999999994</v>
      </c>
      <c r="CD109" s="100">
        <v>74.599999999999994</v>
      </c>
      <c r="CE109" s="100">
        <v>74.599999999999994</v>
      </c>
      <c r="CF109" s="100">
        <v>74.8</v>
      </c>
      <c r="CG109" s="100">
        <v>74.8</v>
      </c>
      <c r="CH109" s="100">
        <v>74.900000000000006</v>
      </c>
      <c r="CI109" s="103">
        <v>75.099999999999994</v>
      </c>
      <c r="CJ109" s="100">
        <v>75.3</v>
      </c>
      <c r="CK109" s="100">
        <v>75.099999999999994</v>
      </c>
      <c r="CL109" s="100">
        <v>75</v>
      </c>
      <c r="CM109" s="100">
        <v>75.099999999999994</v>
      </c>
      <c r="CN109" s="100">
        <v>75.3</v>
      </c>
      <c r="CO109" s="100">
        <v>75.2</v>
      </c>
      <c r="CP109" s="100">
        <v>75.3</v>
      </c>
      <c r="CQ109" s="100">
        <v>75.400000000000006</v>
      </c>
      <c r="CR109" s="100">
        <v>75.599999999999994</v>
      </c>
      <c r="CS109" s="100">
        <v>75.599999999999994</v>
      </c>
      <c r="CT109" s="100">
        <v>75.7</v>
      </c>
      <c r="CU109" s="102">
        <v>75.599999999999994</v>
      </c>
      <c r="CV109" s="100"/>
      <c r="CW109" s="100"/>
      <c r="CX109" s="100"/>
      <c r="CY109" s="100"/>
      <c r="CZ109" s="100"/>
      <c r="DA109" s="100"/>
      <c r="DB109" s="100"/>
      <c r="DC109" s="100"/>
      <c r="DD109" s="100"/>
      <c r="DE109" s="100"/>
      <c r="DF109" s="100"/>
      <c r="DG109" s="100"/>
      <c r="DH109" s="100"/>
      <c r="DI109" s="100"/>
      <c r="DJ109" s="100"/>
      <c r="DK109" s="100"/>
      <c r="DL109" s="100"/>
      <c r="DM109" s="100"/>
      <c r="DN109" s="100"/>
      <c r="DO109" s="100"/>
      <c r="DP109" s="100"/>
      <c r="DQ109" s="100"/>
      <c r="DR109" s="100"/>
      <c r="DS109" s="100"/>
      <c r="DT109" s="100"/>
      <c r="DU109" s="100"/>
      <c r="DV109" s="100"/>
      <c r="DW109" s="100"/>
      <c r="DX109" s="100"/>
      <c r="DY109" s="100"/>
      <c r="DZ109" s="100"/>
      <c r="EA109" s="100"/>
      <c r="EB109" s="100"/>
      <c r="EC109" s="100"/>
      <c r="ED109" s="100"/>
      <c r="EE109" s="100"/>
      <c r="EF109" s="100"/>
      <c r="EG109" s="100"/>
      <c r="EH109" s="100"/>
      <c r="EI109" s="100"/>
      <c r="EJ109" s="100"/>
      <c r="EK109" s="100"/>
      <c r="EL109" s="100"/>
      <c r="EM109" s="100"/>
      <c r="EN109" s="100"/>
      <c r="EO109" s="100"/>
      <c r="EP109" s="100"/>
      <c r="EQ109" s="106"/>
      <c r="ER109" s="106"/>
      <c r="ES109" s="106"/>
      <c r="ET109" s="106"/>
      <c r="EU109" s="106"/>
      <c r="EV109" s="106"/>
      <c r="EW109" s="106"/>
      <c r="EX109" s="106"/>
      <c r="EY109" s="106"/>
      <c r="EZ109" s="106"/>
      <c r="FA109" s="106"/>
      <c r="FB109" s="106"/>
      <c r="FC109" s="106"/>
      <c r="FD109" s="106"/>
      <c r="FE109" s="106"/>
      <c r="FF109" s="106"/>
      <c r="FG109" s="106"/>
      <c r="FH109" s="106"/>
      <c r="FI109" s="106"/>
      <c r="FJ109" s="106"/>
      <c r="FK109" s="106"/>
      <c r="FL109" s="106"/>
      <c r="FM109" s="106"/>
      <c r="FN109" s="106"/>
      <c r="FO109" s="106"/>
      <c r="FP109" s="106"/>
      <c r="FQ109" s="106"/>
      <c r="FR109" s="106"/>
      <c r="FS109" s="106"/>
      <c r="FT109" s="106"/>
      <c r="FU109" s="106"/>
      <c r="FV109" s="106"/>
      <c r="FW109" s="106"/>
      <c r="FX109" s="106"/>
      <c r="FY109" s="106"/>
      <c r="FZ109" s="106"/>
      <c r="GA109" s="106"/>
      <c r="GB109" s="106"/>
      <c r="GC109" s="106"/>
      <c r="GD109" s="106"/>
      <c r="GE109" s="106"/>
      <c r="GF109" s="106"/>
      <c r="GG109" s="159"/>
    </row>
    <row r="110" spans="2:189" x14ac:dyDescent="0.2">
      <c r="B110" s="97">
        <v>43344</v>
      </c>
      <c r="C110" s="100">
        <v>70.400000000000006</v>
      </c>
      <c r="D110" s="100">
        <v>70.599999999999994</v>
      </c>
      <c r="E110" s="100">
        <v>70.599999999999994</v>
      </c>
      <c r="F110" s="100">
        <v>70.7</v>
      </c>
      <c r="G110" s="100">
        <v>70.5</v>
      </c>
      <c r="H110" s="100">
        <v>70.3</v>
      </c>
      <c r="I110" s="100">
        <v>70.400000000000006</v>
      </c>
      <c r="J110" s="100">
        <v>70.5</v>
      </c>
      <c r="K110" s="100">
        <v>70.599999999999994</v>
      </c>
      <c r="L110" s="100">
        <v>70.5</v>
      </c>
      <c r="M110" s="100">
        <v>70.5</v>
      </c>
      <c r="N110" s="100">
        <v>70.5</v>
      </c>
      <c r="O110" s="100">
        <v>70.5</v>
      </c>
      <c r="P110" s="100">
        <v>70.2</v>
      </c>
      <c r="Q110" s="100">
        <v>70.2</v>
      </c>
      <c r="R110" s="100">
        <v>70.099999999999994</v>
      </c>
      <c r="S110" s="100">
        <v>70.099999999999994</v>
      </c>
      <c r="T110" s="100">
        <v>70.099999999999994</v>
      </c>
      <c r="U110" s="100">
        <v>70.2</v>
      </c>
      <c r="V110" s="100">
        <v>70.3</v>
      </c>
      <c r="W110" s="100">
        <v>70.3</v>
      </c>
      <c r="X110" s="100">
        <v>70.5</v>
      </c>
      <c r="Y110" s="100">
        <v>70.5</v>
      </c>
      <c r="Z110" s="100">
        <v>70.7</v>
      </c>
      <c r="AA110" s="100">
        <v>70.900000000000006</v>
      </c>
      <c r="AB110" s="100">
        <v>71.099999999999994</v>
      </c>
      <c r="AC110" s="100">
        <v>71.2</v>
      </c>
      <c r="AD110" s="100">
        <v>71.099999999999994</v>
      </c>
      <c r="AE110" s="100">
        <v>71.099999999999994</v>
      </c>
      <c r="AF110" s="100">
        <v>71.3</v>
      </c>
      <c r="AG110" s="100">
        <v>71.400000000000006</v>
      </c>
      <c r="AH110" s="100">
        <v>71.400000000000006</v>
      </c>
      <c r="AI110" s="100">
        <v>71.2</v>
      </c>
      <c r="AJ110" s="100">
        <v>71.2</v>
      </c>
      <c r="AK110" s="100">
        <v>71.2</v>
      </c>
      <c r="AL110" s="100">
        <v>71.2</v>
      </c>
      <c r="AM110" s="100">
        <v>71.3</v>
      </c>
      <c r="AN110" s="100">
        <v>71.5</v>
      </c>
      <c r="AO110" s="100">
        <v>71.5</v>
      </c>
      <c r="AP110" s="100">
        <v>71.7</v>
      </c>
      <c r="AQ110" s="100">
        <v>71.900000000000006</v>
      </c>
      <c r="AR110" s="100">
        <v>72</v>
      </c>
      <c r="AS110" s="100">
        <v>72</v>
      </c>
      <c r="AT110" s="100">
        <v>72.099999999999994</v>
      </c>
      <c r="AU110" s="100">
        <v>72.400000000000006</v>
      </c>
      <c r="AV110" s="100">
        <v>72.5</v>
      </c>
      <c r="AW110" s="100">
        <v>72.7</v>
      </c>
      <c r="AX110" s="100">
        <v>72.900000000000006</v>
      </c>
      <c r="AY110" s="100">
        <v>72.8</v>
      </c>
      <c r="AZ110" s="100">
        <v>72.8</v>
      </c>
      <c r="BA110" s="100">
        <v>73</v>
      </c>
      <c r="BB110" s="100">
        <v>73</v>
      </c>
      <c r="BC110" s="100">
        <v>73</v>
      </c>
      <c r="BD110" s="100">
        <v>73</v>
      </c>
      <c r="BE110" s="100">
        <v>73.2</v>
      </c>
      <c r="BF110" s="100">
        <v>73.3</v>
      </c>
      <c r="BG110" s="100">
        <v>73.400000000000006</v>
      </c>
      <c r="BH110" s="100">
        <v>73.400000000000006</v>
      </c>
      <c r="BI110" s="100">
        <v>73.400000000000006</v>
      </c>
      <c r="BJ110" s="100">
        <v>73.3</v>
      </c>
      <c r="BK110" s="100">
        <v>73.400000000000006</v>
      </c>
      <c r="BL110" s="100">
        <v>73.5</v>
      </c>
      <c r="BM110" s="100">
        <v>73.599999999999994</v>
      </c>
      <c r="BN110" s="100">
        <v>73.8</v>
      </c>
      <c r="BO110" s="100">
        <v>74</v>
      </c>
      <c r="BP110" s="100">
        <v>74.099999999999994</v>
      </c>
      <c r="BQ110" s="100">
        <v>74.099999999999994</v>
      </c>
      <c r="BR110" s="100">
        <v>74.099999999999994</v>
      </c>
      <c r="BS110" s="100">
        <v>74.099999999999994</v>
      </c>
      <c r="BT110" s="100">
        <v>74.2</v>
      </c>
      <c r="BU110" s="100">
        <v>74.2</v>
      </c>
      <c r="BV110" s="100">
        <v>74.400000000000006</v>
      </c>
      <c r="BW110" s="100">
        <v>74.400000000000006</v>
      </c>
      <c r="BX110" s="100">
        <v>74.5</v>
      </c>
      <c r="BY110" s="100">
        <v>74.5</v>
      </c>
      <c r="BZ110" s="100">
        <v>74.400000000000006</v>
      </c>
      <c r="CA110" s="100">
        <v>74.400000000000006</v>
      </c>
      <c r="CB110" s="100">
        <v>74.5</v>
      </c>
      <c r="CC110" s="100">
        <v>74.599999999999994</v>
      </c>
      <c r="CD110" s="100">
        <v>74.599999999999994</v>
      </c>
      <c r="CE110" s="100">
        <v>74.599999999999994</v>
      </c>
      <c r="CF110" s="100">
        <v>74.8</v>
      </c>
      <c r="CG110" s="100">
        <v>74.8</v>
      </c>
      <c r="CH110" s="100">
        <v>74.900000000000006</v>
      </c>
      <c r="CI110" s="100">
        <v>75.099999999999994</v>
      </c>
      <c r="CJ110" s="103">
        <v>75.3</v>
      </c>
      <c r="CK110" s="100">
        <v>75.099999999999994</v>
      </c>
      <c r="CL110" s="100">
        <v>75</v>
      </c>
      <c r="CM110" s="100">
        <v>75.099999999999994</v>
      </c>
      <c r="CN110" s="100">
        <v>75.3</v>
      </c>
      <c r="CO110" s="100">
        <v>75.2</v>
      </c>
      <c r="CP110" s="100">
        <v>75.3</v>
      </c>
      <c r="CQ110" s="100">
        <v>75.400000000000006</v>
      </c>
      <c r="CR110" s="100">
        <v>75.599999999999994</v>
      </c>
      <c r="CS110" s="100">
        <v>75.599999999999994</v>
      </c>
      <c r="CT110" s="100">
        <v>75.7</v>
      </c>
      <c r="CU110" s="100">
        <v>75.599999999999994</v>
      </c>
      <c r="CV110" s="102">
        <v>75.5</v>
      </c>
      <c r="CW110" s="100"/>
      <c r="CX110" s="100"/>
      <c r="CY110" s="100"/>
      <c r="CZ110" s="100"/>
      <c r="DA110" s="100"/>
      <c r="DB110" s="100"/>
      <c r="DC110" s="100"/>
      <c r="DD110" s="100"/>
      <c r="DE110" s="100"/>
      <c r="DF110" s="100"/>
      <c r="DG110" s="100"/>
      <c r="DH110" s="100"/>
      <c r="DI110" s="100"/>
      <c r="DJ110" s="100"/>
      <c r="DK110" s="100"/>
      <c r="DL110" s="100"/>
      <c r="DM110" s="100"/>
      <c r="DN110" s="100"/>
      <c r="DO110" s="100"/>
      <c r="DP110" s="100"/>
      <c r="DQ110" s="100"/>
      <c r="DR110" s="100"/>
      <c r="DS110" s="100"/>
      <c r="DT110" s="100"/>
      <c r="DU110" s="100"/>
      <c r="DV110" s="100"/>
      <c r="DW110" s="100"/>
      <c r="DX110" s="100"/>
      <c r="DY110" s="100"/>
      <c r="DZ110" s="100"/>
      <c r="EA110" s="100"/>
      <c r="EB110" s="100"/>
      <c r="EC110" s="100"/>
      <c r="ED110" s="100"/>
      <c r="EE110" s="100"/>
      <c r="EF110" s="100"/>
      <c r="EG110" s="100"/>
      <c r="EH110" s="100"/>
      <c r="EI110" s="100"/>
      <c r="EJ110" s="100"/>
      <c r="EK110" s="100"/>
      <c r="EL110" s="100"/>
      <c r="EM110" s="100"/>
      <c r="EN110" s="100"/>
      <c r="EO110" s="100"/>
      <c r="EP110" s="100"/>
      <c r="EQ110" s="106"/>
      <c r="ER110" s="106"/>
      <c r="ES110" s="106"/>
      <c r="ET110" s="106"/>
      <c r="EU110" s="106"/>
      <c r="EV110" s="106"/>
      <c r="EW110" s="106"/>
      <c r="EX110" s="106"/>
      <c r="EY110" s="106"/>
      <c r="EZ110" s="106"/>
      <c r="FA110" s="106"/>
      <c r="FB110" s="106"/>
      <c r="FC110" s="106"/>
      <c r="FD110" s="106"/>
      <c r="FE110" s="106"/>
      <c r="FF110" s="106"/>
      <c r="FG110" s="106"/>
      <c r="FH110" s="106"/>
      <c r="FI110" s="106"/>
      <c r="FJ110" s="106"/>
      <c r="FK110" s="106"/>
      <c r="FL110" s="106"/>
      <c r="FM110" s="106"/>
      <c r="FN110" s="106"/>
      <c r="FO110" s="106"/>
      <c r="FP110" s="106"/>
      <c r="FQ110" s="106"/>
      <c r="FR110" s="106"/>
      <c r="FS110" s="106"/>
      <c r="FT110" s="106"/>
      <c r="FU110" s="106"/>
      <c r="FV110" s="106"/>
      <c r="FW110" s="106"/>
      <c r="FX110" s="106"/>
      <c r="FY110" s="106"/>
      <c r="FZ110" s="106"/>
      <c r="GA110" s="106"/>
      <c r="GB110" s="106"/>
      <c r="GC110" s="106"/>
      <c r="GD110" s="106"/>
      <c r="GE110" s="106"/>
      <c r="GF110" s="106"/>
      <c r="GG110" s="159"/>
    </row>
    <row r="111" spans="2:189" x14ac:dyDescent="0.2">
      <c r="B111" s="97">
        <v>43374</v>
      </c>
      <c r="C111" s="100">
        <v>70.400000000000006</v>
      </c>
      <c r="D111" s="100">
        <v>70.599999999999994</v>
      </c>
      <c r="E111" s="100">
        <v>70.599999999999994</v>
      </c>
      <c r="F111" s="100">
        <v>70.7</v>
      </c>
      <c r="G111" s="100">
        <v>70.5</v>
      </c>
      <c r="H111" s="100">
        <v>70.3</v>
      </c>
      <c r="I111" s="100">
        <v>70.400000000000006</v>
      </c>
      <c r="J111" s="100">
        <v>70.5</v>
      </c>
      <c r="K111" s="100">
        <v>70.599999999999994</v>
      </c>
      <c r="L111" s="100">
        <v>70.5</v>
      </c>
      <c r="M111" s="100">
        <v>70.5</v>
      </c>
      <c r="N111" s="100">
        <v>70.5</v>
      </c>
      <c r="O111" s="100">
        <v>70.5</v>
      </c>
      <c r="P111" s="100">
        <v>70.2</v>
      </c>
      <c r="Q111" s="100">
        <v>70.2</v>
      </c>
      <c r="R111" s="100">
        <v>70.099999999999994</v>
      </c>
      <c r="S111" s="100">
        <v>70.099999999999994</v>
      </c>
      <c r="T111" s="100">
        <v>70.099999999999994</v>
      </c>
      <c r="U111" s="100">
        <v>70.2</v>
      </c>
      <c r="V111" s="100">
        <v>70.3</v>
      </c>
      <c r="W111" s="100">
        <v>70.3</v>
      </c>
      <c r="X111" s="100">
        <v>70.5</v>
      </c>
      <c r="Y111" s="100">
        <v>70.5</v>
      </c>
      <c r="Z111" s="100">
        <v>70.7</v>
      </c>
      <c r="AA111" s="100">
        <v>70.900000000000006</v>
      </c>
      <c r="AB111" s="100">
        <v>71.099999999999994</v>
      </c>
      <c r="AC111" s="100">
        <v>71.2</v>
      </c>
      <c r="AD111" s="100">
        <v>71.099999999999994</v>
      </c>
      <c r="AE111" s="100">
        <v>71.099999999999994</v>
      </c>
      <c r="AF111" s="100">
        <v>71.3</v>
      </c>
      <c r="AG111" s="100">
        <v>71.400000000000006</v>
      </c>
      <c r="AH111" s="100">
        <v>71.400000000000006</v>
      </c>
      <c r="AI111" s="100">
        <v>71.2</v>
      </c>
      <c r="AJ111" s="100">
        <v>71.2</v>
      </c>
      <c r="AK111" s="100">
        <v>71.2</v>
      </c>
      <c r="AL111" s="100">
        <v>71.2</v>
      </c>
      <c r="AM111" s="100">
        <v>71.3</v>
      </c>
      <c r="AN111" s="100">
        <v>71.5</v>
      </c>
      <c r="AO111" s="100">
        <v>71.5</v>
      </c>
      <c r="AP111" s="100">
        <v>71.7</v>
      </c>
      <c r="AQ111" s="100">
        <v>71.900000000000006</v>
      </c>
      <c r="AR111" s="100">
        <v>72</v>
      </c>
      <c r="AS111" s="100">
        <v>72</v>
      </c>
      <c r="AT111" s="100">
        <v>72.099999999999994</v>
      </c>
      <c r="AU111" s="100">
        <v>72.400000000000006</v>
      </c>
      <c r="AV111" s="100">
        <v>72.5</v>
      </c>
      <c r="AW111" s="100">
        <v>72.7</v>
      </c>
      <c r="AX111" s="100">
        <v>72.900000000000006</v>
      </c>
      <c r="AY111" s="100">
        <v>72.8</v>
      </c>
      <c r="AZ111" s="100">
        <v>72.8</v>
      </c>
      <c r="BA111" s="100">
        <v>73</v>
      </c>
      <c r="BB111" s="100">
        <v>73</v>
      </c>
      <c r="BC111" s="100">
        <v>73</v>
      </c>
      <c r="BD111" s="100">
        <v>73</v>
      </c>
      <c r="BE111" s="100">
        <v>73.2</v>
      </c>
      <c r="BF111" s="100">
        <v>73.3</v>
      </c>
      <c r="BG111" s="100">
        <v>73.400000000000006</v>
      </c>
      <c r="BH111" s="100">
        <v>73.400000000000006</v>
      </c>
      <c r="BI111" s="100">
        <v>73.400000000000006</v>
      </c>
      <c r="BJ111" s="100">
        <v>73.3</v>
      </c>
      <c r="BK111" s="100">
        <v>73.400000000000006</v>
      </c>
      <c r="BL111" s="100">
        <v>73.5</v>
      </c>
      <c r="BM111" s="100">
        <v>73.599999999999994</v>
      </c>
      <c r="BN111" s="100">
        <v>73.8</v>
      </c>
      <c r="BO111" s="100">
        <v>74</v>
      </c>
      <c r="BP111" s="100">
        <v>74.099999999999994</v>
      </c>
      <c r="BQ111" s="100">
        <v>74.099999999999994</v>
      </c>
      <c r="BR111" s="100">
        <v>74.099999999999994</v>
      </c>
      <c r="BS111" s="100">
        <v>74.099999999999994</v>
      </c>
      <c r="BT111" s="100">
        <v>74.2</v>
      </c>
      <c r="BU111" s="100">
        <v>74.2</v>
      </c>
      <c r="BV111" s="100">
        <v>74.400000000000006</v>
      </c>
      <c r="BW111" s="100">
        <v>74.400000000000006</v>
      </c>
      <c r="BX111" s="100">
        <v>74.5</v>
      </c>
      <c r="BY111" s="100">
        <v>74.5</v>
      </c>
      <c r="BZ111" s="100">
        <v>74.400000000000006</v>
      </c>
      <c r="CA111" s="100">
        <v>74.400000000000006</v>
      </c>
      <c r="CB111" s="100">
        <v>74.5</v>
      </c>
      <c r="CC111" s="100">
        <v>74.599999999999994</v>
      </c>
      <c r="CD111" s="100">
        <v>74.599999999999994</v>
      </c>
      <c r="CE111" s="100">
        <v>74.599999999999994</v>
      </c>
      <c r="CF111" s="100">
        <v>74.8</v>
      </c>
      <c r="CG111" s="100">
        <v>74.8</v>
      </c>
      <c r="CH111" s="100">
        <v>74.900000000000006</v>
      </c>
      <c r="CI111" s="100">
        <v>75.099999999999994</v>
      </c>
      <c r="CJ111" s="100">
        <v>75.3</v>
      </c>
      <c r="CK111" s="103">
        <v>75.099999999999994</v>
      </c>
      <c r="CL111" s="100">
        <v>75</v>
      </c>
      <c r="CM111" s="100">
        <v>75.099999999999994</v>
      </c>
      <c r="CN111" s="100">
        <v>75.3</v>
      </c>
      <c r="CO111" s="100">
        <v>75.2</v>
      </c>
      <c r="CP111" s="100">
        <v>75.3</v>
      </c>
      <c r="CQ111" s="100">
        <v>75.400000000000006</v>
      </c>
      <c r="CR111" s="100">
        <v>75.599999999999994</v>
      </c>
      <c r="CS111" s="100">
        <v>75.599999999999994</v>
      </c>
      <c r="CT111" s="100">
        <v>75.7</v>
      </c>
      <c r="CU111" s="100">
        <v>75.599999999999994</v>
      </c>
      <c r="CV111" s="100">
        <v>75.5</v>
      </c>
      <c r="CW111" s="102">
        <v>75.5</v>
      </c>
      <c r="CX111" s="100"/>
      <c r="CY111" s="100"/>
      <c r="CZ111" s="100"/>
      <c r="DA111" s="100"/>
      <c r="DB111" s="100"/>
      <c r="DC111" s="100"/>
      <c r="DD111" s="100"/>
      <c r="DE111" s="100"/>
      <c r="DF111" s="100"/>
      <c r="DG111" s="100"/>
      <c r="DH111" s="100"/>
      <c r="DI111" s="100"/>
      <c r="DJ111" s="100"/>
      <c r="DK111" s="100"/>
      <c r="DL111" s="100"/>
      <c r="DM111" s="100"/>
      <c r="DN111" s="100"/>
      <c r="DO111" s="100"/>
      <c r="DP111" s="100"/>
      <c r="DQ111" s="100"/>
      <c r="DR111" s="100"/>
      <c r="DS111" s="100"/>
      <c r="DT111" s="100"/>
      <c r="DU111" s="100"/>
      <c r="DV111" s="100"/>
      <c r="DW111" s="100"/>
      <c r="DX111" s="100"/>
      <c r="DY111" s="100"/>
      <c r="DZ111" s="100"/>
      <c r="EA111" s="100"/>
      <c r="EB111" s="100"/>
      <c r="EC111" s="100"/>
      <c r="ED111" s="100"/>
      <c r="EE111" s="100"/>
      <c r="EF111" s="100"/>
      <c r="EG111" s="100"/>
      <c r="EH111" s="100"/>
      <c r="EI111" s="100"/>
      <c r="EJ111" s="100"/>
      <c r="EK111" s="100"/>
      <c r="EL111" s="100"/>
      <c r="EM111" s="100"/>
      <c r="EN111" s="100"/>
      <c r="EO111" s="100"/>
      <c r="EP111" s="100"/>
      <c r="EQ111" s="106"/>
      <c r="ER111" s="106"/>
      <c r="ES111" s="106"/>
      <c r="ET111" s="106"/>
      <c r="EU111" s="106"/>
      <c r="EV111" s="106"/>
      <c r="EW111" s="106"/>
      <c r="EX111" s="106"/>
      <c r="EY111" s="106"/>
      <c r="EZ111" s="106"/>
      <c r="FA111" s="106"/>
      <c r="FB111" s="106"/>
      <c r="FC111" s="106"/>
      <c r="FD111" s="106"/>
      <c r="FE111" s="106"/>
      <c r="FF111" s="106"/>
      <c r="FG111" s="106"/>
      <c r="FH111" s="106"/>
      <c r="FI111" s="106"/>
      <c r="FJ111" s="106"/>
      <c r="FK111" s="106"/>
      <c r="FL111" s="106"/>
      <c r="FM111" s="106"/>
      <c r="FN111" s="106"/>
      <c r="FO111" s="106"/>
      <c r="FP111" s="106"/>
      <c r="FQ111" s="106"/>
      <c r="FR111" s="106"/>
      <c r="FS111" s="106"/>
      <c r="FT111" s="106"/>
      <c r="FU111" s="106"/>
      <c r="FV111" s="106"/>
      <c r="FW111" s="106"/>
      <c r="FX111" s="106"/>
      <c r="FY111" s="106"/>
      <c r="FZ111" s="106"/>
      <c r="GA111" s="106"/>
      <c r="GB111" s="106"/>
      <c r="GC111" s="106"/>
      <c r="GD111" s="106"/>
      <c r="GE111" s="106"/>
      <c r="GF111" s="106"/>
      <c r="GG111" s="159"/>
    </row>
    <row r="112" spans="2:189" x14ac:dyDescent="0.2">
      <c r="B112" s="97">
        <v>43405</v>
      </c>
      <c r="C112" s="100">
        <v>70.400000000000006</v>
      </c>
      <c r="D112" s="100">
        <v>70.599999999999994</v>
      </c>
      <c r="E112" s="100">
        <v>70.599999999999994</v>
      </c>
      <c r="F112" s="100">
        <v>70.7</v>
      </c>
      <c r="G112" s="100">
        <v>70.5</v>
      </c>
      <c r="H112" s="100">
        <v>70.3</v>
      </c>
      <c r="I112" s="100">
        <v>70.400000000000006</v>
      </c>
      <c r="J112" s="100">
        <v>70.5</v>
      </c>
      <c r="K112" s="100">
        <v>70.599999999999994</v>
      </c>
      <c r="L112" s="100">
        <v>70.5</v>
      </c>
      <c r="M112" s="100">
        <v>70.5</v>
      </c>
      <c r="N112" s="100">
        <v>70.5</v>
      </c>
      <c r="O112" s="100">
        <v>70.5</v>
      </c>
      <c r="P112" s="100">
        <v>70.2</v>
      </c>
      <c r="Q112" s="100">
        <v>70.2</v>
      </c>
      <c r="R112" s="100">
        <v>70.099999999999994</v>
      </c>
      <c r="S112" s="100">
        <v>70.099999999999994</v>
      </c>
      <c r="T112" s="100">
        <v>70.099999999999994</v>
      </c>
      <c r="U112" s="100">
        <v>70.2</v>
      </c>
      <c r="V112" s="100">
        <v>70.3</v>
      </c>
      <c r="W112" s="100">
        <v>70.3</v>
      </c>
      <c r="X112" s="100">
        <v>70.5</v>
      </c>
      <c r="Y112" s="100">
        <v>70.5</v>
      </c>
      <c r="Z112" s="100">
        <v>70.7</v>
      </c>
      <c r="AA112" s="100">
        <v>70.900000000000006</v>
      </c>
      <c r="AB112" s="100">
        <v>71.099999999999994</v>
      </c>
      <c r="AC112" s="100">
        <v>71.2</v>
      </c>
      <c r="AD112" s="100">
        <v>71.099999999999994</v>
      </c>
      <c r="AE112" s="100">
        <v>71.099999999999994</v>
      </c>
      <c r="AF112" s="100">
        <v>71.3</v>
      </c>
      <c r="AG112" s="100">
        <v>71.400000000000006</v>
      </c>
      <c r="AH112" s="100">
        <v>71.400000000000006</v>
      </c>
      <c r="AI112" s="100">
        <v>71.2</v>
      </c>
      <c r="AJ112" s="100">
        <v>71.2</v>
      </c>
      <c r="AK112" s="100">
        <v>71.2</v>
      </c>
      <c r="AL112" s="100">
        <v>71.2</v>
      </c>
      <c r="AM112" s="100">
        <v>71.3</v>
      </c>
      <c r="AN112" s="100">
        <v>71.5</v>
      </c>
      <c r="AO112" s="100">
        <v>71.5</v>
      </c>
      <c r="AP112" s="100">
        <v>71.7</v>
      </c>
      <c r="AQ112" s="100">
        <v>71.900000000000006</v>
      </c>
      <c r="AR112" s="100">
        <v>72</v>
      </c>
      <c r="AS112" s="100">
        <v>72</v>
      </c>
      <c r="AT112" s="100">
        <v>72.099999999999994</v>
      </c>
      <c r="AU112" s="100">
        <v>72.400000000000006</v>
      </c>
      <c r="AV112" s="100">
        <v>72.5</v>
      </c>
      <c r="AW112" s="100">
        <v>72.7</v>
      </c>
      <c r="AX112" s="100">
        <v>72.900000000000006</v>
      </c>
      <c r="AY112" s="100">
        <v>72.8</v>
      </c>
      <c r="AZ112" s="100">
        <v>72.8</v>
      </c>
      <c r="BA112" s="100">
        <v>73</v>
      </c>
      <c r="BB112" s="100">
        <v>73</v>
      </c>
      <c r="BC112" s="100">
        <v>73</v>
      </c>
      <c r="BD112" s="100">
        <v>73</v>
      </c>
      <c r="BE112" s="100">
        <v>73.2</v>
      </c>
      <c r="BF112" s="100">
        <v>73.3</v>
      </c>
      <c r="BG112" s="100">
        <v>73.400000000000006</v>
      </c>
      <c r="BH112" s="100">
        <v>73.400000000000006</v>
      </c>
      <c r="BI112" s="100">
        <v>73.400000000000006</v>
      </c>
      <c r="BJ112" s="100">
        <v>73.3</v>
      </c>
      <c r="BK112" s="100">
        <v>73.400000000000006</v>
      </c>
      <c r="BL112" s="100">
        <v>73.5</v>
      </c>
      <c r="BM112" s="100">
        <v>73.599999999999994</v>
      </c>
      <c r="BN112" s="100">
        <v>73.8</v>
      </c>
      <c r="BO112" s="100">
        <v>74</v>
      </c>
      <c r="BP112" s="100">
        <v>74.099999999999994</v>
      </c>
      <c r="BQ112" s="100">
        <v>74.099999999999994</v>
      </c>
      <c r="BR112" s="100">
        <v>74.099999999999994</v>
      </c>
      <c r="BS112" s="100">
        <v>74.099999999999994</v>
      </c>
      <c r="BT112" s="100">
        <v>74.2</v>
      </c>
      <c r="BU112" s="100">
        <v>74.2</v>
      </c>
      <c r="BV112" s="100">
        <v>74.400000000000006</v>
      </c>
      <c r="BW112" s="100">
        <v>74.400000000000006</v>
      </c>
      <c r="BX112" s="100">
        <v>74.5</v>
      </c>
      <c r="BY112" s="100">
        <v>74.5</v>
      </c>
      <c r="BZ112" s="100">
        <v>74.400000000000006</v>
      </c>
      <c r="CA112" s="100">
        <v>74.400000000000006</v>
      </c>
      <c r="CB112" s="100">
        <v>74.5</v>
      </c>
      <c r="CC112" s="100">
        <v>74.599999999999994</v>
      </c>
      <c r="CD112" s="100">
        <v>74.599999999999994</v>
      </c>
      <c r="CE112" s="100">
        <v>74.599999999999994</v>
      </c>
      <c r="CF112" s="100">
        <v>74.8</v>
      </c>
      <c r="CG112" s="100">
        <v>74.8</v>
      </c>
      <c r="CH112" s="100">
        <v>74.900000000000006</v>
      </c>
      <c r="CI112" s="100">
        <v>75.099999999999994</v>
      </c>
      <c r="CJ112" s="100">
        <v>75.3</v>
      </c>
      <c r="CK112" s="100">
        <v>75.099999999999994</v>
      </c>
      <c r="CL112" s="103">
        <v>75</v>
      </c>
      <c r="CM112" s="100">
        <v>75.099999999999994</v>
      </c>
      <c r="CN112" s="100">
        <v>75.3</v>
      </c>
      <c r="CO112" s="100">
        <v>75.2</v>
      </c>
      <c r="CP112" s="100">
        <v>75.3</v>
      </c>
      <c r="CQ112" s="100">
        <v>75.400000000000006</v>
      </c>
      <c r="CR112" s="100">
        <v>75.599999999999994</v>
      </c>
      <c r="CS112" s="100">
        <v>75.599999999999994</v>
      </c>
      <c r="CT112" s="100">
        <v>75.7</v>
      </c>
      <c r="CU112" s="100">
        <v>75.599999999999994</v>
      </c>
      <c r="CV112" s="100">
        <v>75.5</v>
      </c>
      <c r="CW112" s="100">
        <v>75.5</v>
      </c>
      <c r="CX112" s="102">
        <v>75.5</v>
      </c>
      <c r="CY112" s="100"/>
      <c r="CZ112" s="100"/>
      <c r="DA112" s="100"/>
      <c r="DB112" s="100"/>
      <c r="DC112" s="100"/>
      <c r="DD112" s="100"/>
      <c r="DE112" s="100"/>
      <c r="DF112" s="100"/>
      <c r="DG112" s="100"/>
      <c r="DH112" s="100"/>
      <c r="DI112" s="100"/>
      <c r="DJ112" s="100"/>
      <c r="DK112" s="100"/>
      <c r="DL112" s="100"/>
      <c r="DM112" s="100"/>
      <c r="DN112" s="100"/>
      <c r="DO112" s="100"/>
      <c r="DP112" s="100"/>
      <c r="DQ112" s="100"/>
      <c r="DR112" s="100"/>
      <c r="DS112" s="100"/>
      <c r="DT112" s="100"/>
      <c r="DU112" s="100"/>
      <c r="DV112" s="100"/>
      <c r="DW112" s="100"/>
      <c r="DX112" s="100"/>
      <c r="DY112" s="100"/>
      <c r="DZ112" s="100"/>
      <c r="EA112" s="100"/>
      <c r="EB112" s="100"/>
      <c r="EC112" s="100"/>
      <c r="ED112" s="100"/>
      <c r="EE112" s="100"/>
      <c r="EF112" s="100"/>
      <c r="EG112" s="100"/>
      <c r="EH112" s="100"/>
      <c r="EI112" s="100"/>
      <c r="EJ112" s="100"/>
      <c r="EK112" s="100"/>
      <c r="EL112" s="100"/>
      <c r="EM112" s="100"/>
      <c r="EN112" s="100"/>
      <c r="EO112" s="100"/>
      <c r="EP112" s="100"/>
      <c r="EQ112" s="106"/>
      <c r="ER112" s="106"/>
      <c r="ES112" s="106"/>
      <c r="ET112" s="106"/>
      <c r="EU112" s="106"/>
      <c r="EV112" s="106"/>
      <c r="EW112" s="106"/>
      <c r="EX112" s="106"/>
      <c r="EY112" s="106"/>
      <c r="EZ112" s="106"/>
      <c r="FA112" s="106"/>
      <c r="FB112" s="106"/>
      <c r="FC112" s="106"/>
      <c r="FD112" s="106"/>
      <c r="FE112" s="106"/>
      <c r="FF112" s="106"/>
      <c r="FG112" s="106"/>
      <c r="FH112" s="106"/>
      <c r="FI112" s="106"/>
      <c r="FJ112" s="106"/>
      <c r="FK112" s="106"/>
      <c r="FL112" s="106"/>
      <c r="FM112" s="106"/>
      <c r="FN112" s="106"/>
      <c r="FO112" s="106"/>
      <c r="FP112" s="106"/>
      <c r="FQ112" s="106"/>
      <c r="FR112" s="106"/>
      <c r="FS112" s="106"/>
      <c r="FT112" s="106"/>
      <c r="FU112" s="106"/>
      <c r="FV112" s="106"/>
      <c r="FW112" s="106"/>
      <c r="FX112" s="106"/>
      <c r="FY112" s="106"/>
      <c r="FZ112" s="106"/>
      <c r="GA112" s="106"/>
      <c r="GB112" s="106"/>
      <c r="GC112" s="106"/>
      <c r="GD112" s="106"/>
      <c r="GE112" s="106"/>
      <c r="GF112" s="106"/>
      <c r="GG112" s="159"/>
    </row>
    <row r="113" spans="2:189" x14ac:dyDescent="0.2">
      <c r="B113" s="97">
        <v>43435</v>
      </c>
      <c r="C113" s="100">
        <v>70.400000000000006</v>
      </c>
      <c r="D113" s="100">
        <v>70.599999999999994</v>
      </c>
      <c r="E113" s="100">
        <v>70.599999999999994</v>
      </c>
      <c r="F113" s="100">
        <v>70.7</v>
      </c>
      <c r="G113" s="100">
        <v>70.5</v>
      </c>
      <c r="H113" s="100">
        <v>70.3</v>
      </c>
      <c r="I113" s="100">
        <v>70.400000000000006</v>
      </c>
      <c r="J113" s="100">
        <v>70.5</v>
      </c>
      <c r="K113" s="100">
        <v>70.599999999999994</v>
      </c>
      <c r="L113" s="100">
        <v>70.5</v>
      </c>
      <c r="M113" s="100">
        <v>70.5</v>
      </c>
      <c r="N113" s="100">
        <v>70.5</v>
      </c>
      <c r="O113" s="100">
        <v>70.5</v>
      </c>
      <c r="P113" s="100">
        <v>70.2</v>
      </c>
      <c r="Q113" s="100">
        <v>70.2</v>
      </c>
      <c r="R113" s="100">
        <v>70.099999999999994</v>
      </c>
      <c r="S113" s="100">
        <v>70.099999999999994</v>
      </c>
      <c r="T113" s="100">
        <v>70.099999999999994</v>
      </c>
      <c r="U113" s="100">
        <v>70.2</v>
      </c>
      <c r="V113" s="100">
        <v>70.3</v>
      </c>
      <c r="W113" s="100">
        <v>70.3</v>
      </c>
      <c r="X113" s="100">
        <v>70.5</v>
      </c>
      <c r="Y113" s="100">
        <v>70.5</v>
      </c>
      <c r="Z113" s="100">
        <v>70.7</v>
      </c>
      <c r="AA113" s="100">
        <v>70.900000000000006</v>
      </c>
      <c r="AB113" s="100">
        <v>71.099999999999994</v>
      </c>
      <c r="AC113" s="100">
        <v>71.2</v>
      </c>
      <c r="AD113" s="100">
        <v>71.099999999999994</v>
      </c>
      <c r="AE113" s="100">
        <v>71.099999999999994</v>
      </c>
      <c r="AF113" s="100">
        <v>71.3</v>
      </c>
      <c r="AG113" s="100">
        <v>71.400000000000006</v>
      </c>
      <c r="AH113" s="100">
        <v>71.400000000000006</v>
      </c>
      <c r="AI113" s="100">
        <v>71.2</v>
      </c>
      <c r="AJ113" s="100">
        <v>71.2</v>
      </c>
      <c r="AK113" s="100">
        <v>71.2</v>
      </c>
      <c r="AL113" s="100">
        <v>71.2</v>
      </c>
      <c r="AM113" s="100">
        <v>71.3</v>
      </c>
      <c r="AN113" s="100">
        <v>71.5</v>
      </c>
      <c r="AO113" s="100">
        <v>71.5</v>
      </c>
      <c r="AP113" s="100">
        <v>71.7</v>
      </c>
      <c r="AQ113" s="100">
        <v>71.900000000000006</v>
      </c>
      <c r="AR113" s="100">
        <v>72</v>
      </c>
      <c r="AS113" s="100">
        <v>72</v>
      </c>
      <c r="AT113" s="100">
        <v>72.099999999999994</v>
      </c>
      <c r="AU113" s="100">
        <v>72.400000000000006</v>
      </c>
      <c r="AV113" s="100">
        <v>72.5</v>
      </c>
      <c r="AW113" s="100">
        <v>72.7</v>
      </c>
      <c r="AX113" s="100">
        <v>72.900000000000006</v>
      </c>
      <c r="AY113" s="100">
        <v>72.8</v>
      </c>
      <c r="AZ113" s="100">
        <v>72.8</v>
      </c>
      <c r="BA113" s="100">
        <v>73</v>
      </c>
      <c r="BB113" s="100">
        <v>73</v>
      </c>
      <c r="BC113" s="100">
        <v>73</v>
      </c>
      <c r="BD113" s="100">
        <v>73</v>
      </c>
      <c r="BE113" s="100">
        <v>73.2</v>
      </c>
      <c r="BF113" s="100">
        <v>73.3</v>
      </c>
      <c r="BG113" s="100">
        <v>73.400000000000006</v>
      </c>
      <c r="BH113" s="100">
        <v>73.400000000000006</v>
      </c>
      <c r="BI113" s="100">
        <v>73.400000000000006</v>
      </c>
      <c r="BJ113" s="100">
        <v>73.3</v>
      </c>
      <c r="BK113" s="100">
        <v>73.400000000000006</v>
      </c>
      <c r="BL113" s="100">
        <v>73.5</v>
      </c>
      <c r="BM113" s="100">
        <v>73.599999999999994</v>
      </c>
      <c r="BN113" s="100">
        <v>73.8</v>
      </c>
      <c r="BO113" s="100">
        <v>74</v>
      </c>
      <c r="BP113" s="100">
        <v>74.099999999999994</v>
      </c>
      <c r="BQ113" s="100">
        <v>74.099999999999994</v>
      </c>
      <c r="BR113" s="100">
        <v>74.099999999999994</v>
      </c>
      <c r="BS113" s="100">
        <v>74.099999999999994</v>
      </c>
      <c r="BT113" s="100">
        <v>74.2</v>
      </c>
      <c r="BU113" s="100">
        <v>74.2</v>
      </c>
      <c r="BV113" s="100">
        <v>74.400000000000006</v>
      </c>
      <c r="BW113" s="100">
        <v>74.400000000000006</v>
      </c>
      <c r="BX113" s="100">
        <v>74.5</v>
      </c>
      <c r="BY113" s="100">
        <v>74.5</v>
      </c>
      <c r="BZ113" s="100">
        <v>74.400000000000006</v>
      </c>
      <c r="CA113" s="100">
        <v>74.400000000000006</v>
      </c>
      <c r="CB113" s="100">
        <v>74.5</v>
      </c>
      <c r="CC113" s="100">
        <v>74.599999999999994</v>
      </c>
      <c r="CD113" s="100">
        <v>74.599999999999994</v>
      </c>
      <c r="CE113" s="100">
        <v>74.599999999999994</v>
      </c>
      <c r="CF113" s="100">
        <v>74.8</v>
      </c>
      <c r="CG113" s="100">
        <v>74.8</v>
      </c>
      <c r="CH113" s="100">
        <v>74.900000000000006</v>
      </c>
      <c r="CI113" s="100">
        <v>75.099999999999994</v>
      </c>
      <c r="CJ113" s="100">
        <v>75.3</v>
      </c>
      <c r="CK113" s="100">
        <v>75.099999999999994</v>
      </c>
      <c r="CL113" s="100">
        <v>75</v>
      </c>
      <c r="CM113" s="103">
        <v>75.099999999999994</v>
      </c>
      <c r="CN113" s="100">
        <v>75.3</v>
      </c>
      <c r="CO113" s="100">
        <v>75.2</v>
      </c>
      <c r="CP113" s="100">
        <v>75.3</v>
      </c>
      <c r="CQ113" s="100">
        <v>75.400000000000006</v>
      </c>
      <c r="CR113" s="100">
        <v>75.599999999999994</v>
      </c>
      <c r="CS113" s="100">
        <v>75.599999999999994</v>
      </c>
      <c r="CT113" s="100">
        <v>75.7</v>
      </c>
      <c r="CU113" s="100">
        <v>75.599999999999994</v>
      </c>
      <c r="CV113" s="100">
        <v>75.5</v>
      </c>
      <c r="CW113" s="100">
        <v>75.5</v>
      </c>
      <c r="CX113" s="100">
        <v>75.5</v>
      </c>
      <c r="CY113" s="102">
        <v>75.7</v>
      </c>
      <c r="CZ113" s="100"/>
      <c r="DA113" s="100"/>
      <c r="DB113" s="100"/>
      <c r="DC113" s="100"/>
      <c r="DD113" s="100"/>
      <c r="DE113" s="100"/>
      <c r="DF113" s="100"/>
      <c r="DG113" s="100"/>
      <c r="DH113" s="100"/>
      <c r="DI113" s="100"/>
      <c r="DJ113" s="100"/>
      <c r="DK113" s="100"/>
      <c r="DL113" s="100"/>
      <c r="DM113" s="100"/>
      <c r="DN113" s="100"/>
      <c r="DO113" s="100"/>
      <c r="DP113" s="100"/>
      <c r="DQ113" s="100"/>
      <c r="DR113" s="100"/>
      <c r="DS113" s="100"/>
      <c r="DT113" s="100"/>
      <c r="DU113" s="100"/>
      <c r="DV113" s="100"/>
      <c r="DW113" s="100"/>
      <c r="DX113" s="100"/>
      <c r="DY113" s="100"/>
      <c r="DZ113" s="100"/>
      <c r="EA113" s="100"/>
      <c r="EB113" s="100"/>
      <c r="EC113" s="100"/>
      <c r="ED113" s="100"/>
      <c r="EE113" s="100"/>
      <c r="EF113" s="100"/>
      <c r="EG113" s="100"/>
      <c r="EH113" s="100"/>
      <c r="EI113" s="100"/>
      <c r="EJ113" s="100"/>
      <c r="EK113" s="100"/>
      <c r="EL113" s="100"/>
      <c r="EM113" s="100"/>
      <c r="EN113" s="100"/>
      <c r="EO113" s="100"/>
      <c r="EP113" s="100"/>
      <c r="EQ113" s="106"/>
      <c r="ER113" s="106"/>
      <c r="ES113" s="106"/>
      <c r="ET113" s="106"/>
      <c r="EU113" s="106"/>
      <c r="EV113" s="106"/>
      <c r="EW113" s="106"/>
      <c r="EX113" s="106"/>
      <c r="EY113" s="106"/>
      <c r="EZ113" s="106"/>
      <c r="FA113" s="106"/>
      <c r="FB113" s="106"/>
      <c r="FC113" s="106"/>
      <c r="FD113" s="106"/>
      <c r="FE113" s="106"/>
      <c r="FF113" s="106"/>
      <c r="FG113" s="106"/>
      <c r="FH113" s="106"/>
      <c r="FI113" s="106"/>
      <c r="FJ113" s="106"/>
      <c r="FK113" s="106"/>
      <c r="FL113" s="106"/>
      <c r="FM113" s="106"/>
      <c r="FN113" s="106"/>
      <c r="FO113" s="106"/>
      <c r="FP113" s="106"/>
      <c r="FQ113" s="106"/>
      <c r="FR113" s="106"/>
      <c r="FS113" s="106"/>
      <c r="FT113" s="106"/>
      <c r="FU113" s="106"/>
      <c r="FV113" s="106"/>
      <c r="FW113" s="106"/>
      <c r="FX113" s="106"/>
      <c r="FY113" s="106"/>
      <c r="FZ113" s="106"/>
      <c r="GA113" s="106"/>
      <c r="GB113" s="106"/>
      <c r="GC113" s="106"/>
      <c r="GD113" s="106"/>
      <c r="GE113" s="106"/>
      <c r="GF113" s="106"/>
      <c r="GG113" s="159"/>
    </row>
    <row r="114" spans="2:189" x14ac:dyDescent="0.2">
      <c r="B114" s="97">
        <v>43466</v>
      </c>
      <c r="C114" s="100">
        <v>70.400000000000006</v>
      </c>
      <c r="D114" s="100">
        <v>70.599999999999994</v>
      </c>
      <c r="E114" s="100">
        <v>70.599999999999994</v>
      </c>
      <c r="F114" s="100">
        <v>70.7</v>
      </c>
      <c r="G114" s="100">
        <v>70.5</v>
      </c>
      <c r="H114" s="100">
        <v>70.3</v>
      </c>
      <c r="I114" s="100">
        <v>70.400000000000006</v>
      </c>
      <c r="J114" s="100">
        <v>70.5</v>
      </c>
      <c r="K114" s="100">
        <v>70.599999999999994</v>
      </c>
      <c r="L114" s="100">
        <v>70.5</v>
      </c>
      <c r="M114" s="100">
        <v>70.5</v>
      </c>
      <c r="N114" s="100">
        <v>70.5</v>
      </c>
      <c r="O114" s="100">
        <v>70.5</v>
      </c>
      <c r="P114" s="100">
        <v>70.2</v>
      </c>
      <c r="Q114" s="100">
        <v>70.2</v>
      </c>
      <c r="R114" s="100">
        <v>70.099999999999994</v>
      </c>
      <c r="S114" s="100">
        <v>70.099999999999994</v>
      </c>
      <c r="T114" s="100">
        <v>70.099999999999994</v>
      </c>
      <c r="U114" s="100">
        <v>70.2</v>
      </c>
      <c r="V114" s="100">
        <v>70.3</v>
      </c>
      <c r="W114" s="100">
        <v>70.3</v>
      </c>
      <c r="X114" s="100">
        <v>70.5</v>
      </c>
      <c r="Y114" s="100">
        <v>70.5</v>
      </c>
      <c r="Z114" s="100">
        <v>70.7</v>
      </c>
      <c r="AA114" s="100">
        <v>70.900000000000006</v>
      </c>
      <c r="AB114" s="100">
        <v>71.099999999999994</v>
      </c>
      <c r="AC114" s="100">
        <v>71.2</v>
      </c>
      <c r="AD114" s="100">
        <v>71.099999999999994</v>
      </c>
      <c r="AE114" s="100">
        <v>71.099999999999994</v>
      </c>
      <c r="AF114" s="100">
        <v>71.3</v>
      </c>
      <c r="AG114" s="100">
        <v>71.400000000000006</v>
      </c>
      <c r="AH114" s="100">
        <v>71.400000000000006</v>
      </c>
      <c r="AI114" s="100">
        <v>71.2</v>
      </c>
      <c r="AJ114" s="100">
        <v>71.2</v>
      </c>
      <c r="AK114" s="100">
        <v>71.2</v>
      </c>
      <c r="AL114" s="100">
        <v>71.2</v>
      </c>
      <c r="AM114" s="100">
        <v>71.3</v>
      </c>
      <c r="AN114" s="100">
        <v>71.5</v>
      </c>
      <c r="AO114" s="100">
        <v>71.5</v>
      </c>
      <c r="AP114" s="100">
        <v>71.7</v>
      </c>
      <c r="AQ114" s="100">
        <v>71.900000000000006</v>
      </c>
      <c r="AR114" s="100">
        <v>72</v>
      </c>
      <c r="AS114" s="100">
        <v>72</v>
      </c>
      <c r="AT114" s="100">
        <v>72.099999999999994</v>
      </c>
      <c r="AU114" s="100">
        <v>72.400000000000006</v>
      </c>
      <c r="AV114" s="100">
        <v>72.5</v>
      </c>
      <c r="AW114" s="100">
        <v>72.7</v>
      </c>
      <c r="AX114" s="100">
        <v>72.900000000000006</v>
      </c>
      <c r="AY114" s="100">
        <v>72.8</v>
      </c>
      <c r="AZ114" s="100">
        <v>72.8</v>
      </c>
      <c r="BA114" s="100">
        <v>73</v>
      </c>
      <c r="BB114" s="100">
        <v>73</v>
      </c>
      <c r="BC114" s="100">
        <v>73</v>
      </c>
      <c r="BD114" s="100">
        <v>73</v>
      </c>
      <c r="BE114" s="100">
        <v>73.2</v>
      </c>
      <c r="BF114" s="100">
        <v>73.3</v>
      </c>
      <c r="BG114" s="100">
        <v>73.400000000000006</v>
      </c>
      <c r="BH114" s="100">
        <v>73.400000000000006</v>
      </c>
      <c r="BI114" s="100">
        <v>73.400000000000006</v>
      </c>
      <c r="BJ114" s="100">
        <v>73.3</v>
      </c>
      <c r="BK114" s="100">
        <v>73.400000000000006</v>
      </c>
      <c r="BL114" s="100">
        <v>73.5</v>
      </c>
      <c r="BM114" s="100">
        <v>73.599999999999994</v>
      </c>
      <c r="BN114" s="100">
        <v>73.8</v>
      </c>
      <c r="BO114" s="100">
        <v>74</v>
      </c>
      <c r="BP114" s="100">
        <v>74.099999999999994</v>
      </c>
      <c r="BQ114" s="100">
        <v>74.099999999999994</v>
      </c>
      <c r="BR114" s="100">
        <v>74.099999999999994</v>
      </c>
      <c r="BS114" s="100">
        <v>74.099999999999994</v>
      </c>
      <c r="BT114" s="100">
        <v>74.2</v>
      </c>
      <c r="BU114" s="100">
        <v>74.2</v>
      </c>
      <c r="BV114" s="100">
        <v>74.400000000000006</v>
      </c>
      <c r="BW114" s="100">
        <v>74.400000000000006</v>
      </c>
      <c r="BX114" s="100">
        <v>74.5</v>
      </c>
      <c r="BY114" s="100">
        <v>74.5</v>
      </c>
      <c r="BZ114" s="100">
        <v>74.400000000000006</v>
      </c>
      <c r="CA114" s="100">
        <v>74.400000000000006</v>
      </c>
      <c r="CB114" s="100">
        <v>74.5</v>
      </c>
      <c r="CC114" s="100">
        <v>74.599999999999994</v>
      </c>
      <c r="CD114" s="100">
        <v>74.599999999999994</v>
      </c>
      <c r="CE114" s="100">
        <v>74.599999999999994</v>
      </c>
      <c r="CF114" s="100">
        <v>74.8</v>
      </c>
      <c r="CG114" s="100">
        <v>74.8</v>
      </c>
      <c r="CH114" s="100">
        <v>74.900000000000006</v>
      </c>
      <c r="CI114" s="100">
        <v>75.099999999999994</v>
      </c>
      <c r="CJ114" s="100">
        <v>75.3</v>
      </c>
      <c r="CK114" s="100">
        <v>75.099999999999994</v>
      </c>
      <c r="CL114" s="100">
        <v>75</v>
      </c>
      <c r="CM114" s="100">
        <v>75.099999999999994</v>
      </c>
      <c r="CN114" s="103">
        <v>75.3</v>
      </c>
      <c r="CO114" s="100">
        <v>75.2</v>
      </c>
      <c r="CP114" s="100">
        <v>75.3</v>
      </c>
      <c r="CQ114" s="100">
        <v>75.400000000000006</v>
      </c>
      <c r="CR114" s="100">
        <v>75.599999999999994</v>
      </c>
      <c r="CS114" s="100">
        <v>75.599999999999994</v>
      </c>
      <c r="CT114" s="100">
        <v>75.7</v>
      </c>
      <c r="CU114" s="100">
        <v>75.599999999999994</v>
      </c>
      <c r="CV114" s="100">
        <v>75.5</v>
      </c>
      <c r="CW114" s="100">
        <v>75.5</v>
      </c>
      <c r="CX114" s="100">
        <v>75.5</v>
      </c>
      <c r="CY114" s="100">
        <v>75.7</v>
      </c>
      <c r="CZ114" s="102">
        <v>75.8</v>
      </c>
      <c r="DA114" s="100"/>
      <c r="DB114" s="100"/>
      <c r="DC114" s="100"/>
      <c r="DD114" s="100"/>
      <c r="DE114" s="100"/>
      <c r="DF114" s="100"/>
      <c r="DG114" s="100"/>
      <c r="DH114" s="100"/>
      <c r="DI114" s="100"/>
      <c r="DJ114" s="100"/>
      <c r="DK114" s="100"/>
      <c r="DL114" s="100"/>
      <c r="DM114" s="100"/>
      <c r="DN114" s="100"/>
      <c r="DO114" s="100"/>
      <c r="DP114" s="100"/>
      <c r="DQ114" s="100"/>
      <c r="DR114" s="100"/>
      <c r="DS114" s="100"/>
      <c r="DT114" s="100"/>
      <c r="DU114" s="100"/>
      <c r="DV114" s="100"/>
      <c r="DW114" s="100"/>
      <c r="DX114" s="100"/>
      <c r="DY114" s="100"/>
      <c r="DZ114" s="100"/>
      <c r="EA114" s="100"/>
      <c r="EB114" s="100"/>
      <c r="EC114" s="100"/>
      <c r="ED114" s="100"/>
      <c r="EE114" s="100"/>
      <c r="EF114" s="100"/>
      <c r="EG114" s="100"/>
      <c r="EH114" s="100"/>
      <c r="EI114" s="100"/>
      <c r="EJ114" s="100"/>
      <c r="EK114" s="100"/>
      <c r="EL114" s="100"/>
      <c r="EM114" s="100"/>
      <c r="EN114" s="100"/>
      <c r="EO114" s="100"/>
      <c r="EP114" s="100"/>
      <c r="EQ114" s="106"/>
      <c r="ER114" s="106"/>
      <c r="ES114" s="106"/>
      <c r="ET114" s="106"/>
      <c r="EU114" s="106"/>
      <c r="EV114" s="106"/>
      <c r="EW114" s="106"/>
      <c r="EX114" s="106"/>
      <c r="EY114" s="106"/>
      <c r="EZ114" s="106"/>
      <c r="FA114" s="106"/>
      <c r="FB114" s="106"/>
      <c r="FC114" s="106"/>
      <c r="FD114" s="106"/>
      <c r="FE114" s="106"/>
      <c r="FF114" s="106"/>
      <c r="FG114" s="106"/>
      <c r="FH114" s="106"/>
      <c r="FI114" s="106"/>
      <c r="FJ114" s="106"/>
      <c r="FK114" s="106"/>
      <c r="FL114" s="106"/>
      <c r="FM114" s="106"/>
      <c r="FN114" s="106"/>
      <c r="FO114" s="106"/>
      <c r="FP114" s="106"/>
      <c r="FQ114" s="106"/>
      <c r="FR114" s="106"/>
      <c r="FS114" s="106"/>
      <c r="FT114" s="106"/>
      <c r="FU114" s="106"/>
      <c r="FV114" s="106"/>
      <c r="FW114" s="106"/>
      <c r="FX114" s="106"/>
      <c r="FY114" s="106"/>
      <c r="FZ114" s="106"/>
      <c r="GA114" s="106"/>
      <c r="GB114" s="106"/>
      <c r="GC114" s="106"/>
      <c r="GD114" s="106"/>
      <c r="GE114" s="106"/>
      <c r="GF114" s="106"/>
      <c r="GG114" s="159"/>
    </row>
    <row r="115" spans="2:189" x14ac:dyDescent="0.2">
      <c r="B115" s="97">
        <v>43497</v>
      </c>
      <c r="C115" s="100">
        <v>70.400000000000006</v>
      </c>
      <c r="D115" s="100">
        <v>70.599999999999994</v>
      </c>
      <c r="E115" s="100">
        <v>70.599999999999994</v>
      </c>
      <c r="F115" s="100">
        <v>70.7</v>
      </c>
      <c r="G115" s="100">
        <v>70.5</v>
      </c>
      <c r="H115" s="100">
        <v>70.3</v>
      </c>
      <c r="I115" s="100">
        <v>70.400000000000006</v>
      </c>
      <c r="J115" s="100">
        <v>70.5</v>
      </c>
      <c r="K115" s="100">
        <v>70.599999999999994</v>
      </c>
      <c r="L115" s="100">
        <v>70.5</v>
      </c>
      <c r="M115" s="100">
        <v>70.5</v>
      </c>
      <c r="N115" s="100">
        <v>70.5</v>
      </c>
      <c r="O115" s="100">
        <v>70.5</v>
      </c>
      <c r="P115" s="100">
        <v>70.2</v>
      </c>
      <c r="Q115" s="100">
        <v>70.2</v>
      </c>
      <c r="R115" s="100">
        <v>70.099999999999994</v>
      </c>
      <c r="S115" s="100">
        <v>70.099999999999994</v>
      </c>
      <c r="T115" s="100">
        <v>70.099999999999994</v>
      </c>
      <c r="U115" s="100">
        <v>70.2</v>
      </c>
      <c r="V115" s="100">
        <v>70.2</v>
      </c>
      <c r="W115" s="100">
        <v>70.3</v>
      </c>
      <c r="X115" s="100">
        <v>70.5</v>
      </c>
      <c r="Y115" s="100">
        <v>70.5</v>
      </c>
      <c r="Z115" s="100">
        <v>70.7</v>
      </c>
      <c r="AA115" s="100">
        <v>70.900000000000006</v>
      </c>
      <c r="AB115" s="100">
        <v>71.099999999999994</v>
      </c>
      <c r="AC115" s="100">
        <v>71.2</v>
      </c>
      <c r="AD115" s="100">
        <v>71.099999999999994</v>
      </c>
      <c r="AE115" s="100">
        <v>71.099999999999994</v>
      </c>
      <c r="AF115" s="100">
        <v>71.3</v>
      </c>
      <c r="AG115" s="100">
        <v>71.400000000000006</v>
      </c>
      <c r="AH115" s="100">
        <v>71.400000000000006</v>
      </c>
      <c r="AI115" s="100">
        <v>71.2</v>
      </c>
      <c r="AJ115" s="100">
        <v>71.2</v>
      </c>
      <c r="AK115" s="100">
        <v>71.2</v>
      </c>
      <c r="AL115" s="100">
        <v>71.2</v>
      </c>
      <c r="AM115" s="100">
        <v>71.3</v>
      </c>
      <c r="AN115" s="100">
        <v>71.5</v>
      </c>
      <c r="AO115" s="100">
        <v>71.5</v>
      </c>
      <c r="AP115" s="100">
        <v>71.7</v>
      </c>
      <c r="AQ115" s="100">
        <v>71.900000000000006</v>
      </c>
      <c r="AR115" s="100">
        <v>72</v>
      </c>
      <c r="AS115" s="100">
        <v>72</v>
      </c>
      <c r="AT115" s="100">
        <v>72.099999999999994</v>
      </c>
      <c r="AU115" s="100">
        <v>72.400000000000006</v>
      </c>
      <c r="AV115" s="100">
        <v>72.5</v>
      </c>
      <c r="AW115" s="100">
        <v>72.7</v>
      </c>
      <c r="AX115" s="100">
        <v>72.900000000000006</v>
      </c>
      <c r="AY115" s="100">
        <v>72.8</v>
      </c>
      <c r="AZ115" s="100">
        <v>72.8</v>
      </c>
      <c r="BA115" s="100">
        <v>73</v>
      </c>
      <c r="BB115" s="100">
        <v>73</v>
      </c>
      <c r="BC115" s="100">
        <v>73</v>
      </c>
      <c r="BD115" s="100">
        <v>73</v>
      </c>
      <c r="BE115" s="100">
        <v>73.2</v>
      </c>
      <c r="BF115" s="100">
        <v>73.3</v>
      </c>
      <c r="BG115" s="100">
        <v>73.400000000000006</v>
      </c>
      <c r="BH115" s="100">
        <v>73.400000000000006</v>
      </c>
      <c r="BI115" s="100">
        <v>73.400000000000006</v>
      </c>
      <c r="BJ115" s="100">
        <v>73.3</v>
      </c>
      <c r="BK115" s="100">
        <v>73.400000000000006</v>
      </c>
      <c r="BL115" s="100">
        <v>73.5</v>
      </c>
      <c r="BM115" s="100">
        <v>73.599999999999994</v>
      </c>
      <c r="BN115" s="100">
        <v>73.8</v>
      </c>
      <c r="BO115" s="100">
        <v>74</v>
      </c>
      <c r="BP115" s="100">
        <v>74</v>
      </c>
      <c r="BQ115" s="100">
        <v>74.099999999999994</v>
      </c>
      <c r="BR115" s="100">
        <v>74.099999999999994</v>
      </c>
      <c r="BS115" s="100">
        <v>74.099999999999994</v>
      </c>
      <c r="BT115" s="100">
        <v>74.099999999999994</v>
      </c>
      <c r="BU115" s="100">
        <v>74.2</v>
      </c>
      <c r="BV115" s="100">
        <v>74.400000000000006</v>
      </c>
      <c r="BW115" s="100">
        <v>74.400000000000006</v>
      </c>
      <c r="BX115" s="100">
        <v>74.5</v>
      </c>
      <c r="BY115" s="100">
        <v>74.5</v>
      </c>
      <c r="BZ115" s="100">
        <v>74.400000000000006</v>
      </c>
      <c r="CA115" s="100">
        <v>74.400000000000006</v>
      </c>
      <c r="CB115" s="100">
        <v>74.400000000000006</v>
      </c>
      <c r="CC115" s="100">
        <v>74.599999999999994</v>
      </c>
      <c r="CD115" s="100">
        <v>74.5</v>
      </c>
      <c r="CE115" s="100">
        <v>74.599999999999994</v>
      </c>
      <c r="CF115" s="100">
        <v>74.8</v>
      </c>
      <c r="CG115" s="100">
        <v>74.8</v>
      </c>
      <c r="CH115" s="100">
        <v>74.900000000000006</v>
      </c>
      <c r="CI115" s="100">
        <v>75.099999999999994</v>
      </c>
      <c r="CJ115" s="100">
        <v>75.3</v>
      </c>
      <c r="CK115" s="100">
        <v>75.099999999999994</v>
      </c>
      <c r="CL115" s="100">
        <v>75</v>
      </c>
      <c r="CM115" s="100">
        <v>75.099999999999994</v>
      </c>
      <c r="CN115" s="100">
        <v>75.3</v>
      </c>
      <c r="CO115" s="103">
        <v>75.2</v>
      </c>
      <c r="CP115" s="100">
        <v>75.3</v>
      </c>
      <c r="CQ115" s="100">
        <v>75.400000000000006</v>
      </c>
      <c r="CR115" s="100">
        <v>75.599999999999994</v>
      </c>
      <c r="CS115" s="100">
        <v>75.599999999999994</v>
      </c>
      <c r="CT115" s="100">
        <v>75.599999999999994</v>
      </c>
      <c r="CU115" s="100">
        <v>75.5</v>
      </c>
      <c r="CV115" s="100">
        <v>75.5</v>
      </c>
      <c r="CW115" s="100">
        <v>75.599999999999994</v>
      </c>
      <c r="CX115" s="100">
        <v>75.599999999999994</v>
      </c>
      <c r="CY115" s="100">
        <v>75.7</v>
      </c>
      <c r="CZ115" s="100">
        <v>75.8</v>
      </c>
      <c r="DA115" s="102">
        <v>75.8</v>
      </c>
      <c r="DB115" s="100"/>
      <c r="DC115" s="100"/>
      <c r="DD115" s="100"/>
      <c r="DE115" s="100"/>
      <c r="DF115" s="100"/>
      <c r="DG115" s="100"/>
      <c r="DH115" s="100"/>
      <c r="DI115" s="100"/>
      <c r="DJ115" s="100"/>
      <c r="DK115" s="100"/>
      <c r="DL115" s="100"/>
      <c r="DM115" s="100"/>
      <c r="DN115" s="100"/>
      <c r="DO115" s="100"/>
      <c r="DP115" s="100"/>
      <c r="DQ115" s="100"/>
      <c r="DR115" s="100"/>
      <c r="DS115" s="100"/>
      <c r="DT115" s="100"/>
      <c r="DU115" s="100"/>
      <c r="DV115" s="100"/>
      <c r="DW115" s="100"/>
      <c r="DX115" s="100"/>
      <c r="DY115" s="100"/>
      <c r="DZ115" s="100"/>
      <c r="EA115" s="100"/>
      <c r="EB115" s="100"/>
      <c r="EC115" s="100"/>
      <c r="ED115" s="100"/>
      <c r="EE115" s="100"/>
      <c r="EF115" s="100"/>
      <c r="EG115" s="100"/>
      <c r="EH115" s="100"/>
      <c r="EI115" s="100"/>
      <c r="EJ115" s="100"/>
      <c r="EK115" s="100"/>
      <c r="EL115" s="100"/>
      <c r="EM115" s="100"/>
      <c r="EN115" s="100"/>
      <c r="EO115" s="100"/>
      <c r="EP115" s="100"/>
      <c r="EQ115" s="106"/>
      <c r="ER115" s="106"/>
      <c r="ES115" s="106"/>
      <c r="ET115" s="106"/>
      <c r="EU115" s="106"/>
      <c r="EV115" s="106"/>
      <c r="EW115" s="106"/>
      <c r="EX115" s="106"/>
      <c r="EY115" s="106"/>
      <c r="EZ115" s="106"/>
      <c r="FA115" s="106"/>
      <c r="FB115" s="106"/>
      <c r="FC115" s="106"/>
      <c r="FD115" s="106"/>
      <c r="FE115" s="106"/>
      <c r="FF115" s="106"/>
      <c r="FG115" s="106"/>
      <c r="FH115" s="106"/>
      <c r="FI115" s="106"/>
      <c r="FJ115" s="106"/>
      <c r="FK115" s="106"/>
      <c r="FL115" s="106"/>
      <c r="FM115" s="106"/>
      <c r="FN115" s="106"/>
      <c r="FO115" s="106"/>
      <c r="FP115" s="106"/>
      <c r="FQ115" s="106"/>
      <c r="FR115" s="106"/>
      <c r="FS115" s="106"/>
      <c r="FT115" s="106"/>
      <c r="FU115" s="106"/>
      <c r="FV115" s="106"/>
      <c r="FW115" s="106"/>
      <c r="FX115" s="106"/>
      <c r="FY115" s="106"/>
      <c r="FZ115" s="106"/>
      <c r="GA115" s="106"/>
      <c r="GB115" s="106"/>
      <c r="GC115" s="106"/>
      <c r="GD115" s="106"/>
      <c r="GE115" s="106"/>
      <c r="GF115" s="106"/>
      <c r="GG115" s="159"/>
    </row>
    <row r="116" spans="2:189" x14ac:dyDescent="0.2">
      <c r="B116" s="97">
        <v>43525</v>
      </c>
      <c r="C116" s="100">
        <v>70.400000000000006</v>
      </c>
      <c r="D116" s="100">
        <v>70.599999999999994</v>
      </c>
      <c r="E116" s="100">
        <v>70.599999999999994</v>
      </c>
      <c r="F116" s="100">
        <v>70.7</v>
      </c>
      <c r="G116" s="100">
        <v>70.5</v>
      </c>
      <c r="H116" s="100">
        <v>70.3</v>
      </c>
      <c r="I116" s="100">
        <v>70.400000000000006</v>
      </c>
      <c r="J116" s="100">
        <v>70.5</v>
      </c>
      <c r="K116" s="100">
        <v>70.599999999999994</v>
      </c>
      <c r="L116" s="100">
        <v>70.5</v>
      </c>
      <c r="M116" s="100">
        <v>70.5</v>
      </c>
      <c r="N116" s="100">
        <v>70.5</v>
      </c>
      <c r="O116" s="100">
        <v>70.5</v>
      </c>
      <c r="P116" s="100">
        <v>70.2</v>
      </c>
      <c r="Q116" s="100">
        <v>70.2</v>
      </c>
      <c r="R116" s="100">
        <v>70.099999999999994</v>
      </c>
      <c r="S116" s="100">
        <v>70.099999999999994</v>
      </c>
      <c r="T116" s="100">
        <v>70.099999999999994</v>
      </c>
      <c r="U116" s="100">
        <v>70.2</v>
      </c>
      <c r="V116" s="100">
        <v>70.2</v>
      </c>
      <c r="W116" s="100">
        <v>70.3</v>
      </c>
      <c r="X116" s="100">
        <v>70.5</v>
      </c>
      <c r="Y116" s="100">
        <v>70.5</v>
      </c>
      <c r="Z116" s="100">
        <v>70.7</v>
      </c>
      <c r="AA116" s="100">
        <v>70.900000000000006</v>
      </c>
      <c r="AB116" s="100">
        <v>71.099999999999994</v>
      </c>
      <c r="AC116" s="100">
        <v>71.2</v>
      </c>
      <c r="AD116" s="100">
        <v>71.099999999999994</v>
      </c>
      <c r="AE116" s="100">
        <v>71.099999999999994</v>
      </c>
      <c r="AF116" s="100">
        <v>71.3</v>
      </c>
      <c r="AG116" s="100">
        <v>71.400000000000006</v>
      </c>
      <c r="AH116" s="100">
        <v>71.400000000000006</v>
      </c>
      <c r="AI116" s="100">
        <v>71.2</v>
      </c>
      <c r="AJ116" s="100">
        <v>71.2</v>
      </c>
      <c r="AK116" s="100">
        <v>71.2</v>
      </c>
      <c r="AL116" s="100">
        <v>71.2</v>
      </c>
      <c r="AM116" s="100">
        <v>71.3</v>
      </c>
      <c r="AN116" s="100">
        <v>71.5</v>
      </c>
      <c r="AO116" s="100">
        <v>71.5</v>
      </c>
      <c r="AP116" s="100">
        <v>71.7</v>
      </c>
      <c r="AQ116" s="100">
        <v>71.900000000000006</v>
      </c>
      <c r="AR116" s="100">
        <v>72</v>
      </c>
      <c r="AS116" s="100">
        <v>72</v>
      </c>
      <c r="AT116" s="100">
        <v>72.099999999999994</v>
      </c>
      <c r="AU116" s="100">
        <v>72.400000000000006</v>
      </c>
      <c r="AV116" s="100">
        <v>72.5</v>
      </c>
      <c r="AW116" s="100">
        <v>72.7</v>
      </c>
      <c r="AX116" s="100">
        <v>72.900000000000006</v>
      </c>
      <c r="AY116" s="100">
        <v>72.8</v>
      </c>
      <c r="AZ116" s="100">
        <v>72.8</v>
      </c>
      <c r="BA116" s="100">
        <v>73</v>
      </c>
      <c r="BB116" s="100">
        <v>73</v>
      </c>
      <c r="BC116" s="100">
        <v>73</v>
      </c>
      <c r="BD116" s="100">
        <v>73</v>
      </c>
      <c r="BE116" s="100">
        <v>73.2</v>
      </c>
      <c r="BF116" s="100">
        <v>73.3</v>
      </c>
      <c r="BG116" s="100">
        <v>73.400000000000006</v>
      </c>
      <c r="BH116" s="100">
        <v>73.400000000000006</v>
      </c>
      <c r="BI116" s="100">
        <v>73.400000000000006</v>
      </c>
      <c r="BJ116" s="100">
        <v>73.3</v>
      </c>
      <c r="BK116" s="100">
        <v>73.400000000000006</v>
      </c>
      <c r="BL116" s="100">
        <v>73.5</v>
      </c>
      <c r="BM116" s="100">
        <v>73.599999999999994</v>
      </c>
      <c r="BN116" s="100">
        <v>73.8</v>
      </c>
      <c r="BO116" s="100">
        <v>74</v>
      </c>
      <c r="BP116" s="100">
        <v>74</v>
      </c>
      <c r="BQ116" s="100">
        <v>74.099999999999994</v>
      </c>
      <c r="BR116" s="100">
        <v>74.099999999999994</v>
      </c>
      <c r="BS116" s="100">
        <v>74.099999999999994</v>
      </c>
      <c r="BT116" s="100">
        <v>74.099999999999994</v>
      </c>
      <c r="BU116" s="100">
        <v>74.2</v>
      </c>
      <c r="BV116" s="100">
        <v>74.400000000000006</v>
      </c>
      <c r="BW116" s="100">
        <v>74.400000000000006</v>
      </c>
      <c r="BX116" s="100">
        <v>74.5</v>
      </c>
      <c r="BY116" s="100">
        <v>74.5</v>
      </c>
      <c r="BZ116" s="100">
        <v>74.400000000000006</v>
      </c>
      <c r="CA116" s="100">
        <v>74.400000000000006</v>
      </c>
      <c r="CB116" s="100">
        <v>74.400000000000006</v>
      </c>
      <c r="CC116" s="100">
        <v>74.599999999999994</v>
      </c>
      <c r="CD116" s="100">
        <v>74.5</v>
      </c>
      <c r="CE116" s="100">
        <v>74.599999999999994</v>
      </c>
      <c r="CF116" s="100">
        <v>74.8</v>
      </c>
      <c r="CG116" s="100">
        <v>74.8</v>
      </c>
      <c r="CH116" s="100">
        <v>74.900000000000006</v>
      </c>
      <c r="CI116" s="100">
        <v>75.099999999999994</v>
      </c>
      <c r="CJ116" s="100">
        <v>75.3</v>
      </c>
      <c r="CK116" s="100">
        <v>75.099999999999994</v>
      </c>
      <c r="CL116" s="100">
        <v>75</v>
      </c>
      <c r="CM116" s="100">
        <v>75.099999999999994</v>
      </c>
      <c r="CN116" s="100">
        <v>75.3</v>
      </c>
      <c r="CO116" s="100">
        <v>75.2</v>
      </c>
      <c r="CP116" s="103">
        <v>75.3</v>
      </c>
      <c r="CQ116" s="100">
        <v>75.400000000000006</v>
      </c>
      <c r="CR116" s="100">
        <v>75.599999999999994</v>
      </c>
      <c r="CS116" s="100">
        <v>75.599999999999994</v>
      </c>
      <c r="CT116" s="100">
        <v>75.599999999999994</v>
      </c>
      <c r="CU116" s="100">
        <v>75.5</v>
      </c>
      <c r="CV116" s="100">
        <v>75.5</v>
      </c>
      <c r="CW116" s="100">
        <v>75.599999999999994</v>
      </c>
      <c r="CX116" s="100">
        <v>75.599999999999994</v>
      </c>
      <c r="CY116" s="100">
        <v>75.7</v>
      </c>
      <c r="CZ116" s="100">
        <v>75.8</v>
      </c>
      <c r="DA116" s="100">
        <v>75.8</v>
      </c>
      <c r="DB116" s="102">
        <v>76.099999999999994</v>
      </c>
      <c r="DC116" s="100"/>
      <c r="DD116" s="100"/>
      <c r="DE116" s="100"/>
      <c r="DF116" s="100"/>
      <c r="DG116" s="100"/>
      <c r="DH116" s="100"/>
      <c r="DI116" s="100"/>
      <c r="DJ116" s="100"/>
      <c r="DK116" s="100"/>
      <c r="DL116" s="100"/>
      <c r="DM116" s="100"/>
      <c r="DN116" s="100"/>
      <c r="DO116" s="100"/>
      <c r="DP116" s="100"/>
      <c r="DQ116" s="100"/>
      <c r="DR116" s="100"/>
      <c r="DS116" s="100"/>
      <c r="DT116" s="100"/>
      <c r="DU116" s="100"/>
      <c r="DV116" s="100"/>
      <c r="DW116" s="100"/>
      <c r="DX116" s="100"/>
      <c r="DY116" s="100"/>
      <c r="DZ116" s="100"/>
      <c r="EA116" s="100"/>
      <c r="EB116" s="100"/>
      <c r="EC116" s="100"/>
      <c r="ED116" s="100"/>
      <c r="EE116" s="100"/>
      <c r="EF116" s="100"/>
      <c r="EG116" s="100"/>
      <c r="EH116" s="100"/>
      <c r="EI116" s="100"/>
      <c r="EJ116" s="100"/>
      <c r="EK116" s="100"/>
      <c r="EL116" s="100"/>
      <c r="EM116" s="100"/>
      <c r="EN116" s="100"/>
      <c r="EO116" s="100"/>
      <c r="EP116" s="100"/>
      <c r="EQ116" s="106"/>
      <c r="ER116" s="106"/>
      <c r="ES116" s="106"/>
      <c r="ET116" s="106"/>
      <c r="EU116" s="106"/>
      <c r="EV116" s="106"/>
      <c r="EW116" s="106"/>
      <c r="EX116" s="106"/>
      <c r="EY116" s="106"/>
      <c r="EZ116" s="106"/>
      <c r="FA116" s="106"/>
      <c r="FB116" s="106"/>
      <c r="FC116" s="106"/>
      <c r="FD116" s="106"/>
      <c r="FE116" s="106"/>
      <c r="FF116" s="106"/>
      <c r="FG116" s="106"/>
      <c r="FH116" s="106"/>
      <c r="FI116" s="106"/>
      <c r="FJ116" s="106"/>
      <c r="FK116" s="106"/>
      <c r="FL116" s="106"/>
      <c r="FM116" s="106"/>
      <c r="FN116" s="106"/>
      <c r="FO116" s="106"/>
      <c r="FP116" s="106"/>
      <c r="FQ116" s="106"/>
      <c r="FR116" s="106"/>
      <c r="FS116" s="106"/>
      <c r="FT116" s="106"/>
      <c r="FU116" s="106"/>
      <c r="FV116" s="106"/>
      <c r="FW116" s="106"/>
      <c r="FX116" s="106"/>
      <c r="FY116" s="106"/>
      <c r="FZ116" s="106"/>
      <c r="GA116" s="106"/>
      <c r="GB116" s="106"/>
      <c r="GC116" s="106"/>
      <c r="GD116" s="106"/>
      <c r="GE116" s="106"/>
      <c r="GF116" s="106"/>
      <c r="GG116" s="159"/>
    </row>
    <row r="117" spans="2:189" x14ac:dyDescent="0.2">
      <c r="B117" s="97">
        <v>43556</v>
      </c>
      <c r="C117" s="100">
        <v>70.400000000000006</v>
      </c>
      <c r="D117" s="100">
        <v>70.599999999999994</v>
      </c>
      <c r="E117" s="100">
        <v>70.599999999999994</v>
      </c>
      <c r="F117" s="100">
        <v>70.7</v>
      </c>
      <c r="G117" s="100">
        <v>70.5</v>
      </c>
      <c r="H117" s="100">
        <v>70.3</v>
      </c>
      <c r="I117" s="100">
        <v>70.400000000000006</v>
      </c>
      <c r="J117" s="100">
        <v>70.5</v>
      </c>
      <c r="K117" s="100">
        <v>70.599999999999994</v>
      </c>
      <c r="L117" s="100">
        <v>70.5</v>
      </c>
      <c r="M117" s="100">
        <v>70.5</v>
      </c>
      <c r="N117" s="100">
        <v>70.5</v>
      </c>
      <c r="O117" s="100">
        <v>70.5</v>
      </c>
      <c r="P117" s="100">
        <v>70.2</v>
      </c>
      <c r="Q117" s="100">
        <v>70.2</v>
      </c>
      <c r="R117" s="100">
        <v>70.099999999999994</v>
      </c>
      <c r="S117" s="100">
        <v>70.099999999999994</v>
      </c>
      <c r="T117" s="100">
        <v>70.099999999999994</v>
      </c>
      <c r="U117" s="100">
        <v>70.2</v>
      </c>
      <c r="V117" s="100">
        <v>70.2</v>
      </c>
      <c r="W117" s="100">
        <v>70.3</v>
      </c>
      <c r="X117" s="100">
        <v>70.5</v>
      </c>
      <c r="Y117" s="100">
        <v>70.5</v>
      </c>
      <c r="Z117" s="100">
        <v>70.7</v>
      </c>
      <c r="AA117" s="100">
        <v>70.900000000000006</v>
      </c>
      <c r="AB117" s="100">
        <v>71.099999999999994</v>
      </c>
      <c r="AC117" s="100">
        <v>71.2</v>
      </c>
      <c r="AD117" s="100">
        <v>71.099999999999994</v>
      </c>
      <c r="AE117" s="100">
        <v>71.099999999999994</v>
      </c>
      <c r="AF117" s="100">
        <v>71.3</v>
      </c>
      <c r="AG117" s="100">
        <v>71.400000000000006</v>
      </c>
      <c r="AH117" s="100">
        <v>71.400000000000006</v>
      </c>
      <c r="AI117" s="100">
        <v>71.2</v>
      </c>
      <c r="AJ117" s="100">
        <v>71.2</v>
      </c>
      <c r="AK117" s="100">
        <v>71.2</v>
      </c>
      <c r="AL117" s="100">
        <v>71.2</v>
      </c>
      <c r="AM117" s="100">
        <v>71.3</v>
      </c>
      <c r="AN117" s="100">
        <v>71.5</v>
      </c>
      <c r="AO117" s="100">
        <v>71.5</v>
      </c>
      <c r="AP117" s="100">
        <v>71.7</v>
      </c>
      <c r="AQ117" s="100">
        <v>71.900000000000006</v>
      </c>
      <c r="AR117" s="100">
        <v>72</v>
      </c>
      <c r="AS117" s="100">
        <v>72</v>
      </c>
      <c r="AT117" s="100">
        <v>72.099999999999994</v>
      </c>
      <c r="AU117" s="100">
        <v>72.400000000000006</v>
      </c>
      <c r="AV117" s="100">
        <v>72.5</v>
      </c>
      <c r="AW117" s="100">
        <v>72.7</v>
      </c>
      <c r="AX117" s="100">
        <v>72.900000000000006</v>
      </c>
      <c r="AY117" s="100">
        <v>72.8</v>
      </c>
      <c r="AZ117" s="100">
        <v>72.8</v>
      </c>
      <c r="BA117" s="100">
        <v>73</v>
      </c>
      <c r="BB117" s="100">
        <v>73</v>
      </c>
      <c r="BC117" s="100">
        <v>73</v>
      </c>
      <c r="BD117" s="100">
        <v>73</v>
      </c>
      <c r="BE117" s="100">
        <v>73.2</v>
      </c>
      <c r="BF117" s="100">
        <v>73.3</v>
      </c>
      <c r="BG117" s="100">
        <v>73.400000000000006</v>
      </c>
      <c r="BH117" s="100">
        <v>73.400000000000006</v>
      </c>
      <c r="BI117" s="100">
        <v>73.400000000000006</v>
      </c>
      <c r="BJ117" s="100">
        <v>73.3</v>
      </c>
      <c r="BK117" s="100">
        <v>73.400000000000006</v>
      </c>
      <c r="BL117" s="100">
        <v>73.5</v>
      </c>
      <c r="BM117" s="100">
        <v>73.599999999999994</v>
      </c>
      <c r="BN117" s="100">
        <v>73.8</v>
      </c>
      <c r="BO117" s="100">
        <v>74</v>
      </c>
      <c r="BP117" s="100">
        <v>74</v>
      </c>
      <c r="BQ117" s="100">
        <v>74.099999999999994</v>
      </c>
      <c r="BR117" s="100">
        <v>74.099999999999994</v>
      </c>
      <c r="BS117" s="100">
        <v>74.099999999999994</v>
      </c>
      <c r="BT117" s="100">
        <v>74.099999999999994</v>
      </c>
      <c r="BU117" s="100">
        <v>74.2</v>
      </c>
      <c r="BV117" s="100">
        <v>74.400000000000006</v>
      </c>
      <c r="BW117" s="100">
        <v>74.400000000000006</v>
      </c>
      <c r="BX117" s="100">
        <v>74.5</v>
      </c>
      <c r="BY117" s="100">
        <v>74.5</v>
      </c>
      <c r="BZ117" s="100">
        <v>74.400000000000006</v>
      </c>
      <c r="CA117" s="100">
        <v>74.400000000000006</v>
      </c>
      <c r="CB117" s="100">
        <v>74.400000000000006</v>
      </c>
      <c r="CC117" s="100">
        <v>74.599999999999994</v>
      </c>
      <c r="CD117" s="100">
        <v>74.5</v>
      </c>
      <c r="CE117" s="100">
        <v>74.599999999999994</v>
      </c>
      <c r="CF117" s="100">
        <v>74.8</v>
      </c>
      <c r="CG117" s="100">
        <v>74.8</v>
      </c>
      <c r="CH117" s="100">
        <v>74.900000000000006</v>
      </c>
      <c r="CI117" s="100">
        <v>75.099999999999994</v>
      </c>
      <c r="CJ117" s="100">
        <v>75.3</v>
      </c>
      <c r="CK117" s="100">
        <v>75.099999999999994</v>
      </c>
      <c r="CL117" s="100">
        <v>75</v>
      </c>
      <c r="CM117" s="100">
        <v>75.099999999999994</v>
      </c>
      <c r="CN117" s="100">
        <v>75.3</v>
      </c>
      <c r="CO117" s="100">
        <v>75.2</v>
      </c>
      <c r="CP117" s="100">
        <v>75.3</v>
      </c>
      <c r="CQ117" s="103">
        <v>75.400000000000006</v>
      </c>
      <c r="CR117" s="100">
        <v>75.599999999999994</v>
      </c>
      <c r="CS117" s="100">
        <v>75.599999999999994</v>
      </c>
      <c r="CT117" s="100">
        <v>75.599999999999994</v>
      </c>
      <c r="CU117" s="100">
        <v>75.5</v>
      </c>
      <c r="CV117" s="100">
        <v>75.5</v>
      </c>
      <c r="CW117" s="100">
        <v>75.599999999999994</v>
      </c>
      <c r="CX117" s="100">
        <v>75.599999999999994</v>
      </c>
      <c r="CY117" s="100">
        <v>75.7</v>
      </c>
      <c r="CZ117" s="100">
        <v>75.8</v>
      </c>
      <c r="DA117" s="100">
        <v>75.8</v>
      </c>
      <c r="DB117" s="100">
        <v>76.099999999999994</v>
      </c>
      <c r="DC117" s="102">
        <v>76.099999999999994</v>
      </c>
      <c r="DD117" s="100"/>
      <c r="DE117" s="100"/>
      <c r="DF117" s="100"/>
      <c r="DG117" s="100"/>
      <c r="DH117" s="100"/>
      <c r="DI117" s="100"/>
      <c r="DJ117" s="100"/>
      <c r="DK117" s="100"/>
      <c r="DL117" s="100"/>
      <c r="DM117" s="100"/>
      <c r="DN117" s="100"/>
      <c r="DO117" s="100"/>
      <c r="DP117" s="100"/>
      <c r="DQ117" s="100"/>
      <c r="DR117" s="100"/>
      <c r="DS117" s="100"/>
      <c r="DT117" s="100"/>
      <c r="DU117" s="100"/>
      <c r="DV117" s="100"/>
      <c r="DW117" s="100"/>
      <c r="DX117" s="100"/>
      <c r="DY117" s="100"/>
      <c r="DZ117" s="100"/>
      <c r="EA117" s="100"/>
      <c r="EB117" s="100"/>
      <c r="EC117" s="100"/>
      <c r="ED117" s="100"/>
      <c r="EE117" s="100"/>
      <c r="EF117" s="100"/>
      <c r="EG117" s="100"/>
      <c r="EH117" s="100"/>
      <c r="EI117" s="100"/>
      <c r="EJ117" s="100"/>
      <c r="EK117" s="100"/>
      <c r="EL117" s="100"/>
      <c r="EM117" s="100"/>
      <c r="EN117" s="100"/>
      <c r="EO117" s="100"/>
      <c r="EP117" s="100"/>
      <c r="EQ117" s="106"/>
      <c r="ER117" s="106"/>
      <c r="ES117" s="106"/>
      <c r="ET117" s="106"/>
      <c r="EU117" s="106"/>
      <c r="EV117" s="106"/>
      <c r="EW117" s="106"/>
      <c r="EX117" s="106"/>
      <c r="EY117" s="106"/>
      <c r="EZ117" s="106"/>
      <c r="FA117" s="106"/>
      <c r="FB117" s="106"/>
      <c r="FC117" s="106"/>
      <c r="FD117" s="106"/>
      <c r="FE117" s="106"/>
      <c r="FF117" s="106"/>
      <c r="FG117" s="106"/>
      <c r="FH117" s="106"/>
      <c r="FI117" s="106"/>
      <c r="FJ117" s="106"/>
      <c r="FK117" s="106"/>
      <c r="FL117" s="106"/>
      <c r="FM117" s="106"/>
      <c r="FN117" s="106"/>
      <c r="FO117" s="106"/>
      <c r="FP117" s="106"/>
      <c r="FQ117" s="106"/>
      <c r="FR117" s="106"/>
      <c r="FS117" s="106"/>
      <c r="FT117" s="106"/>
      <c r="FU117" s="106"/>
      <c r="FV117" s="106"/>
      <c r="FW117" s="106"/>
      <c r="FX117" s="106"/>
      <c r="FY117" s="106"/>
      <c r="FZ117" s="106"/>
      <c r="GA117" s="106"/>
      <c r="GB117" s="106"/>
      <c r="GC117" s="106"/>
      <c r="GD117" s="106"/>
      <c r="GE117" s="106"/>
      <c r="GF117" s="106"/>
      <c r="GG117" s="159"/>
    </row>
    <row r="118" spans="2:189" x14ac:dyDescent="0.2">
      <c r="B118" s="97">
        <v>43586</v>
      </c>
      <c r="C118" s="100">
        <v>70.400000000000006</v>
      </c>
      <c r="D118" s="100">
        <v>70.599999999999994</v>
      </c>
      <c r="E118" s="100">
        <v>70.599999999999994</v>
      </c>
      <c r="F118" s="100">
        <v>70.7</v>
      </c>
      <c r="G118" s="100">
        <v>70.5</v>
      </c>
      <c r="H118" s="100">
        <v>70.3</v>
      </c>
      <c r="I118" s="100">
        <v>70.400000000000006</v>
      </c>
      <c r="J118" s="100">
        <v>70.5</v>
      </c>
      <c r="K118" s="100">
        <v>70.599999999999994</v>
      </c>
      <c r="L118" s="100">
        <v>70.5</v>
      </c>
      <c r="M118" s="100">
        <v>70.5</v>
      </c>
      <c r="N118" s="100">
        <v>70.5</v>
      </c>
      <c r="O118" s="100">
        <v>70.5</v>
      </c>
      <c r="P118" s="100">
        <v>70.2</v>
      </c>
      <c r="Q118" s="100">
        <v>70.2</v>
      </c>
      <c r="R118" s="100">
        <v>70.099999999999994</v>
      </c>
      <c r="S118" s="100">
        <v>70.099999999999994</v>
      </c>
      <c r="T118" s="100">
        <v>70.099999999999994</v>
      </c>
      <c r="U118" s="100">
        <v>70.2</v>
      </c>
      <c r="V118" s="100">
        <v>70.2</v>
      </c>
      <c r="W118" s="100">
        <v>70.3</v>
      </c>
      <c r="X118" s="100">
        <v>70.5</v>
      </c>
      <c r="Y118" s="100">
        <v>70.5</v>
      </c>
      <c r="Z118" s="100">
        <v>70.7</v>
      </c>
      <c r="AA118" s="100">
        <v>70.900000000000006</v>
      </c>
      <c r="AB118" s="100">
        <v>71.099999999999994</v>
      </c>
      <c r="AC118" s="100">
        <v>71.2</v>
      </c>
      <c r="AD118" s="100">
        <v>71.099999999999994</v>
      </c>
      <c r="AE118" s="100">
        <v>71.099999999999994</v>
      </c>
      <c r="AF118" s="100">
        <v>71.3</v>
      </c>
      <c r="AG118" s="100">
        <v>71.400000000000006</v>
      </c>
      <c r="AH118" s="100">
        <v>71.400000000000006</v>
      </c>
      <c r="AI118" s="100">
        <v>71.2</v>
      </c>
      <c r="AJ118" s="100">
        <v>71.2</v>
      </c>
      <c r="AK118" s="100">
        <v>71.2</v>
      </c>
      <c r="AL118" s="100">
        <v>71.2</v>
      </c>
      <c r="AM118" s="100">
        <v>71.3</v>
      </c>
      <c r="AN118" s="100">
        <v>71.5</v>
      </c>
      <c r="AO118" s="100">
        <v>71.5</v>
      </c>
      <c r="AP118" s="100">
        <v>71.7</v>
      </c>
      <c r="AQ118" s="100">
        <v>71.900000000000006</v>
      </c>
      <c r="AR118" s="100">
        <v>72</v>
      </c>
      <c r="AS118" s="100">
        <v>72</v>
      </c>
      <c r="AT118" s="100">
        <v>72.099999999999994</v>
      </c>
      <c r="AU118" s="100">
        <v>72.400000000000006</v>
      </c>
      <c r="AV118" s="100">
        <v>72.5</v>
      </c>
      <c r="AW118" s="100">
        <v>72.7</v>
      </c>
      <c r="AX118" s="100">
        <v>72.900000000000006</v>
      </c>
      <c r="AY118" s="100">
        <v>72.8</v>
      </c>
      <c r="AZ118" s="100">
        <v>72.8</v>
      </c>
      <c r="BA118" s="100">
        <v>73</v>
      </c>
      <c r="BB118" s="100">
        <v>73</v>
      </c>
      <c r="BC118" s="100">
        <v>73</v>
      </c>
      <c r="BD118" s="100">
        <v>73</v>
      </c>
      <c r="BE118" s="100">
        <v>73.2</v>
      </c>
      <c r="BF118" s="100">
        <v>73.3</v>
      </c>
      <c r="BG118" s="100">
        <v>73.400000000000006</v>
      </c>
      <c r="BH118" s="100">
        <v>73.400000000000006</v>
      </c>
      <c r="BI118" s="100">
        <v>73.400000000000006</v>
      </c>
      <c r="BJ118" s="100">
        <v>73.3</v>
      </c>
      <c r="BK118" s="100">
        <v>73.400000000000006</v>
      </c>
      <c r="BL118" s="100">
        <v>73.5</v>
      </c>
      <c r="BM118" s="100">
        <v>73.599999999999994</v>
      </c>
      <c r="BN118" s="100">
        <v>73.8</v>
      </c>
      <c r="BO118" s="100">
        <v>74</v>
      </c>
      <c r="BP118" s="100">
        <v>74</v>
      </c>
      <c r="BQ118" s="100">
        <v>74.099999999999994</v>
      </c>
      <c r="BR118" s="100">
        <v>74.099999999999994</v>
      </c>
      <c r="BS118" s="100">
        <v>74.099999999999994</v>
      </c>
      <c r="BT118" s="100">
        <v>74.099999999999994</v>
      </c>
      <c r="BU118" s="100">
        <v>74.2</v>
      </c>
      <c r="BV118" s="100">
        <v>74.400000000000006</v>
      </c>
      <c r="BW118" s="100">
        <v>74.400000000000006</v>
      </c>
      <c r="BX118" s="100">
        <v>74.5</v>
      </c>
      <c r="BY118" s="100">
        <v>74.5</v>
      </c>
      <c r="BZ118" s="100">
        <v>74.400000000000006</v>
      </c>
      <c r="CA118" s="100">
        <v>74.400000000000006</v>
      </c>
      <c r="CB118" s="100">
        <v>74.400000000000006</v>
      </c>
      <c r="CC118" s="100">
        <v>74.599999999999994</v>
      </c>
      <c r="CD118" s="100">
        <v>74.5</v>
      </c>
      <c r="CE118" s="100">
        <v>74.599999999999994</v>
      </c>
      <c r="CF118" s="100">
        <v>74.8</v>
      </c>
      <c r="CG118" s="100">
        <v>74.8</v>
      </c>
      <c r="CH118" s="100">
        <v>74.900000000000006</v>
      </c>
      <c r="CI118" s="100">
        <v>75.099999999999994</v>
      </c>
      <c r="CJ118" s="100">
        <v>75.3</v>
      </c>
      <c r="CK118" s="100">
        <v>75.099999999999994</v>
      </c>
      <c r="CL118" s="100">
        <v>75</v>
      </c>
      <c r="CM118" s="100">
        <v>75.099999999999994</v>
      </c>
      <c r="CN118" s="100">
        <v>75.3</v>
      </c>
      <c r="CO118" s="100">
        <v>75.2</v>
      </c>
      <c r="CP118" s="100">
        <v>75.3</v>
      </c>
      <c r="CQ118" s="100">
        <v>75.400000000000006</v>
      </c>
      <c r="CR118" s="103">
        <v>75.599999999999994</v>
      </c>
      <c r="CS118" s="100">
        <v>75.599999999999994</v>
      </c>
      <c r="CT118" s="100">
        <v>75.599999999999994</v>
      </c>
      <c r="CU118" s="100">
        <v>75.5</v>
      </c>
      <c r="CV118" s="100">
        <v>75.5</v>
      </c>
      <c r="CW118" s="100">
        <v>75.599999999999994</v>
      </c>
      <c r="CX118" s="100">
        <v>75.599999999999994</v>
      </c>
      <c r="CY118" s="100">
        <v>75.7</v>
      </c>
      <c r="CZ118" s="100">
        <v>75.8</v>
      </c>
      <c r="DA118" s="100">
        <v>75.8</v>
      </c>
      <c r="DB118" s="100">
        <v>76.099999999999994</v>
      </c>
      <c r="DC118" s="100">
        <v>76.099999999999994</v>
      </c>
      <c r="DD118" s="102">
        <v>76.099999999999994</v>
      </c>
      <c r="DE118" s="100"/>
      <c r="DF118" s="100"/>
      <c r="DG118" s="100"/>
      <c r="DH118" s="100"/>
      <c r="DI118" s="100"/>
      <c r="DJ118" s="100"/>
      <c r="DK118" s="100"/>
      <c r="DL118" s="100"/>
      <c r="DM118" s="100"/>
      <c r="DN118" s="100"/>
      <c r="DO118" s="100"/>
      <c r="DP118" s="100"/>
      <c r="DQ118" s="100"/>
      <c r="DR118" s="100"/>
      <c r="DS118" s="100"/>
      <c r="DT118" s="100"/>
      <c r="DU118" s="100"/>
      <c r="DV118" s="100"/>
      <c r="DW118" s="100"/>
      <c r="DX118" s="100"/>
      <c r="DY118" s="100"/>
      <c r="DZ118" s="100"/>
      <c r="EA118" s="100"/>
      <c r="EB118" s="100"/>
      <c r="EC118" s="100"/>
      <c r="ED118" s="100"/>
      <c r="EE118" s="100"/>
      <c r="EF118" s="100"/>
      <c r="EG118" s="100"/>
      <c r="EH118" s="100"/>
      <c r="EI118" s="100"/>
      <c r="EJ118" s="100"/>
      <c r="EK118" s="100"/>
      <c r="EL118" s="100"/>
      <c r="EM118" s="100"/>
      <c r="EN118" s="100"/>
      <c r="EO118" s="100"/>
      <c r="EP118" s="100"/>
      <c r="EQ118" s="106"/>
      <c r="ER118" s="106"/>
      <c r="ES118" s="106"/>
      <c r="ET118" s="106"/>
      <c r="EU118" s="106"/>
      <c r="EV118" s="106"/>
      <c r="EW118" s="106"/>
      <c r="EX118" s="106"/>
      <c r="EY118" s="106"/>
      <c r="EZ118" s="106"/>
      <c r="FA118" s="106"/>
      <c r="FB118" s="106"/>
      <c r="FC118" s="106"/>
      <c r="FD118" s="106"/>
      <c r="FE118" s="106"/>
      <c r="FF118" s="106"/>
      <c r="FG118" s="106"/>
      <c r="FH118" s="106"/>
      <c r="FI118" s="106"/>
      <c r="FJ118" s="106"/>
      <c r="FK118" s="106"/>
      <c r="FL118" s="106"/>
      <c r="FM118" s="106"/>
      <c r="FN118" s="106"/>
      <c r="FO118" s="106"/>
      <c r="FP118" s="106"/>
      <c r="FQ118" s="106"/>
      <c r="FR118" s="106"/>
      <c r="FS118" s="106"/>
      <c r="FT118" s="106"/>
      <c r="FU118" s="106"/>
      <c r="FV118" s="106"/>
      <c r="FW118" s="106"/>
      <c r="FX118" s="106"/>
      <c r="FY118" s="106"/>
      <c r="FZ118" s="106"/>
      <c r="GA118" s="106"/>
      <c r="GB118" s="106"/>
      <c r="GC118" s="106"/>
      <c r="GD118" s="106"/>
      <c r="GE118" s="106"/>
      <c r="GF118" s="106"/>
      <c r="GG118" s="159"/>
    </row>
    <row r="119" spans="2:189" x14ac:dyDescent="0.2">
      <c r="B119" s="97">
        <v>43617</v>
      </c>
      <c r="C119" s="100">
        <v>70.400000000000006</v>
      </c>
      <c r="D119" s="100">
        <v>70.599999999999994</v>
      </c>
      <c r="E119" s="100">
        <v>70.599999999999994</v>
      </c>
      <c r="F119" s="100">
        <v>70.7</v>
      </c>
      <c r="G119" s="100">
        <v>70.5</v>
      </c>
      <c r="H119" s="100">
        <v>70.3</v>
      </c>
      <c r="I119" s="100">
        <v>70.400000000000006</v>
      </c>
      <c r="J119" s="100">
        <v>70.5</v>
      </c>
      <c r="K119" s="100">
        <v>70.599999999999994</v>
      </c>
      <c r="L119" s="100">
        <v>70.5</v>
      </c>
      <c r="M119" s="100">
        <v>70.5</v>
      </c>
      <c r="N119" s="100">
        <v>70.5</v>
      </c>
      <c r="O119" s="100">
        <v>70.5</v>
      </c>
      <c r="P119" s="100">
        <v>70.2</v>
      </c>
      <c r="Q119" s="100">
        <v>70.2</v>
      </c>
      <c r="R119" s="100">
        <v>70.099999999999994</v>
      </c>
      <c r="S119" s="100">
        <v>70.099999999999994</v>
      </c>
      <c r="T119" s="100">
        <v>70.099999999999994</v>
      </c>
      <c r="U119" s="100">
        <v>70.2</v>
      </c>
      <c r="V119" s="100">
        <v>70.2</v>
      </c>
      <c r="W119" s="100">
        <v>70.3</v>
      </c>
      <c r="X119" s="100">
        <v>70.5</v>
      </c>
      <c r="Y119" s="100">
        <v>70.5</v>
      </c>
      <c r="Z119" s="100">
        <v>70.7</v>
      </c>
      <c r="AA119" s="100">
        <v>70.900000000000006</v>
      </c>
      <c r="AB119" s="100">
        <v>71.099999999999994</v>
      </c>
      <c r="AC119" s="100">
        <v>71.2</v>
      </c>
      <c r="AD119" s="100">
        <v>71.099999999999994</v>
      </c>
      <c r="AE119" s="100">
        <v>71.099999999999994</v>
      </c>
      <c r="AF119" s="100">
        <v>71.3</v>
      </c>
      <c r="AG119" s="100">
        <v>71.400000000000006</v>
      </c>
      <c r="AH119" s="100">
        <v>71.400000000000006</v>
      </c>
      <c r="AI119" s="100">
        <v>71.2</v>
      </c>
      <c r="AJ119" s="100">
        <v>71.2</v>
      </c>
      <c r="AK119" s="100">
        <v>71.2</v>
      </c>
      <c r="AL119" s="100">
        <v>71.2</v>
      </c>
      <c r="AM119" s="100">
        <v>71.3</v>
      </c>
      <c r="AN119" s="100">
        <v>71.5</v>
      </c>
      <c r="AO119" s="100">
        <v>71.5</v>
      </c>
      <c r="AP119" s="100">
        <v>71.7</v>
      </c>
      <c r="AQ119" s="100">
        <v>71.900000000000006</v>
      </c>
      <c r="AR119" s="100">
        <v>72</v>
      </c>
      <c r="AS119" s="100">
        <v>72</v>
      </c>
      <c r="AT119" s="100">
        <v>72.099999999999994</v>
      </c>
      <c r="AU119" s="100">
        <v>72.400000000000006</v>
      </c>
      <c r="AV119" s="100">
        <v>72.5</v>
      </c>
      <c r="AW119" s="100">
        <v>72.7</v>
      </c>
      <c r="AX119" s="100">
        <v>72.900000000000006</v>
      </c>
      <c r="AY119" s="100">
        <v>72.8</v>
      </c>
      <c r="AZ119" s="100">
        <v>72.8</v>
      </c>
      <c r="BA119" s="100">
        <v>73</v>
      </c>
      <c r="BB119" s="100">
        <v>73</v>
      </c>
      <c r="BC119" s="100">
        <v>73</v>
      </c>
      <c r="BD119" s="100">
        <v>73</v>
      </c>
      <c r="BE119" s="100">
        <v>73.2</v>
      </c>
      <c r="BF119" s="100">
        <v>73.3</v>
      </c>
      <c r="BG119" s="100">
        <v>73.400000000000006</v>
      </c>
      <c r="BH119" s="100">
        <v>73.400000000000006</v>
      </c>
      <c r="BI119" s="100">
        <v>73.400000000000006</v>
      </c>
      <c r="BJ119" s="100">
        <v>73.3</v>
      </c>
      <c r="BK119" s="100">
        <v>73.400000000000006</v>
      </c>
      <c r="BL119" s="100">
        <v>73.5</v>
      </c>
      <c r="BM119" s="100">
        <v>73.599999999999994</v>
      </c>
      <c r="BN119" s="100">
        <v>73.8</v>
      </c>
      <c r="BO119" s="100">
        <v>74</v>
      </c>
      <c r="BP119" s="100">
        <v>74</v>
      </c>
      <c r="BQ119" s="100">
        <v>74.099999999999994</v>
      </c>
      <c r="BR119" s="100">
        <v>74.099999999999994</v>
      </c>
      <c r="BS119" s="100">
        <v>74.099999999999994</v>
      </c>
      <c r="BT119" s="100">
        <v>74.099999999999994</v>
      </c>
      <c r="BU119" s="100">
        <v>74.2</v>
      </c>
      <c r="BV119" s="100">
        <v>74.400000000000006</v>
      </c>
      <c r="BW119" s="100">
        <v>74.400000000000006</v>
      </c>
      <c r="BX119" s="100">
        <v>74.5</v>
      </c>
      <c r="BY119" s="100">
        <v>74.5</v>
      </c>
      <c r="BZ119" s="100">
        <v>74.400000000000006</v>
      </c>
      <c r="CA119" s="100">
        <v>74.400000000000006</v>
      </c>
      <c r="CB119" s="100">
        <v>74.400000000000006</v>
      </c>
      <c r="CC119" s="100">
        <v>74.599999999999994</v>
      </c>
      <c r="CD119" s="100">
        <v>74.5</v>
      </c>
      <c r="CE119" s="100">
        <v>74.599999999999994</v>
      </c>
      <c r="CF119" s="100">
        <v>74.8</v>
      </c>
      <c r="CG119" s="100">
        <v>74.8</v>
      </c>
      <c r="CH119" s="100">
        <v>74.900000000000006</v>
      </c>
      <c r="CI119" s="100">
        <v>75.099999999999994</v>
      </c>
      <c r="CJ119" s="100">
        <v>75.3</v>
      </c>
      <c r="CK119" s="100">
        <v>75.099999999999994</v>
      </c>
      <c r="CL119" s="100">
        <v>75</v>
      </c>
      <c r="CM119" s="100">
        <v>75.099999999999994</v>
      </c>
      <c r="CN119" s="100">
        <v>75.3</v>
      </c>
      <c r="CO119" s="100">
        <v>75.2</v>
      </c>
      <c r="CP119" s="100">
        <v>75.3</v>
      </c>
      <c r="CQ119" s="100">
        <v>75.400000000000006</v>
      </c>
      <c r="CR119" s="100">
        <v>75.599999999999994</v>
      </c>
      <c r="CS119" s="103">
        <v>75.599999999999994</v>
      </c>
      <c r="CT119" s="100">
        <v>75.599999999999994</v>
      </c>
      <c r="CU119" s="100">
        <v>75.5</v>
      </c>
      <c r="CV119" s="100">
        <v>75.5</v>
      </c>
      <c r="CW119" s="100">
        <v>75.599999999999994</v>
      </c>
      <c r="CX119" s="100">
        <v>75.599999999999994</v>
      </c>
      <c r="CY119" s="100">
        <v>75.7</v>
      </c>
      <c r="CZ119" s="100">
        <v>75.8</v>
      </c>
      <c r="DA119" s="100">
        <v>75.8</v>
      </c>
      <c r="DB119" s="100">
        <v>76.099999999999994</v>
      </c>
      <c r="DC119" s="100">
        <v>76.099999999999994</v>
      </c>
      <c r="DD119" s="100">
        <v>76.099999999999994</v>
      </c>
      <c r="DE119" s="102">
        <v>76.099999999999994</v>
      </c>
      <c r="DF119" s="100"/>
      <c r="DG119" s="100"/>
      <c r="DH119" s="100"/>
      <c r="DI119" s="100"/>
      <c r="DJ119" s="100"/>
      <c r="DK119" s="100"/>
      <c r="DL119" s="100"/>
      <c r="DM119" s="100"/>
      <c r="DN119" s="100"/>
      <c r="DO119" s="100"/>
      <c r="DP119" s="100"/>
      <c r="DQ119" s="100"/>
      <c r="DR119" s="100"/>
      <c r="DS119" s="100"/>
      <c r="DT119" s="100"/>
      <c r="DU119" s="100"/>
      <c r="DV119" s="100"/>
      <c r="DW119" s="100"/>
      <c r="DX119" s="100"/>
      <c r="DY119" s="100"/>
      <c r="DZ119" s="100"/>
      <c r="EA119" s="100"/>
      <c r="EB119" s="100"/>
      <c r="EC119" s="100"/>
      <c r="ED119" s="100"/>
      <c r="EE119" s="100"/>
      <c r="EF119" s="100"/>
      <c r="EG119" s="100"/>
      <c r="EH119" s="100"/>
      <c r="EI119" s="100"/>
      <c r="EJ119" s="100"/>
      <c r="EK119" s="100"/>
      <c r="EL119" s="100"/>
      <c r="EM119" s="100"/>
      <c r="EN119" s="100"/>
      <c r="EO119" s="100"/>
      <c r="EP119" s="100"/>
      <c r="EQ119" s="106"/>
      <c r="ER119" s="106"/>
      <c r="ES119" s="106"/>
      <c r="ET119" s="106"/>
      <c r="EU119" s="106"/>
      <c r="EV119" s="106"/>
      <c r="EW119" s="106"/>
      <c r="EX119" s="106"/>
      <c r="EY119" s="106"/>
      <c r="EZ119" s="106"/>
      <c r="FA119" s="106"/>
      <c r="FB119" s="106"/>
      <c r="FC119" s="106"/>
      <c r="FD119" s="106"/>
      <c r="FE119" s="106"/>
      <c r="FF119" s="106"/>
      <c r="FG119" s="106"/>
      <c r="FH119" s="106"/>
      <c r="FI119" s="106"/>
      <c r="FJ119" s="106"/>
      <c r="FK119" s="106"/>
      <c r="FL119" s="106"/>
      <c r="FM119" s="106"/>
      <c r="FN119" s="106"/>
      <c r="FO119" s="106"/>
      <c r="FP119" s="106"/>
      <c r="FQ119" s="106"/>
      <c r="FR119" s="106"/>
      <c r="FS119" s="106"/>
      <c r="FT119" s="106"/>
      <c r="FU119" s="106"/>
      <c r="FV119" s="106"/>
      <c r="FW119" s="106"/>
      <c r="FX119" s="106"/>
      <c r="FY119" s="106"/>
      <c r="FZ119" s="106"/>
      <c r="GA119" s="106"/>
      <c r="GB119" s="106"/>
      <c r="GC119" s="106"/>
      <c r="GD119" s="106"/>
      <c r="GE119" s="106"/>
      <c r="GF119" s="106"/>
      <c r="GG119" s="159"/>
    </row>
    <row r="120" spans="2:189" x14ac:dyDescent="0.2">
      <c r="B120" s="97">
        <v>43647</v>
      </c>
      <c r="C120" s="100">
        <v>70.400000000000006</v>
      </c>
      <c r="D120" s="100">
        <v>70.599999999999994</v>
      </c>
      <c r="E120" s="100">
        <v>70.599999999999994</v>
      </c>
      <c r="F120" s="100">
        <v>70.7</v>
      </c>
      <c r="G120" s="100">
        <v>70.5</v>
      </c>
      <c r="H120" s="100">
        <v>70.3</v>
      </c>
      <c r="I120" s="100">
        <v>70.400000000000006</v>
      </c>
      <c r="J120" s="100">
        <v>70.5</v>
      </c>
      <c r="K120" s="100">
        <v>70.599999999999994</v>
      </c>
      <c r="L120" s="100">
        <v>70.5</v>
      </c>
      <c r="M120" s="100">
        <v>70.5</v>
      </c>
      <c r="N120" s="100">
        <v>70.5</v>
      </c>
      <c r="O120" s="100">
        <v>70.5</v>
      </c>
      <c r="P120" s="100">
        <v>70.2</v>
      </c>
      <c r="Q120" s="100">
        <v>70.2</v>
      </c>
      <c r="R120" s="100">
        <v>70.099999999999994</v>
      </c>
      <c r="S120" s="100">
        <v>70.099999999999994</v>
      </c>
      <c r="T120" s="100">
        <v>70.099999999999994</v>
      </c>
      <c r="U120" s="100">
        <v>70.2</v>
      </c>
      <c r="V120" s="100">
        <v>70.2</v>
      </c>
      <c r="W120" s="100">
        <v>70.3</v>
      </c>
      <c r="X120" s="100">
        <v>70.5</v>
      </c>
      <c r="Y120" s="100">
        <v>70.5</v>
      </c>
      <c r="Z120" s="100">
        <v>70.7</v>
      </c>
      <c r="AA120" s="100">
        <v>70.900000000000006</v>
      </c>
      <c r="AB120" s="100">
        <v>71.099999999999994</v>
      </c>
      <c r="AC120" s="100">
        <v>71.2</v>
      </c>
      <c r="AD120" s="100">
        <v>71.099999999999994</v>
      </c>
      <c r="AE120" s="100">
        <v>71.099999999999994</v>
      </c>
      <c r="AF120" s="100">
        <v>71.3</v>
      </c>
      <c r="AG120" s="100">
        <v>71.400000000000006</v>
      </c>
      <c r="AH120" s="100">
        <v>71.400000000000006</v>
      </c>
      <c r="AI120" s="100">
        <v>71.2</v>
      </c>
      <c r="AJ120" s="100">
        <v>71.2</v>
      </c>
      <c r="AK120" s="100">
        <v>71.2</v>
      </c>
      <c r="AL120" s="100">
        <v>71.2</v>
      </c>
      <c r="AM120" s="100">
        <v>71.3</v>
      </c>
      <c r="AN120" s="100">
        <v>71.5</v>
      </c>
      <c r="AO120" s="100">
        <v>71.5</v>
      </c>
      <c r="AP120" s="100">
        <v>71.7</v>
      </c>
      <c r="AQ120" s="100">
        <v>71.900000000000006</v>
      </c>
      <c r="AR120" s="100">
        <v>72</v>
      </c>
      <c r="AS120" s="100">
        <v>72</v>
      </c>
      <c r="AT120" s="100">
        <v>72.099999999999994</v>
      </c>
      <c r="AU120" s="100">
        <v>72.400000000000006</v>
      </c>
      <c r="AV120" s="100">
        <v>72.5</v>
      </c>
      <c r="AW120" s="100">
        <v>72.7</v>
      </c>
      <c r="AX120" s="100">
        <v>72.900000000000006</v>
      </c>
      <c r="AY120" s="100">
        <v>72.8</v>
      </c>
      <c r="AZ120" s="100">
        <v>72.8</v>
      </c>
      <c r="BA120" s="100">
        <v>73</v>
      </c>
      <c r="BB120" s="100">
        <v>73</v>
      </c>
      <c r="BC120" s="100">
        <v>73</v>
      </c>
      <c r="BD120" s="100">
        <v>73</v>
      </c>
      <c r="BE120" s="100">
        <v>73.2</v>
      </c>
      <c r="BF120" s="100">
        <v>73.3</v>
      </c>
      <c r="BG120" s="100">
        <v>73.400000000000006</v>
      </c>
      <c r="BH120" s="100">
        <v>73.400000000000006</v>
      </c>
      <c r="BI120" s="100">
        <v>73.400000000000006</v>
      </c>
      <c r="BJ120" s="100">
        <v>73.3</v>
      </c>
      <c r="BK120" s="100">
        <v>73.400000000000006</v>
      </c>
      <c r="BL120" s="100">
        <v>73.5</v>
      </c>
      <c r="BM120" s="100">
        <v>73.599999999999994</v>
      </c>
      <c r="BN120" s="100">
        <v>73.8</v>
      </c>
      <c r="BO120" s="100">
        <v>74</v>
      </c>
      <c r="BP120" s="100">
        <v>74</v>
      </c>
      <c r="BQ120" s="100">
        <v>74.099999999999994</v>
      </c>
      <c r="BR120" s="100">
        <v>74.099999999999994</v>
      </c>
      <c r="BS120" s="100">
        <v>74.099999999999994</v>
      </c>
      <c r="BT120" s="100">
        <v>74.099999999999994</v>
      </c>
      <c r="BU120" s="100">
        <v>74.2</v>
      </c>
      <c r="BV120" s="100">
        <v>74.400000000000006</v>
      </c>
      <c r="BW120" s="100">
        <v>74.400000000000006</v>
      </c>
      <c r="BX120" s="100">
        <v>74.5</v>
      </c>
      <c r="BY120" s="100">
        <v>74.5</v>
      </c>
      <c r="BZ120" s="100">
        <v>74.400000000000006</v>
      </c>
      <c r="CA120" s="100">
        <v>74.400000000000006</v>
      </c>
      <c r="CB120" s="100">
        <v>74.400000000000006</v>
      </c>
      <c r="CC120" s="100">
        <v>74.599999999999994</v>
      </c>
      <c r="CD120" s="100">
        <v>74.5</v>
      </c>
      <c r="CE120" s="100">
        <v>74.599999999999994</v>
      </c>
      <c r="CF120" s="100">
        <v>74.8</v>
      </c>
      <c r="CG120" s="100">
        <v>74.8</v>
      </c>
      <c r="CH120" s="100">
        <v>74.900000000000006</v>
      </c>
      <c r="CI120" s="100">
        <v>75.099999999999994</v>
      </c>
      <c r="CJ120" s="100">
        <v>75.3</v>
      </c>
      <c r="CK120" s="100">
        <v>75.099999999999994</v>
      </c>
      <c r="CL120" s="100">
        <v>75</v>
      </c>
      <c r="CM120" s="100">
        <v>75.099999999999994</v>
      </c>
      <c r="CN120" s="100">
        <v>75.3</v>
      </c>
      <c r="CO120" s="100">
        <v>75.2</v>
      </c>
      <c r="CP120" s="100">
        <v>75.3</v>
      </c>
      <c r="CQ120" s="100">
        <v>75.400000000000006</v>
      </c>
      <c r="CR120" s="100">
        <v>75.599999999999994</v>
      </c>
      <c r="CS120" s="100">
        <v>75.599999999999994</v>
      </c>
      <c r="CT120" s="103">
        <v>75.599999999999994</v>
      </c>
      <c r="CU120" s="100">
        <v>75.5</v>
      </c>
      <c r="CV120" s="100">
        <v>75.5</v>
      </c>
      <c r="CW120" s="100">
        <v>75.599999999999994</v>
      </c>
      <c r="CX120" s="100">
        <v>75.599999999999994</v>
      </c>
      <c r="CY120" s="100">
        <v>75.7</v>
      </c>
      <c r="CZ120" s="100">
        <v>75.8</v>
      </c>
      <c r="DA120" s="100">
        <v>75.8</v>
      </c>
      <c r="DB120" s="100">
        <v>76.099999999999994</v>
      </c>
      <c r="DC120" s="100">
        <v>76.099999999999994</v>
      </c>
      <c r="DD120" s="100">
        <v>76.099999999999994</v>
      </c>
      <c r="DE120" s="100">
        <v>76.099999999999994</v>
      </c>
      <c r="DF120" s="102">
        <v>76</v>
      </c>
      <c r="DG120" s="100"/>
      <c r="DH120" s="100"/>
      <c r="DI120" s="100"/>
      <c r="DJ120" s="100"/>
      <c r="DK120" s="100"/>
      <c r="DL120" s="100"/>
      <c r="DM120" s="100"/>
      <c r="DN120" s="100"/>
      <c r="DO120" s="100"/>
      <c r="DP120" s="100"/>
      <c r="DQ120" s="100"/>
      <c r="DR120" s="100"/>
      <c r="DS120" s="100"/>
      <c r="DT120" s="100"/>
      <c r="DU120" s="100"/>
      <c r="DV120" s="100"/>
      <c r="DW120" s="100"/>
      <c r="DX120" s="100"/>
      <c r="DY120" s="100"/>
      <c r="DZ120" s="100"/>
      <c r="EA120" s="100"/>
      <c r="EB120" s="100"/>
      <c r="EC120" s="100"/>
      <c r="ED120" s="100"/>
      <c r="EE120" s="100"/>
      <c r="EF120" s="100"/>
      <c r="EG120" s="100"/>
      <c r="EH120" s="100"/>
      <c r="EI120" s="100"/>
      <c r="EJ120" s="100"/>
      <c r="EK120" s="100"/>
      <c r="EL120" s="100"/>
      <c r="EM120" s="100"/>
      <c r="EN120" s="100"/>
      <c r="EO120" s="100"/>
      <c r="EP120" s="100"/>
      <c r="EQ120" s="106"/>
      <c r="ER120" s="106"/>
      <c r="ES120" s="106"/>
      <c r="ET120" s="106"/>
      <c r="EU120" s="106"/>
      <c r="EV120" s="106"/>
      <c r="EW120" s="106"/>
      <c r="EX120" s="106"/>
      <c r="EY120" s="106"/>
      <c r="EZ120" s="106"/>
      <c r="FA120" s="106"/>
      <c r="FB120" s="106"/>
      <c r="FC120" s="106"/>
      <c r="FD120" s="106"/>
      <c r="FE120" s="106"/>
      <c r="FF120" s="106"/>
      <c r="FG120" s="106"/>
      <c r="FH120" s="106"/>
      <c r="FI120" s="106"/>
      <c r="FJ120" s="106"/>
      <c r="FK120" s="106"/>
      <c r="FL120" s="106"/>
      <c r="FM120" s="106"/>
      <c r="FN120" s="106"/>
      <c r="FO120" s="106"/>
      <c r="FP120" s="106"/>
      <c r="FQ120" s="106"/>
      <c r="FR120" s="106"/>
      <c r="FS120" s="106"/>
      <c r="FT120" s="106"/>
      <c r="FU120" s="106"/>
      <c r="FV120" s="106"/>
      <c r="FW120" s="106"/>
      <c r="FX120" s="106"/>
      <c r="FY120" s="106"/>
      <c r="FZ120" s="106"/>
      <c r="GA120" s="106"/>
      <c r="GB120" s="106"/>
      <c r="GC120" s="106"/>
      <c r="GD120" s="106"/>
      <c r="GE120" s="106"/>
      <c r="GF120" s="106"/>
      <c r="GG120" s="159"/>
    </row>
    <row r="121" spans="2:189" x14ac:dyDescent="0.2">
      <c r="B121" s="97">
        <v>43678</v>
      </c>
      <c r="C121" s="100">
        <v>70.400000000000006</v>
      </c>
      <c r="D121" s="100">
        <v>70.599999999999994</v>
      </c>
      <c r="E121" s="100">
        <v>70.599999999999994</v>
      </c>
      <c r="F121" s="100">
        <v>70.7</v>
      </c>
      <c r="G121" s="100">
        <v>70.5</v>
      </c>
      <c r="H121" s="100">
        <v>70.3</v>
      </c>
      <c r="I121" s="100">
        <v>70.400000000000006</v>
      </c>
      <c r="J121" s="100">
        <v>70.5</v>
      </c>
      <c r="K121" s="100">
        <v>70.599999999999994</v>
      </c>
      <c r="L121" s="100">
        <v>70.5</v>
      </c>
      <c r="M121" s="100">
        <v>70.5</v>
      </c>
      <c r="N121" s="100">
        <v>70.5</v>
      </c>
      <c r="O121" s="100">
        <v>70.5</v>
      </c>
      <c r="P121" s="100">
        <v>70.2</v>
      </c>
      <c r="Q121" s="100">
        <v>70.2</v>
      </c>
      <c r="R121" s="100">
        <v>70.099999999999994</v>
      </c>
      <c r="S121" s="100">
        <v>70.099999999999994</v>
      </c>
      <c r="T121" s="100">
        <v>70.099999999999994</v>
      </c>
      <c r="U121" s="100">
        <v>70.2</v>
      </c>
      <c r="V121" s="100">
        <v>70.2</v>
      </c>
      <c r="W121" s="100">
        <v>70.3</v>
      </c>
      <c r="X121" s="100">
        <v>70.5</v>
      </c>
      <c r="Y121" s="100">
        <v>70.5</v>
      </c>
      <c r="Z121" s="100">
        <v>70.7</v>
      </c>
      <c r="AA121" s="100">
        <v>70.900000000000006</v>
      </c>
      <c r="AB121" s="100">
        <v>71.099999999999994</v>
      </c>
      <c r="AC121" s="100">
        <v>71.2</v>
      </c>
      <c r="AD121" s="100">
        <v>71.099999999999994</v>
      </c>
      <c r="AE121" s="100">
        <v>71.099999999999994</v>
      </c>
      <c r="AF121" s="100">
        <v>71.3</v>
      </c>
      <c r="AG121" s="100">
        <v>71.400000000000006</v>
      </c>
      <c r="AH121" s="100">
        <v>71.400000000000006</v>
      </c>
      <c r="AI121" s="100">
        <v>71.2</v>
      </c>
      <c r="AJ121" s="100">
        <v>71.2</v>
      </c>
      <c r="AK121" s="100">
        <v>71.2</v>
      </c>
      <c r="AL121" s="100">
        <v>71.2</v>
      </c>
      <c r="AM121" s="100">
        <v>71.3</v>
      </c>
      <c r="AN121" s="100">
        <v>71.5</v>
      </c>
      <c r="AO121" s="100">
        <v>71.5</v>
      </c>
      <c r="AP121" s="100">
        <v>71.7</v>
      </c>
      <c r="AQ121" s="100">
        <v>71.900000000000006</v>
      </c>
      <c r="AR121" s="100">
        <v>72</v>
      </c>
      <c r="AS121" s="100">
        <v>72</v>
      </c>
      <c r="AT121" s="100">
        <v>72.099999999999994</v>
      </c>
      <c r="AU121" s="100">
        <v>72.400000000000006</v>
      </c>
      <c r="AV121" s="100">
        <v>72.5</v>
      </c>
      <c r="AW121" s="100">
        <v>72.7</v>
      </c>
      <c r="AX121" s="100">
        <v>72.900000000000006</v>
      </c>
      <c r="AY121" s="100">
        <v>72.8</v>
      </c>
      <c r="AZ121" s="100">
        <v>72.8</v>
      </c>
      <c r="BA121" s="100">
        <v>73</v>
      </c>
      <c r="BB121" s="100">
        <v>73</v>
      </c>
      <c r="BC121" s="100">
        <v>73</v>
      </c>
      <c r="BD121" s="100">
        <v>73</v>
      </c>
      <c r="BE121" s="100">
        <v>73.2</v>
      </c>
      <c r="BF121" s="100">
        <v>73.3</v>
      </c>
      <c r="BG121" s="100">
        <v>73.400000000000006</v>
      </c>
      <c r="BH121" s="100">
        <v>73.400000000000006</v>
      </c>
      <c r="BI121" s="100">
        <v>73.400000000000006</v>
      </c>
      <c r="BJ121" s="100">
        <v>73.3</v>
      </c>
      <c r="BK121" s="100">
        <v>73.400000000000006</v>
      </c>
      <c r="BL121" s="100">
        <v>73.5</v>
      </c>
      <c r="BM121" s="100">
        <v>73.599999999999994</v>
      </c>
      <c r="BN121" s="100">
        <v>73.8</v>
      </c>
      <c r="BO121" s="100">
        <v>74</v>
      </c>
      <c r="BP121" s="100">
        <v>74</v>
      </c>
      <c r="BQ121" s="100">
        <v>74.099999999999994</v>
      </c>
      <c r="BR121" s="100">
        <v>74.099999999999994</v>
      </c>
      <c r="BS121" s="100">
        <v>74.099999999999994</v>
      </c>
      <c r="BT121" s="100">
        <v>74.099999999999994</v>
      </c>
      <c r="BU121" s="100">
        <v>74.2</v>
      </c>
      <c r="BV121" s="100">
        <v>74.400000000000006</v>
      </c>
      <c r="BW121" s="100">
        <v>74.400000000000006</v>
      </c>
      <c r="BX121" s="100">
        <v>74.5</v>
      </c>
      <c r="BY121" s="100">
        <v>74.5</v>
      </c>
      <c r="BZ121" s="100">
        <v>74.400000000000006</v>
      </c>
      <c r="CA121" s="100">
        <v>74.400000000000006</v>
      </c>
      <c r="CB121" s="100">
        <v>74.400000000000006</v>
      </c>
      <c r="CC121" s="100">
        <v>74.599999999999994</v>
      </c>
      <c r="CD121" s="100">
        <v>74.5</v>
      </c>
      <c r="CE121" s="100">
        <v>74.599999999999994</v>
      </c>
      <c r="CF121" s="100">
        <v>74.8</v>
      </c>
      <c r="CG121" s="100">
        <v>74.8</v>
      </c>
      <c r="CH121" s="100">
        <v>74.900000000000006</v>
      </c>
      <c r="CI121" s="100">
        <v>75.099999999999994</v>
      </c>
      <c r="CJ121" s="100">
        <v>75.3</v>
      </c>
      <c r="CK121" s="100">
        <v>75.099999999999994</v>
      </c>
      <c r="CL121" s="100">
        <v>75</v>
      </c>
      <c r="CM121" s="100">
        <v>75.099999999999994</v>
      </c>
      <c r="CN121" s="100">
        <v>75.3</v>
      </c>
      <c r="CO121" s="100">
        <v>75.2</v>
      </c>
      <c r="CP121" s="100">
        <v>75.3</v>
      </c>
      <c r="CQ121" s="100">
        <v>75.400000000000006</v>
      </c>
      <c r="CR121" s="100">
        <v>75.599999999999994</v>
      </c>
      <c r="CS121" s="100">
        <v>75.599999999999994</v>
      </c>
      <c r="CT121" s="100">
        <v>75.599999999999994</v>
      </c>
      <c r="CU121" s="103">
        <v>75.5</v>
      </c>
      <c r="CV121" s="100">
        <v>75.5</v>
      </c>
      <c r="CW121" s="100">
        <v>75.599999999999994</v>
      </c>
      <c r="CX121" s="100">
        <v>75.599999999999994</v>
      </c>
      <c r="CY121" s="100">
        <v>75.7</v>
      </c>
      <c r="CZ121" s="100">
        <v>75.8</v>
      </c>
      <c r="DA121" s="100">
        <v>75.8</v>
      </c>
      <c r="DB121" s="100">
        <v>76.099999999999994</v>
      </c>
      <c r="DC121" s="100">
        <v>76.099999999999994</v>
      </c>
      <c r="DD121" s="100">
        <v>76.099999999999994</v>
      </c>
      <c r="DE121" s="100">
        <v>76.099999999999994</v>
      </c>
      <c r="DF121" s="100">
        <v>76</v>
      </c>
      <c r="DG121" s="102">
        <v>76.099999999999994</v>
      </c>
      <c r="DH121" s="100"/>
      <c r="DI121" s="100"/>
      <c r="DJ121" s="100"/>
      <c r="DK121" s="100"/>
      <c r="DL121" s="100"/>
      <c r="DM121" s="100"/>
      <c r="DN121" s="100"/>
      <c r="DO121" s="100"/>
      <c r="DP121" s="100"/>
      <c r="DQ121" s="100"/>
      <c r="DR121" s="100"/>
      <c r="DS121" s="100"/>
      <c r="DT121" s="100"/>
      <c r="DU121" s="100"/>
      <c r="DV121" s="100"/>
      <c r="DW121" s="100"/>
      <c r="DX121" s="100"/>
      <c r="DY121" s="100"/>
      <c r="DZ121" s="100"/>
      <c r="EA121" s="100"/>
      <c r="EB121" s="100"/>
      <c r="EC121" s="100"/>
      <c r="ED121" s="100"/>
      <c r="EE121" s="100"/>
      <c r="EF121" s="100"/>
      <c r="EG121" s="100"/>
      <c r="EH121" s="100"/>
      <c r="EI121" s="100"/>
      <c r="EJ121" s="100"/>
      <c r="EK121" s="100"/>
      <c r="EL121" s="100"/>
      <c r="EM121" s="100"/>
      <c r="EN121" s="100"/>
      <c r="EO121" s="100"/>
      <c r="EP121" s="100"/>
      <c r="EQ121" s="106"/>
      <c r="ER121" s="106"/>
      <c r="ES121" s="106"/>
      <c r="ET121" s="106"/>
      <c r="EU121" s="106"/>
      <c r="EV121" s="106"/>
      <c r="EW121" s="106"/>
      <c r="EX121" s="106"/>
      <c r="EY121" s="106"/>
      <c r="EZ121" s="106"/>
      <c r="FA121" s="106"/>
      <c r="FB121" s="106"/>
      <c r="FC121" s="106"/>
      <c r="FD121" s="106"/>
      <c r="FE121" s="106"/>
      <c r="FF121" s="106"/>
      <c r="FG121" s="106"/>
      <c r="FH121" s="106"/>
      <c r="FI121" s="106"/>
      <c r="FJ121" s="106"/>
      <c r="FK121" s="106"/>
      <c r="FL121" s="106"/>
      <c r="FM121" s="106"/>
      <c r="FN121" s="106"/>
      <c r="FO121" s="106"/>
      <c r="FP121" s="106"/>
      <c r="FQ121" s="106"/>
      <c r="FR121" s="106"/>
      <c r="FS121" s="106"/>
      <c r="FT121" s="106"/>
      <c r="FU121" s="106"/>
      <c r="FV121" s="106"/>
      <c r="FW121" s="106"/>
      <c r="FX121" s="106"/>
      <c r="FY121" s="106"/>
      <c r="FZ121" s="106"/>
      <c r="GA121" s="106"/>
      <c r="GB121" s="106"/>
      <c r="GC121" s="106"/>
      <c r="GD121" s="106"/>
      <c r="GE121" s="106"/>
      <c r="GF121" s="106"/>
      <c r="GG121" s="159"/>
    </row>
    <row r="122" spans="2:189" x14ac:dyDescent="0.2">
      <c r="B122" s="97">
        <v>43709</v>
      </c>
      <c r="C122" s="100">
        <v>70.400000000000006</v>
      </c>
      <c r="D122" s="100">
        <v>70.599999999999994</v>
      </c>
      <c r="E122" s="100">
        <v>70.599999999999994</v>
      </c>
      <c r="F122" s="100">
        <v>70.7</v>
      </c>
      <c r="G122" s="100">
        <v>70.5</v>
      </c>
      <c r="H122" s="100">
        <v>70.3</v>
      </c>
      <c r="I122" s="100">
        <v>70.400000000000006</v>
      </c>
      <c r="J122" s="100">
        <v>70.5</v>
      </c>
      <c r="K122" s="100">
        <v>70.599999999999994</v>
      </c>
      <c r="L122" s="100">
        <v>70.5</v>
      </c>
      <c r="M122" s="100">
        <v>70.5</v>
      </c>
      <c r="N122" s="100">
        <v>70.5</v>
      </c>
      <c r="O122" s="100">
        <v>70.5</v>
      </c>
      <c r="P122" s="100">
        <v>70.2</v>
      </c>
      <c r="Q122" s="100">
        <v>70.2</v>
      </c>
      <c r="R122" s="100">
        <v>70.099999999999994</v>
      </c>
      <c r="S122" s="100">
        <v>70.099999999999994</v>
      </c>
      <c r="T122" s="100">
        <v>70.099999999999994</v>
      </c>
      <c r="U122" s="100">
        <v>70.2</v>
      </c>
      <c r="V122" s="100">
        <v>70.2</v>
      </c>
      <c r="W122" s="100">
        <v>70.3</v>
      </c>
      <c r="X122" s="100">
        <v>70.5</v>
      </c>
      <c r="Y122" s="100">
        <v>70.5</v>
      </c>
      <c r="Z122" s="100">
        <v>70.7</v>
      </c>
      <c r="AA122" s="100">
        <v>70.900000000000006</v>
      </c>
      <c r="AB122" s="100">
        <v>71.099999999999994</v>
      </c>
      <c r="AC122" s="100">
        <v>71.2</v>
      </c>
      <c r="AD122" s="100">
        <v>71.099999999999994</v>
      </c>
      <c r="AE122" s="100">
        <v>71.099999999999994</v>
      </c>
      <c r="AF122" s="100">
        <v>71.3</v>
      </c>
      <c r="AG122" s="100">
        <v>71.400000000000006</v>
      </c>
      <c r="AH122" s="100">
        <v>71.400000000000006</v>
      </c>
      <c r="AI122" s="100">
        <v>71.2</v>
      </c>
      <c r="AJ122" s="100">
        <v>71.2</v>
      </c>
      <c r="AK122" s="100">
        <v>71.2</v>
      </c>
      <c r="AL122" s="100">
        <v>71.2</v>
      </c>
      <c r="AM122" s="100">
        <v>71.3</v>
      </c>
      <c r="AN122" s="100">
        <v>71.5</v>
      </c>
      <c r="AO122" s="100">
        <v>71.5</v>
      </c>
      <c r="AP122" s="100">
        <v>71.7</v>
      </c>
      <c r="AQ122" s="100">
        <v>71.900000000000006</v>
      </c>
      <c r="AR122" s="100">
        <v>72</v>
      </c>
      <c r="AS122" s="100">
        <v>72</v>
      </c>
      <c r="AT122" s="100">
        <v>72.099999999999994</v>
      </c>
      <c r="AU122" s="100">
        <v>72.400000000000006</v>
      </c>
      <c r="AV122" s="100">
        <v>72.5</v>
      </c>
      <c r="AW122" s="100">
        <v>72.7</v>
      </c>
      <c r="AX122" s="100">
        <v>72.900000000000006</v>
      </c>
      <c r="AY122" s="100">
        <v>72.8</v>
      </c>
      <c r="AZ122" s="100">
        <v>72.8</v>
      </c>
      <c r="BA122" s="100">
        <v>73</v>
      </c>
      <c r="BB122" s="100">
        <v>73</v>
      </c>
      <c r="BC122" s="100">
        <v>73</v>
      </c>
      <c r="BD122" s="100">
        <v>73</v>
      </c>
      <c r="BE122" s="100">
        <v>73.2</v>
      </c>
      <c r="BF122" s="100">
        <v>73.3</v>
      </c>
      <c r="BG122" s="100">
        <v>73.400000000000006</v>
      </c>
      <c r="BH122" s="100">
        <v>73.400000000000006</v>
      </c>
      <c r="BI122" s="100">
        <v>73.400000000000006</v>
      </c>
      <c r="BJ122" s="100">
        <v>73.3</v>
      </c>
      <c r="BK122" s="100">
        <v>73.400000000000006</v>
      </c>
      <c r="BL122" s="100">
        <v>73.5</v>
      </c>
      <c r="BM122" s="100">
        <v>73.599999999999994</v>
      </c>
      <c r="BN122" s="100">
        <v>73.8</v>
      </c>
      <c r="BO122" s="100">
        <v>74</v>
      </c>
      <c r="BP122" s="100">
        <v>74</v>
      </c>
      <c r="BQ122" s="100">
        <v>74.099999999999994</v>
      </c>
      <c r="BR122" s="100">
        <v>74.099999999999994</v>
      </c>
      <c r="BS122" s="100">
        <v>74.099999999999994</v>
      </c>
      <c r="BT122" s="100">
        <v>74.099999999999994</v>
      </c>
      <c r="BU122" s="100">
        <v>74.2</v>
      </c>
      <c r="BV122" s="100">
        <v>74.400000000000006</v>
      </c>
      <c r="BW122" s="100">
        <v>74.400000000000006</v>
      </c>
      <c r="BX122" s="100">
        <v>74.5</v>
      </c>
      <c r="BY122" s="100">
        <v>74.5</v>
      </c>
      <c r="BZ122" s="100">
        <v>74.400000000000006</v>
      </c>
      <c r="CA122" s="100">
        <v>74.400000000000006</v>
      </c>
      <c r="CB122" s="100">
        <v>74.400000000000006</v>
      </c>
      <c r="CC122" s="100">
        <v>74.599999999999994</v>
      </c>
      <c r="CD122" s="100">
        <v>74.5</v>
      </c>
      <c r="CE122" s="100">
        <v>74.599999999999994</v>
      </c>
      <c r="CF122" s="100">
        <v>74.8</v>
      </c>
      <c r="CG122" s="100">
        <v>74.8</v>
      </c>
      <c r="CH122" s="100">
        <v>74.900000000000006</v>
      </c>
      <c r="CI122" s="100">
        <v>75.099999999999994</v>
      </c>
      <c r="CJ122" s="100">
        <v>75.3</v>
      </c>
      <c r="CK122" s="100">
        <v>75.099999999999994</v>
      </c>
      <c r="CL122" s="100">
        <v>75</v>
      </c>
      <c r="CM122" s="100">
        <v>75.099999999999994</v>
      </c>
      <c r="CN122" s="100">
        <v>75.3</v>
      </c>
      <c r="CO122" s="100">
        <v>75.2</v>
      </c>
      <c r="CP122" s="100">
        <v>75.3</v>
      </c>
      <c r="CQ122" s="100">
        <v>75.400000000000006</v>
      </c>
      <c r="CR122" s="100">
        <v>75.599999999999994</v>
      </c>
      <c r="CS122" s="100">
        <v>75.599999999999994</v>
      </c>
      <c r="CT122" s="100">
        <v>75.599999999999994</v>
      </c>
      <c r="CU122" s="100">
        <v>75.5</v>
      </c>
      <c r="CV122" s="103">
        <v>75.5</v>
      </c>
      <c r="CW122" s="100">
        <v>75.599999999999994</v>
      </c>
      <c r="CX122" s="100">
        <v>75.599999999999994</v>
      </c>
      <c r="CY122" s="100">
        <v>75.7</v>
      </c>
      <c r="CZ122" s="100">
        <v>75.8</v>
      </c>
      <c r="DA122" s="100">
        <v>75.8</v>
      </c>
      <c r="DB122" s="100">
        <v>76.099999999999994</v>
      </c>
      <c r="DC122" s="100">
        <v>76.099999999999994</v>
      </c>
      <c r="DD122" s="100">
        <v>76.099999999999994</v>
      </c>
      <c r="DE122" s="100">
        <v>76.099999999999994</v>
      </c>
      <c r="DF122" s="100">
        <v>76</v>
      </c>
      <c r="DG122" s="100">
        <v>76.099999999999994</v>
      </c>
      <c r="DH122" s="102">
        <v>76.099999999999994</v>
      </c>
      <c r="DI122" s="100"/>
      <c r="DJ122" s="100"/>
      <c r="DK122" s="100"/>
      <c r="DL122" s="100"/>
      <c r="DM122" s="100"/>
      <c r="DN122" s="100"/>
      <c r="DO122" s="100"/>
      <c r="DP122" s="100"/>
      <c r="DQ122" s="100"/>
      <c r="DR122" s="100"/>
      <c r="DS122" s="100"/>
      <c r="DT122" s="100"/>
      <c r="DU122" s="100"/>
      <c r="DV122" s="100"/>
      <c r="DW122" s="100"/>
      <c r="DX122" s="100"/>
      <c r="DY122" s="100"/>
      <c r="DZ122" s="100"/>
      <c r="EA122" s="100"/>
      <c r="EB122" s="100"/>
      <c r="EC122" s="100"/>
      <c r="ED122" s="100"/>
      <c r="EE122" s="100"/>
      <c r="EF122" s="100"/>
      <c r="EG122" s="100"/>
      <c r="EH122" s="100"/>
      <c r="EI122" s="100"/>
      <c r="EJ122" s="100"/>
      <c r="EK122" s="100"/>
      <c r="EL122" s="100"/>
      <c r="EM122" s="100"/>
      <c r="EN122" s="100"/>
      <c r="EO122" s="100"/>
      <c r="EP122" s="100"/>
      <c r="EQ122" s="106"/>
      <c r="ER122" s="106"/>
      <c r="ES122" s="106"/>
      <c r="ET122" s="106"/>
      <c r="EU122" s="106"/>
      <c r="EV122" s="106"/>
      <c r="EW122" s="106"/>
      <c r="EX122" s="106"/>
      <c r="EY122" s="106"/>
      <c r="EZ122" s="106"/>
      <c r="FA122" s="106"/>
      <c r="FB122" s="106"/>
      <c r="FC122" s="106"/>
      <c r="FD122" s="106"/>
      <c r="FE122" s="106"/>
      <c r="FF122" s="106"/>
      <c r="FG122" s="106"/>
      <c r="FH122" s="106"/>
      <c r="FI122" s="106"/>
      <c r="FJ122" s="106"/>
      <c r="FK122" s="106"/>
      <c r="FL122" s="106"/>
      <c r="FM122" s="106"/>
      <c r="FN122" s="106"/>
      <c r="FO122" s="106"/>
      <c r="FP122" s="106"/>
      <c r="FQ122" s="106"/>
      <c r="FR122" s="106"/>
      <c r="FS122" s="106"/>
      <c r="FT122" s="106"/>
      <c r="FU122" s="106"/>
      <c r="FV122" s="106"/>
      <c r="FW122" s="106"/>
      <c r="FX122" s="106"/>
      <c r="FY122" s="106"/>
      <c r="FZ122" s="106"/>
      <c r="GA122" s="106"/>
      <c r="GB122" s="106"/>
      <c r="GC122" s="106"/>
      <c r="GD122" s="106"/>
      <c r="GE122" s="106"/>
      <c r="GF122" s="106"/>
      <c r="GG122" s="159"/>
    </row>
    <row r="123" spans="2:189" x14ac:dyDescent="0.2">
      <c r="B123" s="97">
        <v>43739</v>
      </c>
      <c r="C123" s="100">
        <v>70.400000000000006</v>
      </c>
      <c r="D123" s="100">
        <v>70.599999999999994</v>
      </c>
      <c r="E123" s="100">
        <v>70.599999999999994</v>
      </c>
      <c r="F123" s="100">
        <v>70.7</v>
      </c>
      <c r="G123" s="100">
        <v>70.5</v>
      </c>
      <c r="H123" s="100">
        <v>70.3</v>
      </c>
      <c r="I123" s="100">
        <v>70.400000000000006</v>
      </c>
      <c r="J123" s="100">
        <v>70.5</v>
      </c>
      <c r="K123" s="100">
        <v>70.599999999999994</v>
      </c>
      <c r="L123" s="100">
        <v>70.5</v>
      </c>
      <c r="M123" s="100">
        <v>70.5</v>
      </c>
      <c r="N123" s="100">
        <v>70.5</v>
      </c>
      <c r="O123" s="100">
        <v>70.5</v>
      </c>
      <c r="P123" s="100">
        <v>70.2</v>
      </c>
      <c r="Q123" s="100">
        <v>70.2</v>
      </c>
      <c r="R123" s="100">
        <v>70.099999999999994</v>
      </c>
      <c r="S123" s="100">
        <v>70.099999999999994</v>
      </c>
      <c r="T123" s="100">
        <v>70.099999999999994</v>
      </c>
      <c r="U123" s="100">
        <v>70.2</v>
      </c>
      <c r="V123" s="100">
        <v>70.2</v>
      </c>
      <c r="W123" s="100">
        <v>70.3</v>
      </c>
      <c r="X123" s="100">
        <v>70.5</v>
      </c>
      <c r="Y123" s="100">
        <v>70.5</v>
      </c>
      <c r="Z123" s="100">
        <v>70.7</v>
      </c>
      <c r="AA123" s="100">
        <v>70.900000000000006</v>
      </c>
      <c r="AB123" s="100">
        <v>71.099999999999994</v>
      </c>
      <c r="AC123" s="100">
        <v>71.2</v>
      </c>
      <c r="AD123" s="100">
        <v>71.099999999999994</v>
      </c>
      <c r="AE123" s="100">
        <v>71.099999999999994</v>
      </c>
      <c r="AF123" s="100">
        <v>71.3</v>
      </c>
      <c r="AG123" s="100">
        <v>71.400000000000006</v>
      </c>
      <c r="AH123" s="100">
        <v>71.400000000000006</v>
      </c>
      <c r="AI123" s="100">
        <v>71.2</v>
      </c>
      <c r="AJ123" s="100">
        <v>71.2</v>
      </c>
      <c r="AK123" s="100">
        <v>71.2</v>
      </c>
      <c r="AL123" s="100">
        <v>71.2</v>
      </c>
      <c r="AM123" s="100">
        <v>71.3</v>
      </c>
      <c r="AN123" s="100">
        <v>71.5</v>
      </c>
      <c r="AO123" s="100">
        <v>71.5</v>
      </c>
      <c r="AP123" s="100">
        <v>71.7</v>
      </c>
      <c r="AQ123" s="100">
        <v>71.900000000000006</v>
      </c>
      <c r="AR123" s="100">
        <v>72</v>
      </c>
      <c r="AS123" s="100">
        <v>72</v>
      </c>
      <c r="AT123" s="100">
        <v>72.099999999999994</v>
      </c>
      <c r="AU123" s="100">
        <v>72.400000000000006</v>
      </c>
      <c r="AV123" s="100">
        <v>72.5</v>
      </c>
      <c r="AW123" s="100">
        <v>72.7</v>
      </c>
      <c r="AX123" s="100">
        <v>72.900000000000006</v>
      </c>
      <c r="AY123" s="100">
        <v>72.8</v>
      </c>
      <c r="AZ123" s="100">
        <v>72.8</v>
      </c>
      <c r="BA123" s="100">
        <v>73</v>
      </c>
      <c r="BB123" s="100">
        <v>73</v>
      </c>
      <c r="BC123" s="100">
        <v>73</v>
      </c>
      <c r="BD123" s="100">
        <v>73</v>
      </c>
      <c r="BE123" s="100">
        <v>73.2</v>
      </c>
      <c r="BF123" s="100">
        <v>73.3</v>
      </c>
      <c r="BG123" s="100">
        <v>73.400000000000006</v>
      </c>
      <c r="BH123" s="100">
        <v>73.400000000000006</v>
      </c>
      <c r="BI123" s="100">
        <v>73.400000000000006</v>
      </c>
      <c r="BJ123" s="100">
        <v>73.3</v>
      </c>
      <c r="BK123" s="100">
        <v>73.400000000000006</v>
      </c>
      <c r="BL123" s="100">
        <v>73.5</v>
      </c>
      <c r="BM123" s="100">
        <v>73.599999999999994</v>
      </c>
      <c r="BN123" s="100">
        <v>73.8</v>
      </c>
      <c r="BO123" s="100">
        <v>74</v>
      </c>
      <c r="BP123" s="100">
        <v>74</v>
      </c>
      <c r="BQ123" s="100">
        <v>74.099999999999994</v>
      </c>
      <c r="BR123" s="100">
        <v>74.099999999999994</v>
      </c>
      <c r="BS123" s="100">
        <v>74.099999999999994</v>
      </c>
      <c r="BT123" s="100">
        <v>74.099999999999994</v>
      </c>
      <c r="BU123" s="100">
        <v>74.2</v>
      </c>
      <c r="BV123" s="100">
        <v>74.400000000000006</v>
      </c>
      <c r="BW123" s="100">
        <v>74.400000000000006</v>
      </c>
      <c r="BX123" s="100">
        <v>74.5</v>
      </c>
      <c r="BY123" s="100">
        <v>74.5</v>
      </c>
      <c r="BZ123" s="100">
        <v>74.400000000000006</v>
      </c>
      <c r="CA123" s="100">
        <v>74.400000000000006</v>
      </c>
      <c r="CB123" s="100">
        <v>74.400000000000006</v>
      </c>
      <c r="CC123" s="100">
        <v>74.599999999999994</v>
      </c>
      <c r="CD123" s="100">
        <v>74.5</v>
      </c>
      <c r="CE123" s="100">
        <v>74.599999999999994</v>
      </c>
      <c r="CF123" s="100">
        <v>74.8</v>
      </c>
      <c r="CG123" s="100">
        <v>74.8</v>
      </c>
      <c r="CH123" s="100">
        <v>74.900000000000006</v>
      </c>
      <c r="CI123" s="100">
        <v>75.099999999999994</v>
      </c>
      <c r="CJ123" s="100">
        <v>75.3</v>
      </c>
      <c r="CK123" s="100">
        <v>75.099999999999994</v>
      </c>
      <c r="CL123" s="100">
        <v>75</v>
      </c>
      <c r="CM123" s="100">
        <v>75.099999999999994</v>
      </c>
      <c r="CN123" s="100">
        <v>75.3</v>
      </c>
      <c r="CO123" s="100">
        <v>75.2</v>
      </c>
      <c r="CP123" s="100">
        <v>75.3</v>
      </c>
      <c r="CQ123" s="100">
        <v>75.400000000000006</v>
      </c>
      <c r="CR123" s="100">
        <v>75.599999999999994</v>
      </c>
      <c r="CS123" s="100">
        <v>75.599999999999994</v>
      </c>
      <c r="CT123" s="100">
        <v>75.599999999999994</v>
      </c>
      <c r="CU123" s="100">
        <v>75.5</v>
      </c>
      <c r="CV123" s="100">
        <v>75.5</v>
      </c>
      <c r="CW123" s="103">
        <v>75.599999999999994</v>
      </c>
      <c r="CX123" s="100">
        <v>75.599999999999994</v>
      </c>
      <c r="CY123" s="100">
        <v>75.7</v>
      </c>
      <c r="CZ123" s="100">
        <v>75.8</v>
      </c>
      <c r="DA123" s="100">
        <v>75.8</v>
      </c>
      <c r="DB123" s="100">
        <v>76.099999999999994</v>
      </c>
      <c r="DC123" s="100">
        <v>76.099999999999994</v>
      </c>
      <c r="DD123" s="100">
        <v>76.099999999999994</v>
      </c>
      <c r="DE123" s="100">
        <v>76.099999999999994</v>
      </c>
      <c r="DF123" s="100">
        <v>76</v>
      </c>
      <c r="DG123" s="100">
        <v>76.099999999999994</v>
      </c>
      <c r="DH123" s="100">
        <v>76.099999999999994</v>
      </c>
      <c r="DI123" s="102">
        <v>75.900000000000006</v>
      </c>
      <c r="DJ123" s="100"/>
      <c r="DK123" s="100"/>
      <c r="DL123" s="100"/>
      <c r="DM123" s="100"/>
      <c r="DN123" s="100"/>
      <c r="DO123" s="100"/>
      <c r="DP123" s="100"/>
      <c r="DQ123" s="100"/>
      <c r="DR123" s="100"/>
      <c r="DS123" s="100"/>
      <c r="DT123" s="100"/>
      <c r="DU123" s="100"/>
      <c r="DV123" s="100"/>
      <c r="DW123" s="100"/>
      <c r="DX123" s="100"/>
      <c r="DY123" s="100"/>
      <c r="DZ123" s="100"/>
      <c r="EA123" s="100"/>
      <c r="EB123" s="100"/>
      <c r="EC123" s="100"/>
      <c r="ED123" s="100"/>
      <c r="EE123" s="100"/>
      <c r="EF123" s="100"/>
      <c r="EG123" s="100"/>
      <c r="EH123" s="100"/>
      <c r="EI123" s="100"/>
      <c r="EJ123" s="100"/>
      <c r="EK123" s="100"/>
      <c r="EL123" s="100"/>
      <c r="EM123" s="100"/>
      <c r="EN123" s="100"/>
      <c r="EO123" s="100"/>
      <c r="EP123" s="100"/>
      <c r="EQ123" s="106"/>
      <c r="ER123" s="106"/>
      <c r="ES123" s="106"/>
      <c r="ET123" s="106"/>
      <c r="EU123" s="106"/>
      <c r="EV123" s="106"/>
      <c r="EW123" s="106"/>
      <c r="EX123" s="106"/>
      <c r="EY123" s="106"/>
      <c r="EZ123" s="106"/>
      <c r="FA123" s="106"/>
      <c r="FB123" s="106"/>
      <c r="FC123" s="106"/>
      <c r="FD123" s="106"/>
      <c r="FE123" s="106"/>
      <c r="FF123" s="106"/>
      <c r="FG123" s="106"/>
      <c r="FH123" s="106"/>
      <c r="FI123" s="106"/>
      <c r="FJ123" s="106"/>
      <c r="FK123" s="106"/>
      <c r="FL123" s="106"/>
      <c r="FM123" s="106"/>
      <c r="FN123" s="106"/>
      <c r="FO123" s="106"/>
      <c r="FP123" s="106"/>
      <c r="FQ123" s="106"/>
      <c r="FR123" s="106"/>
      <c r="FS123" s="106"/>
      <c r="FT123" s="106"/>
      <c r="FU123" s="106"/>
      <c r="FV123" s="106"/>
      <c r="FW123" s="106"/>
      <c r="FX123" s="106"/>
      <c r="FY123" s="106"/>
      <c r="FZ123" s="106"/>
      <c r="GA123" s="106"/>
      <c r="GB123" s="106"/>
      <c r="GC123" s="106"/>
      <c r="GD123" s="106"/>
      <c r="GE123" s="106"/>
      <c r="GF123" s="106"/>
      <c r="GG123" s="159"/>
    </row>
    <row r="124" spans="2:189" x14ac:dyDescent="0.2">
      <c r="B124" s="97">
        <v>43770</v>
      </c>
      <c r="C124" s="100">
        <v>70.400000000000006</v>
      </c>
      <c r="D124" s="100">
        <v>70.599999999999994</v>
      </c>
      <c r="E124" s="100">
        <v>70.599999999999994</v>
      </c>
      <c r="F124" s="100">
        <v>70.7</v>
      </c>
      <c r="G124" s="100">
        <v>70.5</v>
      </c>
      <c r="H124" s="100">
        <v>70.3</v>
      </c>
      <c r="I124" s="100">
        <v>70.400000000000006</v>
      </c>
      <c r="J124" s="100">
        <v>70.5</v>
      </c>
      <c r="K124" s="100">
        <v>70.599999999999994</v>
      </c>
      <c r="L124" s="100">
        <v>70.5</v>
      </c>
      <c r="M124" s="100">
        <v>70.5</v>
      </c>
      <c r="N124" s="100">
        <v>70.5</v>
      </c>
      <c r="O124" s="100">
        <v>70.5</v>
      </c>
      <c r="P124" s="100">
        <v>70.2</v>
      </c>
      <c r="Q124" s="100">
        <v>70.2</v>
      </c>
      <c r="R124" s="100">
        <v>70.099999999999994</v>
      </c>
      <c r="S124" s="100">
        <v>70.099999999999994</v>
      </c>
      <c r="T124" s="100">
        <v>70.099999999999994</v>
      </c>
      <c r="U124" s="100">
        <v>70.2</v>
      </c>
      <c r="V124" s="100">
        <v>70.2</v>
      </c>
      <c r="W124" s="100">
        <v>70.3</v>
      </c>
      <c r="X124" s="100">
        <v>70.5</v>
      </c>
      <c r="Y124" s="100">
        <v>70.5</v>
      </c>
      <c r="Z124" s="100">
        <v>70.7</v>
      </c>
      <c r="AA124" s="100">
        <v>70.900000000000006</v>
      </c>
      <c r="AB124" s="100">
        <v>71.099999999999994</v>
      </c>
      <c r="AC124" s="100">
        <v>71.2</v>
      </c>
      <c r="AD124" s="100">
        <v>71.099999999999994</v>
      </c>
      <c r="AE124" s="100">
        <v>71.099999999999994</v>
      </c>
      <c r="AF124" s="100">
        <v>71.3</v>
      </c>
      <c r="AG124" s="100">
        <v>71.400000000000006</v>
      </c>
      <c r="AH124" s="100">
        <v>71.400000000000006</v>
      </c>
      <c r="AI124" s="100">
        <v>71.2</v>
      </c>
      <c r="AJ124" s="100">
        <v>71.2</v>
      </c>
      <c r="AK124" s="100">
        <v>71.2</v>
      </c>
      <c r="AL124" s="100">
        <v>71.2</v>
      </c>
      <c r="AM124" s="100">
        <v>71.3</v>
      </c>
      <c r="AN124" s="100">
        <v>71.5</v>
      </c>
      <c r="AO124" s="100">
        <v>71.5</v>
      </c>
      <c r="AP124" s="100">
        <v>71.7</v>
      </c>
      <c r="AQ124" s="100">
        <v>71.900000000000006</v>
      </c>
      <c r="AR124" s="100">
        <v>72</v>
      </c>
      <c r="AS124" s="100">
        <v>72</v>
      </c>
      <c r="AT124" s="100">
        <v>72.099999999999994</v>
      </c>
      <c r="AU124" s="100">
        <v>72.400000000000006</v>
      </c>
      <c r="AV124" s="100">
        <v>72.5</v>
      </c>
      <c r="AW124" s="100">
        <v>72.7</v>
      </c>
      <c r="AX124" s="100">
        <v>72.900000000000006</v>
      </c>
      <c r="AY124" s="100">
        <v>72.8</v>
      </c>
      <c r="AZ124" s="100">
        <v>72.8</v>
      </c>
      <c r="BA124" s="100">
        <v>73</v>
      </c>
      <c r="BB124" s="100">
        <v>73</v>
      </c>
      <c r="BC124" s="100">
        <v>73</v>
      </c>
      <c r="BD124" s="100">
        <v>73</v>
      </c>
      <c r="BE124" s="100">
        <v>73.2</v>
      </c>
      <c r="BF124" s="100">
        <v>73.3</v>
      </c>
      <c r="BG124" s="100">
        <v>73.400000000000006</v>
      </c>
      <c r="BH124" s="100">
        <v>73.400000000000006</v>
      </c>
      <c r="BI124" s="100">
        <v>73.400000000000006</v>
      </c>
      <c r="BJ124" s="100">
        <v>73.3</v>
      </c>
      <c r="BK124" s="100">
        <v>73.400000000000006</v>
      </c>
      <c r="BL124" s="100">
        <v>73.5</v>
      </c>
      <c r="BM124" s="100">
        <v>73.599999999999994</v>
      </c>
      <c r="BN124" s="100">
        <v>73.8</v>
      </c>
      <c r="BO124" s="100">
        <v>74</v>
      </c>
      <c r="BP124" s="100">
        <v>74</v>
      </c>
      <c r="BQ124" s="100">
        <v>74.099999999999994</v>
      </c>
      <c r="BR124" s="100">
        <v>74.099999999999994</v>
      </c>
      <c r="BS124" s="100">
        <v>74.099999999999994</v>
      </c>
      <c r="BT124" s="100">
        <v>74.099999999999994</v>
      </c>
      <c r="BU124" s="100">
        <v>74.2</v>
      </c>
      <c r="BV124" s="100">
        <v>74.400000000000006</v>
      </c>
      <c r="BW124" s="100">
        <v>74.400000000000006</v>
      </c>
      <c r="BX124" s="100">
        <v>74.5</v>
      </c>
      <c r="BY124" s="100">
        <v>74.5</v>
      </c>
      <c r="BZ124" s="100">
        <v>74.400000000000006</v>
      </c>
      <c r="CA124" s="100">
        <v>74.400000000000006</v>
      </c>
      <c r="CB124" s="100">
        <v>74.400000000000006</v>
      </c>
      <c r="CC124" s="100">
        <v>74.599999999999994</v>
      </c>
      <c r="CD124" s="100">
        <v>74.5</v>
      </c>
      <c r="CE124" s="100">
        <v>74.599999999999994</v>
      </c>
      <c r="CF124" s="100">
        <v>74.8</v>
      </c>
      <c r="CG124" s="100">
        <v>74.8</v>
      </c>
      <c r="CH124" s="100">
        <v>74.900000000000006</v>
      </c>
      <c r="CI124" s="100">
        <v>75.099999999999994</v>
      </c>
      <c r="CJ124" s="100">
        <v>75.3</v>
      </c>
      <c r="CK124" s="100">
        <v>75.099999999999994</v>
      </c>
      <c r="CL124" s="100">
        <v>75</v>
      </c>
      <c r="CM124" s="100">
        <v>75.099999999999994</v>
      </c>
      <c r="CN124" s="100">
        <v>75.3</v>
      </c>
      <c r="CO124" s="100">
        <v>75.2</v>
      </c>
      <c r="CP124" s="100">
        <v>75.3</v>
      </c>
      <c r="CQ124" s="100">
        <v>75.400000000000006</v>
      </c>
      <c r="CR124" s="100">
        <v>75.599999999999994</v>
      </c>
      <c r="CS124" s="100">
        <v>75.599999999999994</v>
      </c>
      <c r="CT124" s="100">
        <v>75.599999999999994</v>
      </c>
      <c r="CU124" s="100">
        <v>75.5</v>
      </c>
      <c r="CV124" s="100">
        <v>75.5</v>
      </c>
      <c r="CW124" s="100">
        <v>75.599999999999994</v>
      </c>
      <c r="CX124" s="103">
        <v>75.599999999999994</v>
      </c>
      <c r="CY124" s="100">
        <v>75.7</v>
      </c>
      <c r="CZ124" s="100">
        <v>75.8</v>
      </c>
      <c r="DA124" s="100">
        <v>75.8</v>
      </c>
      <c r="DB124" s="100">
        <v>76.099999999999994</v>
      </c>
      <c r="DC124" s="100">
        <v>76.099999999999994</v>
      </c>
      <c r="DD124" s="100">
        <v>76.099999999999994</v>
      </c>
      <c r="DE124" s="100">
        <v>76.099999999999994</v>
      </c>
      <c r="DF124" s="100">
        <v>76</v>
      </c>
      <c r="DG124" s="100">
        <v>76.099999999999994</v>
      </c>
      <c r="DH124" s="100">
        <v>76.099999999999994</v>
      </c>
      <c r="DI124" s="100">
        <v>75.900000000000006</v>
      </c>
      <c r="DJ124" s="102">
        <v>76</v>
      </c>
      <c r="DK124" s="100"/>
      <c r="DL124" s="100"/>
      <c r="DM124" s="100"/>
      <c r="DN124" s="100"/>
      <c r="DO124" s="100"/>
      <c r="DP124" s="100"/>
      <c r="DQ124" s="100"/>
      <c r="DR124" s="100"/>
      <c r="DS124" s="100"/>
      <c r="DT124" s="100"/>
      <c r="DU124" s="100"/>
      <c r="DV124" s="100"/>
      <c r="DW124" s="100"/>
      <c r="DX124" s="100"/>
      <c r="DY124" s="100"/>
      <c r="DZ124" s="100"/>
      <c r="EA124" s="100"/>
      <c r="EB124" s="100"/>
      <c r="EC124" s="100"/>
      <c r="ED124" s="100"/>
      <c r="EE124" s="100"/>
      <c r="EF124" s="100"/>
      <c r="EG124" s="100"/>
      <c r="EH124" s="100"/>
      <c r="EI124" s="100"/>
      <c r="EJ124" s="100"/>
      <c r="EK124" s="100"/>
      <c r="EL124" s="100"/>
      <c r="EM124" s="100"/>
      <c r="EN124" s="100"/>
      <c r="EO124" s="100"/>
      <c r="EP124" s="100"/>
      <c r="EQ124" s="106"/>
      <c r="ER124" s="106"/>
      <c r="ES124" s="106"/>
      <c r="ET124" s="106"/>
      <c r="EU124" s="106"/>
      <c r="EV124" s="106"/>
      <c r="EW124" s="106"/>
      <c r="EX124" s="106"/>
      <c r="EY124" s="106"/>
      <c r="EZ124" s="106"/>
      <c r="FA124" s="106"/>
      <c r="FB124" s="106"/>
      <c r="FC124" s="106"/>
      <c r="FD124" s="106"/>
      <c r="FE124" s="106"/>
      <c r="FF124" s="106"/>
      <c r="FG124" s="106"/>
      <c r="FH124" s="106"/>
      <c r="FI124" s="106"/>
      <c r="FJ124" s="106"/>
      <c r="FK124" s="106"/>
      <c r="FL124" s="106"/>
      <c r="FM124" s="106"/>
      <c r="FN124" s="106"/>
      <c r="FO124" s="106"/>
      <c r="FP124" s="106"/>
      <c r="FQ124" s="106"/>
      <c r="FR124" s="106"/>
      <c r="FS124" s="106"/>
      <c r="FT124" s="106"/>
      <c r="FU124" s="106"/>
      <c r="FV124" s="106"/>
      <c r="FW124" s="106"/>
      <c r="FX124" s="106"/>
      <c r="FY124" s="106"/>
      <c r="FZ124" s="106"/>
      <c r="GA124" s="106"/>
      <c r="GB124" s="106"/>
      <c r="GC124" s="106"/>
      <c r="GD124" s="106"/>
      <c r="GE124" s="106"/>
      <c r="GF124" s="106"/>
      <c r="GG124" s="159"/>
    </row>
    <row r="125" spans="2:189" x14ac:dyDescent="0.2">
      <c r="B125" s="97">
        <v>43800</v>
      </c>
      <c r="C125" s="100">
        <v>70.400000000000006</v>
      </c>
      <c r="D125" s="100">
        <v>70.599999999999994</v>
      </c>
      <c r="E125" s="100">
        <v>70.599999999999994</v>
      </c>
      <c r="F125" s="100">
        <v>70.7</v>
      </c>
      <c r="G125" s="100">
        <v>70.5</v>
      </c>
      <c r="H125" s="100">
        <v>70.3</v>
      </c>
      <c r="I125" s="100">
        <v>70.400000000000006</v>
      </c>
      <c r="J125" s="100">
        <v>70.5</v>
      </c>
      <c r="K125" s="100">
        <v>70.599999999999994</v>
      </c>
      <c r="L125" s="100">
        <v>70.5</v>
      </c>
      <c r="M125" s="100">
        <v>70.5</v>
      </c>
      <c r="N125" s="100">
        <v>70.5</v>
      </c>
      <c r="O125" s="100">
        <v>70.5</v>
      </c>
      <c r="P125" s="100">
        <v>70.2</v>
      </c>
      <c r="Q125" s="100">
        <v>70.2</v>
      </c>
      <c r="R125" s="100">
        <v>70.099999999999994</v>
      </c>
      <c r="S125" s="100">
        <v>70.099999999999994</v>
      </c>
      <c r="T125" s="100">
        <v>70.099999999999994</v>
      </c>
      <c r="U125" s="100">
        <v>70.2</v>
      </c>
      <c r="V125" s="100">
        <v>70.2</v>
      </c>
      <c r="W125" s="100">
        <v>70.3</v>
      </c>
      <c r="X125" s="100">
        <v>70.5</v>
      </c>
      <c r="Y125" s="100">
        <v>70.5</v>
      </c>
      <c r="Z125" s="100">
        <v>70.7</v>
      </c>
      <c r="AA125" s="100">
        <v>70.900000000000006</v>
      </c>
      <c r="AB125" s="100">
        <v>71.099999999999994</v>
      </c>
      <c r="AC125" s="100">
        <v>71.2</v>
      </c>
      <c r="AD125" s="100">
        <v>71.099999999999994</v>
      </c>
      <c r="AE125" s="100">
        <v>71.099999999999994</v>
      </c>
      <c r="AF125" s="100">
        <v>71.3</v>
      </c>
      <c r="AG125" s="100">
        <v>71.400000000000006</v>
      </c>
      <c r="AH125" s="100">
        <v>71.400000000000006</v>
      </c>
      <c r="AI125" s="100">
        <v>71.2</v>
      </c>
      <c r="AJ125" s="100">
        <v>71.2</v>
      </c>
      <c r="AK125" s="100">
        <v>71.2</v>
      </c>
      <c r="AL125" s="100">
        <v>71.2</v>
      </c>
      <c r="AM125" s="100">
        <v>71.3</v>
      </c>
      <c r="AN125" s="100">
        <v>71.5</v>
      </c>
      <c r="AO125" s="100">
        <v>71.5</v>
      </c>
      <c r="AP125" s="100">
        <v>71.7</v>
      </c>
      <c r="AQ125" s="100">
        <v>71.900000000000006</v>
      </c>
      <c r="AR125" s="100">
        <v>72</v>
      </c>
      <c r="AS125" s="100">
        <v>72</v>
      </c>
      <c r="AT125" s="100">
        <v>72.099999999999994</v>
      </c>
      <c r="AU125" s="100">
        <v>72.400000000000006</v>
      </c>
      <c r="AV125" s="100">
        <v>72.5</v>
      </c>
      <c r="AW125" s="100">
        <v>72.7</v>
      </c>
      <c r="AX125" s="100">
        <v>72.900000000000006</v>
      </c>
      <c r="AY125" s="100">
        <v>72.8</v>
      </c>
      <c r="AZ125" s="100">
        <v>72.8</v>
      </c>
      <c r="BA125" s="100">
        <v>73</v>
      </c>
      <c r="BB125" s="100">
        <v>73</v>
      </c>
      <c r="BC125" s="100">
        <v>73</v>
      </c>
      <c r="BD125" s="100">
        <v>73</v>
      </c>
      <c r="BE125" s="100">
        <v>73.2</v>
      </c>
      <c r="BF125" s="100">
        <v>73.3</v>
      </c>
      <c r="BG125" s="100">
        <v>73.400000000000006</v>
      </c>
      <c r="BH125" s="100">
        <v>73.400000000000006</v>
      </c>
      <c r="BI125" s="100">
        <v>73.400000000000006</v>
      </c>
      <c r="BJ125" s="100">
        <v>73.3</v>
      </c>
      <c r="BK125" s="100">
        <v>73.400000000000006</v>
      </c>
      <c r="BL125" s="100">
        <v>73.5</v>
      </c>
      <c r="BM125" s="100">
        <v>73.599999999999994</v>
      </c>
      <c r="BN125" s="100">
        <v>73.8</v>
      </c>
      <c r="BO125" s="100">
        <v>74</v>
      </c>
      <c r="BP125" s="100">
        <v>74</v>
      </c>
      <c r="BQ125" s="100">
        <v>74.099999999999994</v>
      </c>
      <c r="BR125" s="100">
        <v>74.099999999999994</v>
      </c>
      <c r="BS125" s="100">
        <v>74.099999999999994</v>
      </c>
      <c r="BT125" s="100">
        <v>74.099999999999994</v>
      </c>
      <c r="BU125" s="100">
        <v>74.2</v>
      </c>
      <c r="BV125" s="100">
        <v>74.400000000000006</v>
      </c>
      <c r="BW125" s="100">
        <v>74.400000000000006</v>
      </c>
      <c r="BX125" s="100">
        <v>74.5</v>
      </c>
      <c r="BY125" s="100">
        <v>74.5</v>
      </c>
      <c r="BZ125" s="100">
        <v>74.400000000000006</v>
      </c>
      <c r="CA125" s="100">
        <v>74.400000000000006</v>
      </c>
      <c r="CB125" s="100">
        <v>74.400000000000006</v>
      </c>
      <c r="CC125" s="100">
        <v>74.599999999999994</v>
      </c>
      <c r="CD125" s="100">
        <v>74.5</v>
      </c>
      <c r="CE125" s="100">
        <v>74.599999999999994</v>
      </c>
      <c r="CF125" s="100">
        <v>74.8</v>
      </c>
      <c r="CG125" s="100">
        <v>74.8</v>
      </c>
      <c r="CH125" s="100">
        <v>74.900000000000006</v>
      </c>
      <c r="CI125" s="100">
        <v>75.099999999999994</v>
      </c>
      <c r="CJ125" s="100">
        <v>75.3</v>
      </c>
      <c r="CK125" s="100">
        <v>75.099999999999994</v>
      </c>
      <c r="CL125" s="100">
        <v>75</v>
      </c>
      <c r="CM125" s="100">
        <v>75.099999999999994</v>
      </c>
      <c r="CN125" s="100">
        <v>75.3</v>
      </c>
      <c r="CO125" s="100">
        <v>75.2</v>
      </c>
      <c r="CP125" s="100">
        <v>75.3</v>
      </c>
      <c r="CQ125" s="100">
        <v>75.400000000000006</v>
      </c>
      <c r="CR125" s="100">
        <v>75.599999999999994</v>
      </c>
      <c r="CS125" s="100">
        <v>75.599999999999994</v>
      </c>
      <c r="CT125" s="100">
        <v>75.599999999999994</v>
      </c>
      <c r="CU125" s="100">
        <v>75.5</v>
      </c>
      <c r="CV125" s="100">
        <v>75.5</v>
      </c>
      <c r="CW125" s="100">
        <v>75.599999999999994</v>
      </c>
      <c r="CX125" s="100">
        <v>75.599999999999994</v>
      </c>
      <c r="CY125" s="103">
        <v>75.7</v>
      </c>
      <c r="CZ125" s="100">
        <v>75.8</v>
      </c>
      <c r="DA125" s="100">
        <v>75.8</v>
      </c>
      <c r="DB125" s="100">
        <v>76.099999999999994</v>
      </c>
      <c r="DC125" s="100">
        <v>76.099999999999994</v>
      </c>
      <c r="DD125" s="100">
        <v>76.099999999999994</v>
      </c>
      <c r="DE125" s="100">
        <v>76.099999999999994</v>
      </c>
      <c r="DF125" s="100">
        <v>76</v>
      </c>
      <c r="DG125" s="100">
        <v>76.099999999999994</v>
      </c>
      <c r="DH125" s="100">
        <v>76.099999999999994</v>
      </c>
      <c r="DI125" s="100">
        <v>75.900000000000006</v>
      </c>
      <c r="DJ125" s="100">
        <v>76</v>
      </c>
      <c r="DK125" s="102">
        <v>76.2</v>
      </c>
      <c r="DL125" s="100"/>
      <c r="DM125" s="100"/>
      <c r="DN125" s="100"/>
      <c r="DO125" s="100"/>
      <c r="DP125" s="100"/>
      <c r="DQ125" s="100"/>
      <c r="DR125" s="100"/>
      <c r="DS125" s="100"/>
      <c r="DT125" s="100"/>
      <c r="DU125" s="100"/>
      <c r="DV125" s="100"/>
      <c r="DW125" s="100"/>
      <c r="DX125" s="100"/>
      <c r="DY125" s="100"/>
      <c r="DZ125" s="100"/>
      <c r="EA125" s="100"/>
      <c r="EB125" s="100"/>
      <c r="EC125" s="100"/>
      <c r="ED125" s="100"/>
      <c r="EE125" s="100"/>
      <c r="EF125" s="100"/>
      <c r="EG125" s="100"/>
      <c r="EH125" s="100"/>
      <c r="EI125" s="100"/>
      <c r="EJ125" s="100"/>
      <c r="EK125" s="100"/>
      <c r="EL125" s="100"/>
      <c r="EM125" s="100"/>
      <c r="EN125" s="100"/>
      <c r="EO125" s="100"/>
      <c r="EP125" s="100"/>
      <c r="EQ125" s="106"/>
      <c r="ER125" s="106"/>
      <c r="ES125" s="106"/>
      <c r="ET125" s="106"/>
      <c r="EU125" s="106"/>
      <c r="EV125" s="106"/>
      <c r="EW125" s="106"/>
      <c r="EX125" s="106"/>
      <c r="EY125" s="106"/>
      <c r="EZ125" s="106"/>
      <c r="FA125" s="106"/>
      <c r="FB125" s="106"/>
      <c r="FC125" s="106"/>
      <c r="FD125" s="106"/>
      <c r="FE125" s="106"/>
      <c r="FF125" s="106"/>
      <c r="FG125" s="106"/>
      <c r="FH125" s="106"/>
      <c r="FI125" s="106"/>
      <c r="FJ125" s="106"/>
      <c r="FK125" s="106"/>
      <c r="FL125" s="106"/>
      <c r="FM125" s="106"/>
      <c r="FN125" s="106"/>
      <c r="FO125" s="106"/>
      <c r="FP125" s="106"/>
      <c r="FQ125" s="106"/>
      <c r="FR125" s="106"/>
      <c r="FS125" s="106"/>
      <c r="FT125" s="106"/>
      <c r="FU125" s="106"/>
      <c r="FV125" s="106"/>
      <c r="FW125" s="106"/>
      <c r="FX125" s="106"/>
      <c r="FY125" s="106"/>
      <c r="FZ125" s="106"/>
      <c r="GA125" s="106"/>
      <c r="GB125" s="106"/>
      <c r="GC125" s="106"/>
      <c r="GD125" s="106"/>
      <c r="GE125" s="106"/>
      <c r="GF125" s="106"/>
      <c r="GG125" s="159"/>
    </row>
    <row r="126" spans="2:189" x14ac:dyDescent="0.2">
      <c r="B126" s="97">
        <v>43831</v>
      </c>
      <c r="C126" s="100">
        <v>70.400000000000006</v>
      </c>
      <c r="D126" s="100">
        <v>70.599999999999994</v>
      </c>
      <c r="E126" s="100">
        <v>70.599999999999994</v>
      </c>
      <c r="F126" s="100">
        <v>70.7</v>
      </c>
      <c r="G126" s="100">
        <v>70.5</v>
      </c>
      <c r="H126" s="100">
        <v>70.3</v>
      </c>
      <c r="I126" s="100">
        <v>70.400000000000006</v>
      </c>
      <c r="J126" s="100">
        <v>70.5</v>
      </c>
      <c r="K126" s="100">
        <v>70.599999999999994</v>
      </c>
      <c r="L126" s="100">
        <v>70.5</v>
      </c>
      <c r="M126" s="100">
        <v>70.5</v>
      </c>
      <c r="N126" s="100">
        <v>70.5</v>
      </c>
      <c r="O126" s="100">
        <v>70.5</v>
      </c>
      <c r="P126" s="100">
        <v>70.2</v>
      </c>
      <c r="Q126" s="100">
        <v>70.2</v>
      </c>
      <c r="R126" s="100">
        <v>70.099999999999994</v>
      </c>
      <c r="S126" s="100">
        <v>70.099999999999994</v>
      </c>
      <c r="T126" s="100">
        <v>70.099999999999994</v>
      </c>
      <c r="U126" s="100">
        <v>70.2</v>
      </c>
      <c r="V126" s="100">
        <v>70.2</v>
      </c>
      <c r="W126" s="100">
        <v>70.3</v>
      </c>
      <c r="X126" s="100">
        <v>70.5</v>
      </c>
      <c r="Y126" s="100">
        <v>70.5</v>
      </c>
      <c r="Z126" s="100">
        <v>70.7</v>
      </c>
      <c r="AA126" s="100">
        <v>70.900000000000006</v>
      </c>
      <c r="AB126" s="100">
        <v>71.099999999999994</v>
      </c>
      <c r="AC126" s="100">
        <v>71.2</v>
      </c>
      <c r="AD126" s="100">
        <v>71.099999999999994</v>
      </c>
      <c r="AE126" s="100">
        <v>71.099999999999994</v>
      </c>
      <c r="AF126" s="100">
        <v>71.3</v>
      </c>
      <c r="AG126" s="100">
        <v>71.400000000000006</v>
      </c>
      <c r="AH126" s="100">
        <v>71.400000000000006</v>
      </c>
      <c r="AI126" s="100">
        <v>71.2</v>
      </c>
      <c r="AJ126" s="100">
        <v>71.2</v>
      </c>
      <c r="AK126" s="100">
        <v>71.2</v>
      </c>
      <c r="AL126" s="100">
        <v>71.2</v>
      </c>
      <c r="AM126" s="100">
        <v>71.3</v>
      </c>
      <c r="AN126" s="100">
        <v>71.5</v>
      </c>
      <c r="AO126" s="100">
        <v>71.5</v>
      </c>
      <c r="AP126" s="100">
        <v>71.7</v>
      </c>
      <c r="AQ126" s="100">
        <v>71.900000000000006</v>
      </c>
      <c r="AR126" s="100">
        <v>72</v>
      </c>
      <c r="AS126" s="100">
        <v>72</v>
      </c>
      <c r="AT126" s="100">
        <v>72.099999999999994</v>
      </c>
      <c r="AU126" s="100">
        <v>72.400000000000006</v>
      </c>
      <c r="AV126" s="100">
        <v>72.5</v>
      </c>
      <c r="AW126" s="100">
        <v>72.7</v>
      </c>
      <c r="AX126" s="100">
        <v>72.900000000000006</v>
      </c>
      <c r="AY126" s="100">
        <v>72.8</v>
      </c>
      <c r="AZ126" s="100">
        <v>72.8</v>
      </c>
      <c r="BA126" s="100">
        <v>73</v>
      </c>
      <c r="BB126" s="100">
        <v>73</v>
      </c>
      <c r="BC126" s="100">
        <v>73</v>
      </c>
      <c r="BD126" s="100">
        <v>73</v>
      </c>
      <c r="BE126" s="100">
        <v>73.2</v>
      </c>
      <c r="BF126" s="100">
        <v>73.3</v>
      </c>
      <c r="BG126" s="100">
        <v>73.400000000000006</v>
      </c>
      <c r="BH126" s="100">
        <v>73.400000000000006</v>
      </c>
      <c r="BI126" s="100">
        <v>73.400000000000006</v>
      </c>
      <c r="BJ126" s="100">
        <v>73.3</v>
      </c>
      <c r="BK126" s="100">
        <v>73.400000000000006</v>
      </c>
      <c r="BL126" s="100">
        <v>73.5</v>
      </c>
      <c r="BM126" s="100">
        <v>73.599999999999994</v>
      </c>
      <c r="BN126" s="100">
        <v>73.8</v>
      </c>
      <c r="BO126" s="100">
        <v>74</v>
      </c>
      <c r="BP126" s="100">
        <v>74</v>
      </c>
      <c r="BQ126" s="100">
        <v>74.099999999999994</v>
      </c>
      <c r="BR126" s="100">
        <v>74.099999999999994</v>
      </c>
      <c r="BS126" s="100">
        <v>74.099999999999994</v>
      </c>
      <c r="BT126" s="100">
        <v>74.099999999999994</v>
      </c>
      <c r="BU126" s="100">
        <v>74.2</v>
      </c>
      <c r="BV126" s="100">
        <v>74.400000000000006</v>
      </c>
      <c r="BW126" s="100">
        <v>74.400000000000006</v>
      </c>
      <c r="BX126" s="100">
        <v>74.5</v>
      </c>
      <c r="BY126" s="100">
        <v>74.5</v>
      </c>
      <c r="BZ126" s="100">
        <v>74.400000000000006</v>
      </c>
      <c r="CA126" s="100">
        <v>74.400000000000006</v>
      </c>
      <c r="CB126" s="100">
        <v>74.400000000000006</v>
      </c>
      <c r="CC126" s="100">
        <v>74.599999999999994</v>
      </c>
      <c r="CD126" s="100">
        <v>74.5</v>
      </c>
      <c r="CE126" s="100">
        <v>74.599999999999994</v>
      </c>
      <c r="CF126" s="100">
        <v>74.8</v>
      </c>
      <c r="CG126" s="100">
        <v>74.8</v>
      </c>
      <c r="CH126" s="100">
        <v>74.900000000000006</v>
      </c>
      <c r="CI126" s="100">
        <v>75.099999999999994</v>
      </c>
      <c r="CJ126" s="100">
        <v>75.3</v>
      </c>
      <c r="CK126" s="100">
        <v>75.099999999999994</v>
      </c>
      <c r="CL126" s="100">
        <v>75</v>
      </c>
      <c r="CM126" s="100">
        <v>75.099999999999994</v>
      </c>
      <c r="CN126" s="100">
        <v>75.3</v>
      </c>
      <c r="CO126" s="100">
        <v>75.2</v>
      </c>
      <c r="CP126" s="100">
        <v>75.3</v>
      </c>
      <c r="CQ126" s="100">
        <v>75.400000000000006</v>
      </c>
      <c r="CR126" s="100">
        <v>75.599999999999994</v>
      </c>
      <c r="CS126" s="100">
        <v>75.599999999999994</v>
      </c>
      <c r="CT126" s="100">
        <v>75.599999999999994</v>
      </c>
      <c r="CU126" s="100">
        <v>75.5</v>
      </c>
      <c r="CV126" s="100">
        <v>75.5</v>
      </c>
      <c r="CW126" s="100">
        <v>75.599999999999994</v>
      </c>
      <c r="CX126" s="100">
        <v>75.599999999999994</v>
      </c>
      <c r="CY126" s="100">
        <v>75.7</v>
      </c>
      <c r="CZ126" s="103">
        <v>75.8</v>
      </c>
      <c r="DA126" s="100">
        <v>75.8</v>
      </c>
      <c r="DB126" s="100">
        <v>76.099999999999994</v>
      </c>
      <c r="DC126" s="100">
        <v>76.099999999999994</v>
      </c>
      <c r="DD126" s="100">
        <v>76.099999999999994</v>
      </c>
      <c r="DE126" s="100">
        <v>76.099999999999994</v>
      </c>
      <c r="DF126" s="100">
        <v>75.8</v>
      </c>
      <c r="DG126" s="100">
        <v>76.099999999999994</v>
      </c>
      <c r="DH126" s="100">
        <v>76</v>
      </c>
      <c r="DI126" s="100">
        <v>75.900000000000006</v>
      </c>
      <c r="DJ126" s="100">
        <v>76</v>
      </c>
      <c r="DK126" s="100">
        <v>76.2</v>
      </c>
      <c r="DL126" s="102">
        <v>76.3</v>
      </c>
      <c r="DM126" s="100"/>
      <c r="DN126" s="100"/>
      <c r="DO126" s="100"/>
      <c r="DP126" s="100"/>
      <c r="DQ126" s="100"/>
      <c r="DR126" s="100"/>
      <c r="DS126" s="100"/>
      <c r="DT126" s="100"/>
      <c r="DU126" s="100"/>
      <c r="DV126" s="100"/>
      <c r="DW126" s="100"/>
      <c r="DX126" s="100"/>
      <c r="DY126" s="100"/>
      <c r="DZ126" s="100"/>
      <c r="EA126" s="100"/>
      <c r="EB126" s="100"/>
      <c r="EC126" s="100"/>
      <c r="ED126" s="100"/>
      <c r="EE126" s="100"/>
      <c r="EF126" s="100"/>
      <c r="EG126" s="100"/>
      <c r="EH126" s="100"/>
      <c r="EI126" s="100"/>
      <c r="EJ126" s="100"/>
      <c r="EK126" s="100"/>
      <c r="EL126" s="100"/>
      <c r="EM126" s="100"/>
      <c r="EN126" s="100"/>
      <c r="EO126" s="100"/>
      <c r="EP126" s="100"/>
      <c r="EQ126" s="106"/>
      <c r="ER126" s="106"/>
      <c r="ES126" s="106"/>
      <c r="ET126" s="106"/>
      <c r="EU126" s="106"/>
      <c r="EV126" s="106"/>
      <c r="EW126" s="106"/>
      <c r="EX126" s="106"/>
      <c r="EY126" s="106"/>
      <c r="EZ126" s="106"/>
      <c r="FA126" s="106"/>
      <c r="FB126" s="106"/>
      <c r="FC126" s="106"/>
      <c r="FD126" s="106"/>
      <c r="FE126" s="106"/>
      <c r="FF126" s="106"/>
      <c r="FG126" s="106"/>
      <c r="FH126" s="106"/>
      <c r="FI126" s="106"/>
      <c r="FJ126" s="106"/>
      <c r="FK126" s="106"/>
      <c r="FL126" s="106"/>
      <c r="FM126" s="106"/>
      <c r="FN126" s="106"/>
      <c r="FO126" s="106"/>
      <c r="FP126" s="106"/>
      <c r="FQ126" s="106"/>
      <c r="FR126" s="106"/>
      <c r="FS126" s="106"/>
      <c r="FT126" s="106"/>
      <c r="FU126" s="106"/>
      <c r="FV126" s="106"/>
      <c r="FW126" s="106"/>
      <c r="FX126" s="106"/>
      <c r="FY126" s="106"/>
      <c r="FZ126" s="106"/>
      <c r="GA126" s="106"/>
      <c r="GB126" s="106"/>
      <c r="GC126" s="106"/>
      <c r="GD126" s="106"/>
      <c r="GE126" s="106"/>
      <c r="GF126" s="106"/>
      <c r="GG126" s="159"/>
    </row>
    <row r="127" spans="2:189" x14ac:dyDescent="0.2">
      <c r="B127" s="97">
        <v>43862</v>
      </c>
      <c r="C127" s="100">
        <v>70.400000000000006</v>
      </c>
      <c r="D127" s="100">
        <v>70.599999999999994</v>
      </c>
      <c r="E127" s="100">
        <v>70.599999999999994</v>
      </c>
      <c r="F127" s="100">
        <v>70.7</v>
      </c>
      <c r="G127" s="100">
        <v>70.5</v>
      </c>
      <c r="H127" s="100">
        <v>70.3</v>
      </c>
      <c r="I127" s="100">
        <v>70.400000000000006</v>
      </c>
      <c r="J127" s="100">
        <v>70.5</v>
      </c>
      <c r="K127" s="100">
        <v>70.599999999999994</v>
      </c>
      <c r="L127" s="100">
        <v>70.5</v>
      </c>
      <c r="M127" s="100">
        <v>70.5</v>
      </c>
      <c r="N127" s="100">
        <v>70.5</v>
      </c>
      <c r="O127" s="100">
        <v>70.5</v>
      </c>
      <c r="P127" s="100">
        <v>70.2</v>
      </c>
      <c r="Q127" s="100">
        <v>70.2</v>
      </c>
      <c r="R127" s="100">
        <v>70.099999999999994</v>
      </c>
      <c r="S127" s="100">
        <v>70.099999999999994</v>
      </c>
      <c r="T127" s="100">
        <v>70.099999999999994</v>
      </c>
      <c r="U127" s="100">
        <v>70.2</v>
      </c>
      <c r="V127" s="100">
        <v>70.2</v>
      </c>
      <c r="W127" s="100">
        <v>70.3</v>
      </c>
      <c r="X127" s="100">
        <v>70.5</v>
      </c>
      <c r="Y127" s="100">
        <v>70.5</v>
      </c>
      <c r="Z127" s="100">
        <v>70.7</v>
      </c>
      <c r="AA127" s="100">
        <v>70.900000000000006</v>
      </c>
      <c r="AB127" s="100">
        <v>71.099999999999994</v>
      </c>
      <c r="AC127" s="100">
        <v>71.2</v>
      </c>
      <c r="AD127" s="100">
        <v>71.099999999999994</v>
      </c>
      <c r="AE127" s="100">
        <v>71.099999999999994</v>
      </c>
      <c r="AF127" s="100">
        <v>71.3</v>
      </c>
      <c r="AG127" s="100">
        <v>71.400000000000006</v>
      </c>
      <c r="AH127" s="100">
        <v>71.400000000000006</v>
      </c>
      <c r="AI127" s="100">
        <v>71.2</v>
      </c>
      <c r="AJ127" s="100">
        <v>71.2</v>
      </c>
      <c r="AK127" s="100">
        <v>71.2</v>
      </c>
      <c r="AL127" s="100">
        <v>71.2</v>
      </c>
      <c r="AM127" s="100">
        <v>71.3</v>
      </c>
      <c r="AN127" s="100">
        <v>71.5</v>
      </c>
      <c r="AO127" s="100">
        <v>71.5</v>
      </c>
      <c r="AP127" s="100">
        <v>71.7</v>
      </c>
      <c r="AQ127" s="100">
        <v>71.900000000000006</v>
      </c>
      <c r="AR127" s="100">
        <v>72</v>
      </c>
      <c r="AS127" s="100">
        <v>72</v>
      </c>
      <c r="AT127" s="100">
        <v>72.099999999999994</v>
      </c>
      <c r="AU127" s="100">
        <v>72.400000000000006</v>
      </c>
      <c r="AV127" s="100">
        <v>72.5</v>
      </c>
      <c r="AW127" s="100">
        <v>72.7</v>
      </c>
      <c r="AX127" s="100">
        <v>72.900000000000006</v>
      </c>
      <c r="AY127" s="100">
        <v>72.8</v>
      </c>
      <c r="AZ127" s="100">
        <v>72.8</v>
      </c>
      <c r="BA127" s="100">
        <v>73</v>
      </c>
      <c r="BB127" s="100">
        <v>73</v>
      </c>
      <c r="BC127" s="100">
        <v>73</v>
      </c>
      <c r="BD127" s="100">
        <v>73</v>
      </c>
      <c r="BE127" s="100">
        <v>73.2</v>
      </c>
      <c r="BF127" s="100">
        <v>73.3</v>
      </c>
      <c r="BG127" s="100">
        <v>73.400000000000006</v>
      </c>
      <c r="BH127" s="100">
        <v>73.400000000000006</v>
      </c>
      <c r="BI127" s="100">
        <v>73.400000000000006</v>
      </c>
      <c r="BJ127" s="100">
        <v>73.3</v>
      </c>
      <c r="BK127" s="100">
        <v>73.400000000000006</v>
      </c>
      <c r="BL127" s="100">
        <v>73.5</v>
      </c>
      <c r="BM127" s="100">
        <v>73.599999999999994</v>
      </c>
      <c r="BN127" s="100">
        <v>73.8</v>
      </c>
      <c r="BO127" s="100">
        <v>74</v>
      </c>
      <c r="BP127" s="100">
        <v>74</v>
      </c>
      <c r="BQ127" s="100">
        <v>74.099999999999994</v>
      </c>
      <c r="BR127" s="100">
        <v>74.099999999999994</v>
      </c>
      <c r="BS127" s="100">
        <v>74.099999999999994</v>
      </c>
      <c r="BT127" s="100">
        <v>74.099999999999994</v>
      </c>
      <c r="BU127" s="100">
        <v>74.2</v>
      </c>
      <c r="BV127" s="100">
        <v>74.400000000000006</v>
      </c>
      <c r="BW127" s="100">
        <v>74.400000000000006</v>
      </c>
      <c r="BX127" s="100">
        <v>74.5</v>
      </c>
      <c r="BY127" s="100">
        <v>74.5</v>
      </c>
      <c r="BZ127" s="100">
        <v>74.400000000000006</v>
      </c>
      <c r="CA127" s="100">
        <v>74.400000000000006</v>
      </c>
      <c r="CB127" s="100">
        <v>74.400000000000006</v>
      </c>
      <c r="CC127" s="100">
        <v>74.599999999999994</v>
      </c>
      <c r="CD127" s="100">
        <v>74.5</v>
      </c>
      <c r="CE127" s="100">
        <v>74.599999999999994</v>
      </c>
      <c r="CF127" s="100">
        <v>74.8</v>
      </c>
      <c r="CG127" s="100">
        <v>74.8</v>
      </c>
      <c r="CH127" s="100">
        <v>74.900000000000006</v>
      </c>
      <c r="CI127" s="100">
        <v>75.099999999999994</v>
      </c>
      <c r="CJ127" s="100">
        <v>75.3</v>
      </c>
      <c r="CK127" s="100">
        <v>75.099999999999994</v>
      </c>
      <c r="CL127" s="100">
        <v>75</v>
      </c>
      <c r="CM127" s="100">
        <v>75.099999999999994</v>
      </c>
      <c r="CN127" s="100">
        <v>75.3</v>
      </c>
      <c r="CO127" s="100">
        <v>75.2</v>
      </c>
      <c r="CP127" s="100">
        <v>75.3</v>
      </c>
      <c r="CQ127" s="100">
        <v>75.400000000000006</v>
      </c>
      <c r="CR127" s="100">
        <v>75.599999999999994</v>
      </c>
      <c r="CS127" s="100">
        <v>75.599999999999994</v>
      </c>
      <c r="CT127" s="100">
        <v>75.599999999999994</v>
      </c>
      <c r="CU127" s="100">
        <v>75.5</v>
      </c>
      <c r="CV127" s="100">
        <v>75.5</v>
      </c>
      <c r="CW127" s="100">
        <v>75.599999999999994</v>
      </c>
      <c r="CX127" s="100">
        <v>75.599999999999994</v>
      </c>
      <c r="CY127" s="100">
        <v>75.7</v>
      </c>
      <c r="CZ127" s="100">
        <v>75.8</v>
      </c>
      <c r="DA127" s="103">
        <v>75.8</v>
      </c>
      <c r="DB127" s="100">
        <v>76.099999999999994</v>
      </c>
      <c r="DC127" s="100">
        <v>76.099999999999994</v>
      </c>
      <c r="DD127" s="100">
        <v>76.099999999999994</v>
      </c>
      <c r="DE127" s="100">
        <v>76.099999999999994</v>
      </c>
      <c r="DF127" s="100">
        <v>75.8</v>
      </c>
      <c r="DG127" s="100">
        <v>76.099999999999994</v>
      </c>
      <c r="DH127" s="100">
        <v>76</v>
      </c>
      <c r="DI127" s="100">
        <v>75.900000000000006</v>
      </c>
      <c r="DJ127" s="100">
        <v>76</v>
      </c>
      <c r="DK127" s="100">
        <v>76.2</v>
      </c>
      <c r="DL127" s="100">
        <v>76.3</v>
      </c>
      <c r="DM127" s="102">
        <v>76.5</v>
      </c>
      <c r="DN127" s="100"/>
      <c r="DO127" s="100"/>
      <c r="DP127" s="100"/>
      <c r="DQ127" s="100"/>
      <c r="DR127" s="100"/>
      <c r="DS127" s="100"/>
      <c r="DT127" s="100"/>
      <c r="DU127" s="100"/>
      <c r="DV127" s="100"/>
      <c r="DW127" s="100"/>
      <c r="DX127" s="100"/>
      <c r="DY127" s="100"/>
      <c r="DZ127" s="100"/>
      <c r="EA127" s="100"/>
      <c r="EB127" s="100"/>
      <c r="EC127" s="100"/>
      <c r="ED127" s="100"/>
      <c r="EE127" s="100"/>
      <c r="EF127" s="100"/>
      <c r="EG127" s="100"/>
      <c r="EH127" s="100"/>
      <c r="EI127" s="100"/>
      <c r="EJ127" s="100"/>
      <c r="EK127" s="100"/>
      <c r="EL127" s="100"/>
      <c r="EM127" s="100"/>
      <c r="EN127" s="100"/>
      <c r="EO127" s="100"/>
      <c r="EP127" s="100"/>
      <c r="EQ127" s="106"/>
      <c r="ER127" s="106"/>
      <c r="ES127" s="106"/>
      <c r="ET127" s="106"/>
      <c r="EU127" s="106"/>
      <c r="EV127" s="106"/>
      <c r="EW127" s="106"/>
      <c r="EX127" s="106"/>
      <c r="EY127" s="106"/>
      <c r="EZ127" s="106"/>
      <c r="FA127" s="106"/>
      <c r="FB127" s="106"/>
      <c r="FC127" s="106"/>
      <c r="FD127" s="106"/>
      <c r="FE127" s="106"/>
      <c r="FF127" s="106"/>
      <c r="FG127" s="106"/>
      <c r="FH127" s="106"/>
      <c r="FI127" s="106"/>
      <c r="FJ127" s="106"/>
      <c r="FK127" s="106"/>
      <c r="FL127" s="106"/>
      <c r="FM127" s="106"/>
      <c r="FN127" s="106"/>
      <c r="FO127" s="106"/>
      <c r="FP127" s="106"/>
      <c r="FQ127" s="106"/>
      <c r="FR127" s="106"/>
      <c r="FS127" s="106"/>
      <c r="FT127" s="106"/>
      <c r="FU127" s="106"/>
      <c r="FV127" s="106"/>
      <c r="FW127" s="106"/>
      <c r="FX127" s="106"/>
      <c r="FY127" s="106"/>
      <c r="FZ127" s="106"/>
      <c r="GA127" s="106"/>
      <c r="GB127" s="106"/>
      <c r="GC127" s="106"/>
      <c r="GD127" s="106"/>
      <c r="GE127" s="106"/>
      <c r="GF127" s="106"/>
      <c r="GG127" s="159"/>
    </row>
    <row r="128" spans="2:189" x14ac:dyDescent="0.2">
      <c r="B128" s="97">
        <v>43891</v>
      </c>
      <c r="C128" s="100">
        <v>70.400000000000006</v>
      </c>
      <c r="D128" s="100">
        <v>70.599999999999994</v>
      </c>
      <c r="E128" s="100">
        <v>70.599999999999994</v>
      </c>
      <c r="F128" s="100">
        <v>70.7</v>
      </c>
      <c r="G128" s="100">
        <v>70.5</v>
      </c>
      <c r="H128" s="100">
        <v>70.3</v>
      </c>
      <c r="I128" s="100">
        <v>70.400000000000006</v>
      </c>
      <c r="J128" s="100">
        <v>70.5</v>
      </c>
      <c r="K128" s="100">
        <v>70.599999999999994</v>
      </c>
      <c r="L128" s="100">
        <v>70.5</v>
      </c>
      <c r="M128" s="100">
        <v>70.5</v>
      </c>
      <c r="N128" s="100">
        <v>70.5</v>
      </c>
      <c r="O128" s="100">
        <v>70.5</v>
      </c>
      <c r="P128" s="100">
        <v>70.2</v>
      </c>
      <c r="Q128" s="100">
        <v>70.2</v>
      </c>
      <c r="R128" s="100">
        <v>70.099999999999994</v>
      </c>
      <c r="S128" s="100">
        <v>70.099999999999994</v>
      </c>
      <c r="T128" s="100">
        <v>70.099999999999994</v>
      </c>
      <c r="U128" s="100">
        <v>70.2</v>
      </c>
      <c r="V128" s="100">
        <v>70.2</v>
      </c>
      <c r="W128" s="100">
        <v>70.3</v>
      </c>
      <c r="X128" s="100">
        <v>70.5</v>
      </c>
      <c r="Y128" s="100">
        <v>70.5</v>
      </c>
      <c r="Z128" s="100">
        <v>70.7</v>
      </c>
      <c r="AA128" s="100">
        <v>70.900000000000006</v>
      </c>
      <c r="AB128" s="100">
        <v>71.099999999999994</v>
      </c>
      <c r="AC128" s="100">
        <v>71.2</v>
      </c>
      <c r="AD128" s="100">
        <v>71.099999999999994</v>
      </c>
      <c r="AE128" s="100">
        <v>71.099999999999994</v>
      </c>
      <c r="AF128" s="100">
        <v>71.3</v>
      </c>
      <c r="AG128" s="100">
        <v>71.400000000000006</v>
      </c>
      <c r="AH128" s="100">
        <v>71.400000000000006</v>
      </c>
      <c r="AI128" s="100">
        <v>71.2</v>
      </c>
      <c r="AJ128" s="100">
        <v>71.2</v>
      </c>
      <c r="AK128" s="100">
        <v>71.2</v>
      </c>
      <c r="AL128" s="100">
        <v>71.2</v>
      </c>
      <c r="AM128" s="100">
        <v>71.3</v>
      </c>
      <c r="AN128" s="100">
        <v>71.5</v>
      </c>
      <c r="AO128" s="100">
        <v>71.5</v>
      </c>
      <c r="AP128" s="100">
        <v>71.7</v>
      </c>
      <c r="AQ128" s="100">
        <v>71.900000000000006</v>
      </c>
      <c r="AR128" s="100">
        <v>72</v>
      </c>
      <c r="AS128" s="100">
        <v>72</v>
      </c>
      <c r="AT128" s="100">
        <v>72.099999999999994</v>
      </c>
      <c r="AU128" s="100">
        <v>72.400000000000006</v>
      </c>
      <c r="AV128" s="100">
        <v>72.5</v>
      </c>
      <c r="AW128" s="100">
        <v>72.7</v>
      </c>
      <c r="AX128" s="100">
        <v>72.900000000000006</v>
      </c>
      <c r="AY128" s="100">
        <v>72.8</v>
      </c>
      <c r="AZ128" s="100">
        <v>72.8</v>
      </c>
      <c r="BA128" s="100">
        <v>73</v>
      </c>
      <c r="BB128" s="100">
        <v>73</v>
      </c>
      <c r="BC128" s="100">
        <v>73</v>
      </c>
      <c r="BD128" s="100">
        <v>73</v>
      </c>
      <c r="BE128" s="100">
        <v>73.2</v>
      </c>
      <c r="BF128" s="100">
        <v>73.3</v>
      </c>
      <c r="BG128" s="100">
        <v>73.400000000000006</v>
      </c>
      <c r="BH128" s="100">
        <v>73.400000000000006</v>
      </c>
      <c r="BI128" s="100">
        <v>73.400000000000006</v>
      </c>
      <c r="BJ128" s="100">
        <v>73.3</v>
      </c>
      <c r="BK128" s="100">
        <v>73.400000000000006</v>
      </c>
      <c r="BL128" s="100">
        <v>73.5</v>
      </c>
      <c r="BM128" s="100">
        <v>73.599999999999994</v>
      </c>
      <c r="BN128" s="100">
        <v>73.8</v>
      </c>
      <c r="BO128" s="100">
        <v>74</v>
      </c>
      <c r="BP128" s="100">
        <v>74</v>
      </c>
      <c r="BQ128" s="100">
        <v>74.099999999999994</v>
      </c>
      <c r="BR128" s="100">
        <v>74.099999999999994</v>
      </c>
      <c r="BS128" s="100">
        <v>74.099999999999994</v>
      </c>
      <c r="BT128" s="100">
        <v>74.099999999999994</v>
      </c>
      <c r="BU128" s="100">
        <v>74.2</v>
      </c>
      <c r="BV128" s="100">
        <v>74.400000000000006</v>
      </c>
      <c r="BW128" s="100">
        <v>74.400000000000006</v>
      </c>
      <c r="BX128" s="100">
        <v>74.5</v>
      </c>
      <c r="BY128" s="100">
        <v>74.5</v>
      </c>
      <c r="BZ128" s="100">
        <v>74.400000000000006</v>
      </c>
      <c r="CA128" s="100">
        <v>74.400000000000006</v>
      </c>
      <c r="CB128" s="100">
        <v>74.400000000000006</v>
      </c>
      <c r="CC128" s="100">
        <v>74.599999999999994</v>
      </c>
      <c r="CD128" s="100">
        <v>74.5</v>
      </c>
      <c r="CE128" s="100">
        <v>74.599999999999994</v>
      </c>
      <c r="CF128" s="100">
        <v>74.8</v>
      </c>
      <c r="CG128" s="100">
        <v>74.8</v>
      </c>
      <c r="CH128" s="100">
        <v>74.900000000000006</v>
      </c>
      <c r="CI128" s="100">
        <v>75.099999999999994</v>
      </c>
      <c r="CJ128" s="100">
        <v>75.3</v>
      </c>
      <c r="CK128" s="100">
        <v>75.099999999999994</v>
      </c>
      <c r="CL128" s="100">
        <v>75</v>
      </c>
      <c r="CM128" s="100">
        <v>75.099999999999994</v>
      </c>
      <c r="CN128" s="100">
        <v>75.3</v>
      </c>
      <c r="CO128" s="100">
        <v>75.2</v>
      </c>
      <c r="CP128" s="100">
        <v>75.3</v>
      </c>
      <c r="CQ128" s="100">
        <v>75.400000000000006</v>
      </c>
      <c r="CR128" s="100">
        <v>75.599999999999994</v>
      </c>
      <c r="CS128" s="100">
        <v>75.599999999999994</v>
      </c>
      <c r="CT128" s="100">
        <v>75.599999999999994</v>
      </c>
      <c r="CU128" s="100">
        <v>75.5</v>
      </c>
      <c r="CV128" s="100">
        <v>75.5</v>
      </c>
      <c r="CW128" s="100">
        <v>75.599999999999994</v>
      </c>
      <c r="CX128" s="100">
        <v>75.599999999999994</v>
      </c>
      <c r="CY128" s="100">
        <v>75.7</v>
      </c>
      <c r="CZ128" s="100">
        <v>75.8</v>
      </c>
      <c r="DA128" s="100">
        <v>75.8</v>
      </c>
      <c r="DB128" s="103">
        <v>76.099999999999994</v>
      </c>
      <c r="DC128" s="100">
        <v>76.099999999999994</v>
      </c>
      <c r="DD128" s="100">
        <v>76.099999999999994</v>
      </c>
      <c r="DE128" s="100">
        <v>76.099999999999994</v>
      </c>
      <c r="DF128" s="100">
        <v>75.8</v>
      </c>
      <c r="DG128" s="100">
        <v>76.099999999999994</v>
      </c>
      <c r="DH128" s="100">
        <v>76</v>
      </c>
      <c r="DI128" s="100">
        <v>75.900000000000006</v>
      </c>
      <c r="DJ128" s="100">
        <v>76</v>
      </c>
      <c r="DK128" s="100">
        <v>76.2</v>
      </c>
      <c r="DL128" s="100">
        <v>76.3</v>
      </c>
      <c r="DM128" s="100">
        <v>76.5</v>
      </c>
      <c r="DN128" s="102">
        <v>76.5</v>
      </c>
      <c r="DO128" s="100"/>
      <c r="DP128" s="100"/>
      <c r="DQ128" s="100"/>
      <c r="DR128" s="100"/>
      <c r="DS128" s="100"/>
      <c r="DT128" s="100"/>
      <c r="DU128" s="100"/>
      <c r="DV128" s="100"/>
      <c r="DW128" s="100"/>
      <c r="DX128" s="100"/>
      <c r="DY128" s="100"/>
      <c r="DZ128" s="100"/>
      <c r="EA128" s="100"/>
      <c r="EB128" s="100"/>
      <c r="EC128" s="100"/>
      <c r="ED128" s="100"/>
      <c r="EE128" s="100"/>
      <c r="EF128" s="100"/>
      <c r="EG128" s="100"/>
      <c r="EH128" s="100"/>
      <c r="EI128" s="100"/>
      <c r="EJ128" s="100"/>
      <c r="EK128" s="100"/>
      <c r="EL128" s="100"/>
      <c r="EM128" s="100"/>
      <c r="EN128" s="100"/>
      <c r="EO128" s="100"/>
      <c r="EP128" s="100"/>
      <c r="EQ128" s="106"/>
      <c r="ER128" s="106"/>
      <c r="ES128" s="106"/>
      <c r="ET128" s="106"/>
      <c r="EU128" s="106"/>
      <c r="EV128" s="106"/>
      <c r="EW128" s="106"/>
      <c r="EX128" s="106"/>
      <c r="EY128" s="106"/>
      <c r="EZ128" s="106"/>
      <c r="FA128" s="106"/>
      <c r="FB128" s="106"/>
      <c r="FC128" s="106"/>
      <c r="FD128" s="106"/>
      <c r="FE128" s="106"/>
      <c r="FF128" s="106"/>
      <c r="FG128" s="106"/>
      <c r="FH128" s="106"/>
      <c r="FI128" s="106"/>
      <c r="FJ128" s="106"/>
      <c r="FK128" s="106"/>
      <c r="FL128" s="106"/>
      <c r="FM128" s="106"/>
      <c r="FN128" s="106"/>
      <c r="FO128" s="106"/>
      <c r="FP128" s="106"/>
      <c r="FQ128" s="106"/>
      <c r="FR128" s="106"/>
      <c r="FS128" s="106"/>
      <c r="FT128" s="106"/>
      <c r="FU128" s="106"/>
      <c r="FV128" s="106"/>
      <c r="FW128" s="106"/>
      <c r="FX128" s="106"/>
      <c r="FY128" s="106"/>
      <c r="FZ128" s="106"/>
      <c r="GA128" s="106"/>
      <c r="GB128" s="106"/>
      <c r="GC128" s="106"/>
      <c r="GD128" s="106"/>
      <c r="GE128" s="106"/>
      <c r="GF128" s="106"/>
      <c r="GG128" s="159"/>
    </row>
    <row r="129" spans="2:189" x14ac:dyDescent="0.2">
      <c r="B129" s="97">
        <v>43922</v>
      </c>
      <c r="C129" s="100">
        <v>70.400000000000006</v>
      </c>
      <c r="D129" s="100">
        <v>70.599999999999994</v>
      </c>
      <c r="E129" s="100">
        <v>70.599999999999994</v>
      </c>
      <c r="F129" s="100">
        <v>70.7</v>
      </c>
      <c r="G129" s="100">
        <v>70.5</v>
      </c>
      <c r="H129" s="100">
        <v>70.3</v>
      </c>
      <c r="I129" s="100">
        <v>70.400000000000006</v>
      </c>
      <c r="J129" s="100">
        <v>70.5</v>
      </c>
      <c r="K129" s="100">
        <v>70.599999999999994</v>
      </c>
      <c r="L129" s="100">
        <v>70.5</v>
      </c>
      <c r="M129" s="100">
        <v>70.5</v>
      </c>
      <c r="N129" s="100">
        <v>70.5</v>
      </c>
      <c r="O129" s="100">
        <v>70.5</v>
      </c>
      <c r="P129" s="100">
        <v>70.2</v>
      </c>
      <c r="Q129" s="100">
        <v>70.2</v>
      </c>
      <c r="R129" s="100">
        <v>70.099999999999994</v>
      </c>
      <c r="S129" s="100">
        <v>70.099999999999994</v>
      </c>
      <c r="T129" s="100">
        <v>70.099999999999994</v>
      </c>
      <c r="U129" s="100">
        <v>70.2</v>
      </c>
      <c r="V129" s="100">
        <v>70.2</v>
      </c>
      <c r="W129" s="100">
        <v>70.3</v>
      </c>
      <c r="X129" s="100">
        <v>70.5</v>
      </c>
      <c r="Y129" s="100">
        <v>70.5</v>
      </c>
      <c r="Z129" s="100">
        <v>70.7</v>
      </c>
      <c r="AA129" s="100">
        <v>70.900000000000006</v>
      </c>
      <c r="AB129" s="100">
        <v>71.099999999999994</v>
      </c>
      <c r="AC129" s="100">
        <v>71.2</v>
      </c>
      <c r="AD129" s="100">
        <v>71.099999999999994</v>
      </c>
      <c r="AE129" s="100">
        <v>71.099999999999994</v>
      </c>
      <c r="AF129" s="100">
        <v>71.3</v>
      </c>
      <c r="AG129" s="100">
        <v>71.400000000000006</v>
      </c>
      <c r="AH129" s="100">
        <v>71.400000000000006</v>
      </c>
      <c r="AI129" s="100">
        <v>71.2</v>
      </c>
      <c r="AJ129" s="100">
        <v>71.2</v>
      </c>
      <c r="AK129" s="100">
        <v>71.2</v>
      </c>
      <c r="AL129" s="100">
        <v>71.2</v>
      </c>
      <c r="AM129" s="100">
        <v>71.3</v>
      </c>
      <c r="AN129" s="100">
        <v>71.5</v>
      </c>
      <c r="AO129" s="100">
        <v>71.5</v>
      </c>
      <c r="AP129" s="100">
        <v>71.7</v>
      </c>
      <c r="AQ129" s="100">
        <v>71.900000000000006</v>
      </c>
      <c r="AR129" s="100">
        <v>72</v>
      </c>
      <c r="AS129" s="100">
        <v>72</v>
      </c>
      <c r="AT129" s="100">
        <v>72.099999999999994</v>
      </c>
      <c r="AU129" s="100">
        <v>72.400000000000006</v>
      </c>
      <c r="AV129" s="100">
        <v>72.5</v>
      </c>
      <c r="AW129" s="100">
        <v>72.7</v>
      </c>
      <c r="AX129" s="100">
        <v>72.900000000000006</v>
      </c>
      <c r="AY129" s="100">
        <v>72.8</v>
      </c>
      <c r="AZ129" s="100">
        <v>72.8</v>
      </c>
      <c r="BA129" s="100">
        <v>73</v>
      </c>
      <c r="BB129" s="100">
        <v>73</v>
      </c>
      <c r="BC129" s="100">
        <v>73</v>
      </c>
      <c r="BD129" s="100">
        <v>73</v>
      </c>
      <c r="BE129" s="100">
        <v>73.2</v>
      </c>
      <c r="BF129" s="100">
        <v>73.3</v>
      </c>
      <c r="BG129" s="100">
        <v>73.400000000000006</v>
      </c>
      <c r="BH129" s="100">
        <v>73.400000000000006</v>
      </c>
      <c r="BI129" s="100">
        <v>73.400000000000006</v>
      </c>
      <c r="BJ129" s="100">
        <v>73.3</v>
      </c>
      <c r="BK129" s="100">
        <v>73.400000000000006</v>
      </c>
      <c r="BL129" s="100">
        <v>73.5</v>
      </c>
      <c r="BM129" s="100">
        <v>73.599999999999994</v>
      </c>
      <c r="BN129" s="100">
        <v>73.8</v>
      </c>
      <c r="BO129" s="100">
        <v>74</v>
      </c>
      <c r="BP129" s="100">
        <v>74</v>
      </c>
      <c r="BQ129" s="100">
        <v>74.099999999999994</v>
      </c>
      <c r="BR129" s="100">
        <v>74.099999999999994</v>
      </c>
      <c r="BS129" s="100">
        <v>74.099999999999994</v>
      </c>
      <c r="BT129" s="100">
        <v>74.099999999999994</v>
      </c>
      <c r="BU129" s="100">
        <v>74.2</v>
      </c>
      <c r="BV129" s="100">
        <v>74.400000000000006</v>
      </c>
      <c r="BW129" s="100">
        <v>74.400000000000006</v>
      </c>
      <c r="BX129" s="100">
        <v>74.5</v>
      </c>
      <c r="BY129" s="100">
        <v>74.5</v>
      </c>
      <c r="BZ129" s="100">
        <v>74.400000000000006</v>
      </c>
      <c r="CA129" s="100">
        <v>74.400000000000006</v>
      </c>
      <c r="CB129" s="100">
        <v>74.400000000000006</v>
      </c>
      <c r="CC129" s="100">
        <v>74.599999999999994</v>
      </c>
      <c r="CD129" s="100">
        <v>74.5</v>
      </c>
      <c r="CE129" s="100">
        <v>74.599999999999994</v>
      </c>
      <c r="CF129" s="100">
        <v>74.8</v>
      </c>
      <c r="CG129" s="100">
        <v>74.8</v>
      </c>
      <c r="CH129" s="100">
        <v>74.900000000000006</v>
      </c>
      <c r="CI129" s="100">
        <v>75.099999999999994</v>
      </c>
      <c r="CJ129" s="100">
        <v>75.3</v>
      </c>
      <c r="CK129" s="100">
        <v>75.099999999999994</v>
      </c>
      <c r="CL129" s="100">
        <v>75</v>
      </c>
      <c r="CM129" s="100">
        <v>75.099999999999994</v>
      </c>
      <c r="CN129" s="100">
        <v>75.3</v>
      </c>
      <c r="CO129" s="100">
        <v>75.2</v>
      </c>
      <c r="CP129" s="100">
        <v>75.3</v>
      </c>
      <c r="CQ129" s="100">
        <v>75.400000000000006</v>
      </c>
      <c r="CR129" s="100">
        <v>75.599999999999994</v>
      </c>
      <c r="CS129" s="100">
        <v>75.599999999999994</v>
      </c>
      <c r="CT129" s="100">
        <v>75.599999999999994</v>
      </c>
      <c r="CU129" s="100">
        <v>75.5</v>
      </c>
      <c r="CV129" s="100">
        <v>75.5</v>
      </c>
      <c r="CW129" s="100">
        <v>75.599999999999994</v>
      </c>
      <c r="CX129" s="100">
        <v>75.599999999999994</v>
      </c>
      <c r="CY129" s="100">
        <v>75.7</v>
      </c>
      <c r="CZ129" s="100">
        <v>75.8</v>
      </c>
      <c r="DA129" s="100">
        <v>75.8</v>
      </c>
      <c r="DB129" s="100">
        <v>76.099999999999994</v>
      </c>
      <c r="DC129" s="103">
        <v>76.099999999999994</v>
      </c>
      <c r="DD129" s="100">
        <v>76.099999999999994</v>
      </c>
      <c r="DE129" s="100">
        <v>76.099999999999994</v>
      </c>
      <c r="DF129" s="100">
        <v>75.8</v>
      </c>
      <c r="DG129" s="100">
        <v>76.099999999999994</v>
      </c>
      <c r="DH129" s="100">
        <v>76</v>
      </c>
      <c r="DI129" s="100">
        <v>75.900000000000006</v>
      </c>
      <c r="DJ129" s="100">
        <v>76</v>
      </c>
      <c r="DK129" s="100">
        <v>76.2</v>
      </c>
      <c r="DL129" s="100">
        <v>76.3</v>
      </c>
      <c r="DM129" s="100">
        <v>76.5</v>
      </c>
      <c r="DN129" s="100">
        <v>76.5</v>
      </c>
      <c r="DO129" s="102">
        <v>76.599999999999994</v>
      </c>
      <c r="DP129" s="100"/>
      <c r="DQ129" s="100"/>
      <c r="DR129" s="100"/>
      <c r="DS129" s="100"/>
      <c r="DT129" s="100"/>
      <c r="DU129" s="100"/>
      <c r="DV129" s="100"/>
      <c r="DW129" s="100"/>
      <c r="DX129" s="100"/>
      <c r="DY129" s="100"/>
      <c r="DZ129" s="100"/>
      <c r="EA129" s="100"/>
      <c r="EB129" s="100"/>
      <c r="EC129" s="100"/>
      <c r="ED129" s="100"/>
      <c r="EE129" s="100"/>
      <c r="EF129" s="100"/>
      <c r="EG129" s="100"/>
      <c r="EH129" s="100"/>
      <c r="EI129" s="100"/>
      <c r="EJ129" s="100"/>
      <c r="EK129" s="100"/>
      <c r="EL129" s="100"/>
      <c r="EM129" s="100"/>
      <c r="EN129" s="100"/>
      <c r="EO129" s="100"/>
      <c r="EP129" s="100"/>
      <c r="EQ129" s="106"/>
      <c r="ER129" s="106"/>
      <c r="ES129" s="106"/>
      <c r="ET129" s="106"/>
      <c r="EU129" s="106"/>
      <c r="EV129" s="106"/>
      <c r="EW129" s="106"/>
      <c r="EX129" s="106"/>
      <c r="EY129" s="106"/>
      <c r="EZ129" s="106"/>
      <c r="FA129" s="106"/>
      <c r="FB129" s="106"/>
      <c r="FC129" s="106"/>
      <c r="FD129" s="106"/>
      <c r="FE129" s="106"/>
      <c r="FF129" s="106"/>
      <c r="FG129" s="106"/>
      <c r="FH129" s="106"/>
      <c r="FI129" s="106"/>
      <c r="FJ129" s="106"/>
      <c r="FK129" s="106"/>
      <c r="FL129" s="106"/>
      <c r="FM129" s="106"/>
      <c r="FN129" s="106"/>
      <c r="FO129" s="106"/>
      <c r="FP129" s="106"/>
      <c r="FQ129" s="106"/>
      <c r="FR129" s="106"/>
      <c r="FS129" s="106"/>
      <c r="FT129" s="106"/>
      <c r="FU129" s="106"/>
      <c r="FV129" s="106"/>
      <c r="FW129" s="106"/>
      <c r="FX129" s="106"/>
      <c r="FY129" s="106"/>
      <c r="FZ129" s="106"/>
      <c r="GA129" s="106"/>
      <c r="GB129" s="106"/>
      <c r="GC129" s="106"/>
      <c r="GD129" s="106"/>
      <c r="GE129" s="106"/>
      <c r="GF129" s="106"/>
      <c r="GG129" s="159"/>
    </row>
    <row r="130" spans="2:189" x14ac:dyDescent="0.2">
      <c r="B130" s="97">
        <v>43952</v>
      </c>
      <c r="C130" s="100">
        <v>70.400000000000006</v>
      </c>
      <c r="D130" s="100">
        <v>70.599999999999994</v>
      </c>
      <c r="E130" s="100">
        <v>70.599999999999994</v>
      </c>
      <c r="F130" s="100">
        <v>70.7</v>
      </c>
      <c r="G130" s="100">
        <v>70.5</v>
      </c>
      <c r="H130" s="100">
        <v>70.3</v>
      </c>
      <c r="I130" s="100">
        <v>70.400000000000006</v>
      </c>
      <c r="J130" s="100">
        <v>70.5</v>
      </c>
      <c r="K130" s="100">
        <v>70.599999999999994</v>
      </c>
      <c r="L130" s="100">
        <v>70.5</v>
      </c>
      <c r="M130" s="100">
        <v>70.5</v>
      </c>
      <c r="N130" s="100">
        <v>70.5</v>
      </c>
      <c r="O130" s="100">
        <v>70.5</v>
      </c>
      <c r="P130" s="100">
        <v>70.2</v>
      </c>
      <c r="Q130" s="100">
        <v>70.2</v>
      </c>
      <c r="R130" s="100">
        <v>70.099999999999994</v>
      </c>
      <c r="S130" s="100">
        <v>70.099999999999994</v>
      </c>
      <c r="T130" s="100">
        <v>70.099999999999994</v>
      </c>
      <c r="U130" s="100">
        <v>70.2</v>
      </c>
      <c r="V130" s="100">
        <v>70.2</v>
      </c>
      <c r="W130" s="100">
        <v>70.3</v>
      </c>
      <c r="X130" s="100">
        <v>70.5</v>
      </c>
      <c r="Y130" s="100">
        <v>70.5</v>
      </c>
      <c r="Z130" s="100">
        <v>70.7</v>
      </c>
      <c r="AA130" s="100">
        <v>70.900000000000006</v>
      </c>
      <c r="AB130" s="100">
        <v>71.099999999999994</v>
      </c>
      <c r="AC130" s="100">
        <v>71.2</v>
      </c>
      <c r="AD130" s="100">
        <v>71.099999999999994</v>
      </c>
      <c r="AE130" s="100">
        <v>71.099999999999994</v>
      </c>
      <c r="AF130" s="100">
        <v>71.3</v>
      </c>
      <c r="AG130" s="100">
        <v>71.400000000000006</v>
      </c>
      <c r="AH130" s="100">
        <v>71.400000000000006</v>
      </c>
      <c r="AI130" s="100">
        <v>71.2</v>
      </c>
      <c r="AJ130" s="100">
        <v>71.2</v>
      </c>
      <c r="AK130" s="100">
        <v>71.2</v>
      </c>
      <c r="AL130" s="100">
        <v>71.2</v>
      </c>
      <c r="AM130" s="100">
        <v>71.3</v>
      </c>
      <c r="AN130" s="100">
        <v>71.5</v>
      </c>
      <c r="AO130" s="100">
        <v>71.5</v>
      </c>
      <c r="AP130" s="100">
        <v>71.7</v>
      </c>
      <c r="AQ130" s="100">
        <v>71.900000000000006</v>
      </c>
      <c r="AR130" s="100">
        <v>72</v>
      </c>
      <c r="AS130" s="100">
        <v>72</v>
      </c>
      <c r="AT130" s="100">
        <v>72.099999999999994</v>
      </c>
      <c r="AU130" s="100">
        <v>72.400000000000006</v>
      </c>
      <c r="AV130" s="100">
        <v>72.5</v>
      </c>
      <c r="AW130" s="100">
        <v>72.7</v>
      </c>
      <c r="AX130" s="100">
        <v>72.900000000000006</v>
      </c>
      <c r="AY130" s="100">
        <v>72.8</v>
      </c>
      <c r="AZ130" s="100">
        <v>72.8</v>
      </c>
      <c r="BA130" s="100">
        <v>73</v>
      </c>
      <c r="BB130" s="100">
        <v>73</v>
      </c>
      <c r="BC130" s="100">
        <v>73</v>
      </c>
      <c r="BD130" s="100">
        <v>73</v>
      </c>
      <c r="BE130" s="100">
        <v>73.2</v>
      </c>
      <c r="BF130" s="100">
        <v>73.3</v>
      </c>
      <c r="BG130" s="100">
        <v>73.400000000000006</v>
      </c>
      <c r="BH130" s="100">
        <v>73.400000000000006</v>
      </c>
      <c r="BI130" s="100">
        <v>73.400000000000006</v>
      </c>
      <c r="BJ130" s="100">
        <v>73.3</v>
      </c>
      <c r="BK130" s="100">
        <v>73.400000000000006</v>
      </c>
      <c r="BL130" s="100">
        <v>73.5</v>
      </c>
      <c r="BM130" s="100">
        <v>73.599999999999994</v>
      </c>
      <c r="BN130" s="100">
        <v>73.8</v>
      </c>
      <c r="BO130" s="100">
        <v>74</v>
      </c>
      <c r="BP130" s="100">
        <v>74</v>
      </c>
      <c r="BQ130" s="100">
        <v>74.099999999999994</v>
      </c>
      <c r="BR130" s="100">
        <v>74.099999999999994</v>
      </c>
      <c r="BS130" s="100">
        <v>74.099999999999994</v>
      </c>
      <c r="BT130" s="100">
        <v>74.099999999999994</v>
      </c>
      <c r="BU130" s="100">
        <v>74.2</v>
      </c>
      <c r="BV130" s="100">
        <v>74.400000000000006</v>
      </c>
      <c r="BW130" s="100">
        <v>74.400000000000006</v>
      </c>
      <c r="BX130" s="100">
        <v>74.5</v>
      </c>
      <c r="BY130" s="100">
        <v>74.5</v>
      </c>
      <c r="BZ130" s="100">
        <v>74.400000000000006</v>
      </c>
      <c r="CA130" s="100">
        <v>74.400000000000006</v>
      </c>
      <c r="CB130" s="100">
        <v>74.400000000000006</v>
      </c>
      <c r="CC130" s="100">
        <v>74.599999999999994</v>
      </c>
      <c r="CD130" s="100">
        <v>74.5</v>
      </c>
      <c r="CE130" s="100">
        <v>74.599999999999994</v>
      </c>
      <c r="CF130" s="100">
        <v>74.8</v>
      </c>
      <c r="CG130" s="100">
        <v>74.8</v>
      </c>
      <c r="CH130" s="100">
        <v>74.900000000000006</v>
      </c>
      <c r="CI130" s="100">
        <v>75.099999999999994</v>
      </c>
      <c r="CJ130" s="100">
        <v>75.3</v>
      </c>
      <c r="CK130" s="100">
        <v>75.099999999999994</v>
      </c>
      <c r="CL130" s="100">
        <v>75</v>
      </c>
      <c r="CM130" s="100">
        <v>75.099999999999994</v>
      </c>
      <c r="CN130" s="100">
        <v>75.3</v>
      </c>
      <c r="CO130" s="100">
        <v>75.2</v>
      </c>
      <c r="CP130" s="100">
        <v>75.3</v>
      </c>
      <c r="CQ130" s="100">
        <v>75.400000000000006</v>
      </c>
      <c r="CR130" s="100">
        <v>75.599999999999994</v>
      </c>
      <c r="CS130" s="100">
        <v>75.599999999999994</v>
      </c>
      <c r="CT130" s="100">
        <v>75.599999999999994</v>
      </c>
      <c r="CU130" s="100">
        <v>75.5</v>
      </c>
      <c r="CV130" s="100">
        <v>75.5</v>
      </c>
      <c r="CW130" s="100">
        <v>75.599999999999994</v>
      </c>
      <c r="CX130" s="100">
        <v>75.599999999999994</v>
      </c>
      <c r="CY130" s="100">
        <v>75.7</v>
      </c>
      <c r="CZ130" s="100">
        <v>75.8</v>
      </c>
      <c r="DA130" s="100">
        <v>75.8</v>
      </c>
      <c r="DB130" s="100">
        <v>76.099999999999994</v>
      </c>
      <c r="DC130" s="100">
        <v>76.099999999999994</v>
      </c>
      <c r="DD130" s="103">
        <v>76.099999999999994</v>
      </c>
      <c r="DE130" s="100">
        <v>76.099999999999994</v>
      </c>
      <c r="DF130" s="100">
        <v>75.8</v>
      </c>
      <c r="DG130" s="100">
        <v>76.099999999999994</v>
      </c>
      <c r="DH130" s="100">
        <v>76</v>
      </c>
      <c r="DI130" s="100">
        <v>75.900000000000006</v>
      </c>
      <c r="DJ130" s="100">
        <v>76</v>
      </c>
      <c r="DK130" s="100">
        <v>76.2</v>
      </c>
      <c r="DL130" s="100">
        <v>76.3</v>
      </c>
      <c r="DM130" s="100">
        <v>76.5</v>
      </c>
      <c r="DN130" s="100">
        <v>76.5</v>
      </c>
      <c r="DO130" s="100">
        <v>76.599999999999994</v>
      </c>
      <c r="DP130" s="102">
        <v>76.599999999999994</v>
      </c>
      <c r="DQ130" s="100"/>
      <c r="DR130" s="100"/>
      <c r="DS130" s="100"/>
      <c r="DT130" s="100"/>
      <c r="DU130" s="100"/>
      <c r="DV130" s="100"/>
      <c r="DW130" s="100"/>
      <c r="DX130" s="100"/>
      <c r="DY130" s="100"/>
      <c r="DZ130" s="100"/>
      <c r="EA130" s="100"/>
      <c r="EB130" s="100"/>
      <c r="EC130" s="100"/>
      <c r="ED130" s="100"/>
      <c r="EE130" s="100"/>
      <c r="EF130" s="100"/>
      <c r="EG130" s="100"/>
      <c r="EH130" s="100"/>
      <c r="EI130" s="100"/>
      <c r="EJ130" s="100"/>
      <c r="EK130" s="100"/>
      <c r="EL130" s="100"/>
      <c r="EM130" s="100"/>
      <c r="EN130" s="100"/>
      <c r="EO130" s="100"/>
      <c r="EP130" s="100"/>
      <c r="EQ130" s="106"/>
      <c r="ER130" s="106"/>
      <c r="ES130" s="106"/>
      <c r="ET130" s="106"/>
      <c r="EU130" s="106"/>
      <c r="EV130" s="106"/>
      <c r="EW130" s="106"/>
      <c r="EX130" s="106"/>
      <c r="EY130" s="106"/>
      <c r="EZ130" s="106"/>
      <c r="FA130" s="106"/>
      <c r="FB130" s="106"/>
      <c r="FC130" s="106"/>
      <c r="FD130" s="106"/>
      <c r="FE130" s="106"/>
      <c r="FF130" s="106"/>
      <c r="FG130" s="106"/>
      <c r="FH130" s="106"/>
      <c r="FI130" s="106"/>
      <c r="FJ130" s="106"/>
      <c r="FK130" s="106"/>
      <c r="FL130" s="106"/>
      <c r="FM130" s="106"/>
      <c r="FN130" s="106"/>
      <c r="FO130" s="106"/>
      <c r="FP130" s="106"/>
      <c r="FQ130" s="106"/>
      <c r="FR130" s="106"/>
      <c r="FS130" s="106"/>
      <c r="FT130" s="106"/>
      <c r="FU130" s="106"/>
      <c r="FV130" s="106"/>
      <c r="FW130" s="106"/>
      <c r="FX130" s="106"/>
      <c r="FY130" s="106"/>
      <c r="FZ130" s="106"/>
      <c r="GA130" s="106"/>
      <c r="GB130" s="106"/>
      <c r="GC130" s="106"/>
      <c r="GD130" s="106"/>
      <c r="GE130" s="106"/>
      <c r="GF130" s="106"/>
      <c r="GG130" s="159"/>
    </row>
    <row r="131" spans="2:189" x14ac:dyDescent="0.2">
      <c r="B131" s="97">
        <v>43983</v>
      </c>
      <c r="C131" s="100">
        <v>70.400000000000006</v>
      </c>
      <c r="D131" s="100">
        <v>70.599999999999994</v>
      </c>
      <c r="E131" s="100">
        <v>70.599999999999994</v>
      </c>
      <c r="F131" s="100">
        <v>70.7</v>
      </c>
      <c r="G131" s="100">
        <v>70.5</v>
      </c>
      <c r="H131" s="100">
        <v>70.3</v>
      </c>
      <c r="I131" s="100">
        <v>70.400000000000006</v>
      </c>
      <c r="J131" s="100">
        <v>70.5</v>
      </c>
      <c r="K131" s="100">
        <v>70.599999999999994</v>
      </c>
      <c r="L131" s="100">
        <v>70.5</v>
      </c>
      <c r="M131" s="100">
        <v>70.5</v>
      </c>
      <c r="N131" s="100">
        <v>70.5</v>
      </c>
      <c r="O131" s="100">
        <v>70.5</v>
      </c>
      <c r="P131" s="100">
        <v>70.2</v>
      </c>
      <c r="Q131" s="100">
        <v>70.2</v>
      </c>
      <c r="R131" s="100">
        <v>70.099999999999994</v>
      </c>
      <c r="S131" s="100">
        <v>70.099999999999994</v>
      </c>
      <c r="T131" s="100">
        <v>70.099999999999994</v>
      </c>
      <c r="U131" s="100">
        <v>70.2</v>
      </c>
      <c r="V131" s="100">
        <v>70.2</v>
      </c>
      <c r="W131" s="100">
        <v>70.3</v>
      </c>
      <c r="X131" s="100">
        <v>70.5</v>
      </c>
      <c r="Y131" s="100">
        <v>70.5</v>
      </c>
      <c r="Z131" s="100">
        <v>70.7</v>
      </c>
      <c r="AA131" s="100">
        <v>70.900000000000006</v>
      </c>
      <c r="AB131" s="100">
        <v>71.099999999999994</v>
      </c>
      <c r="AC131" s="100">
        <v>71.2</v>
      </c>
      <c r="AD131" s="100">
        <v>71.099999999999994</v>
      </c>
      <c r="AE131" s="100">
        <v>71.099999999999994</v>
      </c>
      <c r="AF131" s="100">
        <v>71.3</v>
      </c>
      <c r="AG131" s="100">
        <v>71.400000000000006</v>
      </c>
      <c r="AH131" s="100">
        <v>71.400000000000006</v>
      </c>
      <c r="AI131" s="100">
        <v>71.2</v>
      </c>
      <c r="AJ131" s="100">
        <v>71.2</v>
      </c>
      <c r="AK131" s="100">
        <v>71.2</v>
      </c>
      <c r="AL131" s="100">
        <v>71.2</v>
      </c>
      <c r="AM131" s="100">
        <v>71.3</v>
      </c>
      <c r="AN131" s="100">
        <v>71.5</v>
      </c>
      <c r="AO131" s="100">
        <v>71.5</v>
      </c>
      <c r="AP131" s="100">
        <v>71.7</v>
      </c>
      <c r="AQ131" s="100">
        <v>71.900000000000006</v>
      </c>
      <c r="AR131" s="100">
        <v>72</v>
      </c>
      <c r="AS131" s="100">
        <v>72</v>
      </c>
      <c r="AT131" s="100">
        <v>72.099999999999994</v>
      </c>
      <c r="AU131" s="100">
        <v>72.400000000000006</v>
      </c>
      <c r="AV131" s="100">
        <v>72.5</v>
      </c>
      <c r="AW131" s="100">
        <v>72.7</v>
      </c>
      <c r="AX131" s="100">
        <v>72.900000000000006</v>
      </c>
      <c r="AY131" s="100">
        <v>72.8</v>
      </c>
      <c r="AZ131" s="100">
        <v>72.8</v>
      </c>
      <c r="BA131" s="100">
        <v>73</v>
      </c>
      <c r="BB131" s="100">
        <v>73</v>
      </c>
      <c r="BC131" s="100">
        <v>73</v>
      </c>
      <c r="BD131" s="100">
        <v>73</v>
      </c>
      <c r="BE131" s="100">
        <v>73.2</v>
      </c>
      <c r="BF131" s="100">
        <v>73.3</v>
      </c>
      <c r="BG131" s="100">
        <v>73.400000000000006</v>
      </c>
      <c r="BH131" s="100">
        <v>73.400000000000006</v>
      </c>
      <c r="BI131" s="100">
        <v>73.400000000000006</v>
      </c>
      <c r="BJ131" s="100">
        <v>73.3</v>
      </c>
      <c r="BK131" s="100">
        <v>73.400000000000006</v>
      </c>
      <c r="BL131" s="100">
        <v>73.5</v>
      </c>
      <c r="BM131" s="100">
        <v>73.599999999999994</v>
      </c>
      <c r="BN131" s="100">
        <v>73.8</v>
      </c>
      <c r="BO131" s="100">
        <v>74</v>
      </c>
      <c r="BP131" s="100">
        <v>74</v>
      </c>
      <c r="BQ131" s="100">
        <v>74.099999999999994</v>
      </c>
      <c r="BR131" s="100">
        <v>74.099999999999994</v>
      </c>
      <c r="BS131" s="100">
        <v>74.099999999999994</v>
      </c>
      <c r="BT131" s="100">
        <v>74.099999999999994</v>
      </c>
      <c r="BU131" s="100">
        <v>74.2</v>
      </c>
      <c r="BV131" s="100">
        <v>74.400000000000006</v>
      </c>
      <c r="BW131" s="100">
        <v>74.400000000000006</v>
      </c>
      <c r="BX131" s="100">
        <v>74.5</v>
      </c>
      <c r="BY131" s="100">
        <v>74.5</v>
      </c>
      <c r="BZ131" s="100">
        <v>74.400000000000006</v>
      </c>
      <c r="CA131" s="100">
        <v>74.400000000000006</v>
      </c>
      <c r="CB131" s="100">
        <v>74.400000000000006</v>
      </c>
      <c r="CC131" s="100">
        <v>74.599999999999994</v>
      </c>
      <c r="CD131" s="100">
        <v>74.5</v>
      </c>
      <c r="CE131" s="100">
        <v>74.599999999999994</v>
      </c>
      <c r="CF131" s="100">
        <v>74.8</v>
      </c>
      <c r="CG131" s="100">
        <v>74.8</v>
      </c>
      <c r="CH131" s="100">
        <v>74.900000000000006</v>
      </c>
      <c r="CI131" s="100">
        <v>75.099999999999994</v>
      </c>
      <c r="CJ131" s="100">
        <v>75.3</v>
      </c>
      <c r="CK131" s="100">
        <v>75.099999999999994</v>
      </c>
      <c r="CL131" s="100">
        <v>75</v>
      </c>
      <c r="CM131" s="100">
        <v>75.099999999999994</v>
      </c>
      <c r="CN131" s="100">
        <v>75.3</v>
      </c>
      <c r="CO131" s="100">
        <v>75.2</v>
      </c>
      <c r="CP131" s="100">
        <v>75.3</v>
      </c>
      <c r="CQ131" s="100">
        <v>75.400000000000006</v>
      </c>
      <c r="CR131" s="100">
        <v>75.599999999999994</v>
      </c>
      <c r="CS131" s="100">
        <v>75.599999999999994</v>
      </c>
      <c r="CT131" s="100">
        <v>75.599999999999994</v>
      </c>
      <c r="CU131" s="100">
        <v>75.5</v>
      </c>
      <c r="CV131" s="100">
        <v>75.5</v>
      </c>
      <c r="CW131" s="100">
        <v>75.599999999999994</v>
      </c>
      <c r="CX131" s="100">
        <v>75.599999999999994</v>
      </c>
      <c r="CY131" s="100">
        <v>75.7</v>
      </c>
      <c r="CZ131" s="100">
        <v>75.8</v>
      </c>
      <c r="DA131" s="100">
        <v>75.8</v>
      </c>
      <c r="DB131" s="100">
        <v>76.099999999999994</v>
      </c>
      <c r="DC131" s="100">
        <v>76.099999999999994</v>
      </c>
      <c r="DD131" s="100">
        <v>76.099999999999994</v>
      </c>
      <c r="DE131" s="103">
        <v>76.099999999999994</v>
      </c>
      <c r="DF131" s="100">
        <v>75.8</v>
      </c>
      <c r="DG131" s="100">
        <v>76.099999999999994</v>
      </c>
      <c r="DH131" s="100">
        <v>76</v>
      </c>
      <c r="DI131" s="100">
        <v>75.900000000000006</v>
      </c>
      <c r="DJ131" s="100">
        <v>76</v>
      </c>
      <c r="DK131" s="100">
        <v>76.2</v>
      </c>
      <c r="DL131" s="100">
        <v>76.3</v>
      </c>
      <c r="DM131" s="100">
        <v>76.5</v>
      </c>
      <c r="DN131" s="100">
        <v>76.5</v>
      </c>
      <c r="DO131" s="100">
        <v>76.599999999999994</v>
      </c>
      <c r="DP131" s="100">
        <v>76.599999999999994</v>
      </c>
      <c r="DQ131" s="102">
        <v>76.400000000000006</v>
      </c>
      <c r="DR131" s="100"/>
      <c r="DS131" s="100"/>
      <c r="DT131" s="100"/>
      <c r="DU131" s="100"/>
      <c r="DV131" s="100"/>
      <c r="DW131" s="100"/>
      <c r="DX131" s="100"/>
      <c r="DY131" s="100"/>
      <c r="DZ131" s="100"/>
      <c r="EA131" s="100"/>
      <c r="EB131" s="100"/>
      <c r="EC131" s="100"/>
      <c r="ED131" s="100"/>
      <c r="EE131" s="100"/>
      <c r="EF131" s="100"/>
      <c r="EG131" s="100"/>
      <c r="EH131" s="100"/>
      <c r="EI131" s="100"/>
      <c r="EJ131" s="100"/>
      <c r="EK131" s="100"/>
      <c r="EL131" s="100"/>
      <c r="EM131" s="100"/>
      <c r="EN131" s="100"/>
      <c r="EO131" s="100"/>
      <c r="EP131" s="100"/>
      <c r="EQ131" s="106"/>
      <c r="ER131" s="106"/>
      <c r="ES131" s="106"/>
      <c r="ET131" s="106"/>
      <c r="EU131" s="106"/>
      <c r="EV131" s="106"/>
      <c r="EW131" s="106"/>
      <c r="EX131" s="106"/>
      <c r="EY131" s="106"/>
      <c r="EZ131" s="106"/>
      <c r="FA131" s="106"/>
      <c r="FB131" s="106"/>
      <c r="FC131" s="106"/>
      <c r="FD131" s="106"/>
      <c r="FE131" s="106"/>
      <c r="FF131" s="106"/>
      <c r="FG131" s="106"/>
      <c r="FH131" s="106"/>
      <c r="FI131" s="106"/>
      <c r="FJ131" s="106"/>
      <c r="FK131" s="106"/>
      <c r="FL131" s="106"/>
      <c r="FM131" s="106"/>
      <c r="FN131" s="106"/>
      <c r="FO131" s="106"/>
      <c r="FP131" s="106"/>
      <c r="FQ131" s="106"/>
      <c r="FR131" s="106"/>
      <c r="FS131" s="106"/>
      <c r="FT131" s="106"/>
      <c r="FU131" s="106"/>
      <c r="FV131" s="106"/>
      <c r="FW131" s="106"/>
      <c r="FX131" s="106"/>
      <c r="FY131" s="106"/>
      <c r="FZ131" s="106"/>
      <c r="GA131" s="106"/>
      <c r="GB131" s="106"/>
      <c r="GC131" s="106"/>
      <c r="GD131" s="106"/>
      <c r="GE131" s="106"/>
      <c r="GF131" s="106"/>
      <c r="GG131" s="159"/>
    </row>
    <row r="132" spans="2:189" x14ac:dyDescent="0.2">
      <c r="B132" s="97">
        <v>44013</v>
      </c>
      <c r="C132" s="100">
        <v>70.400000000000006</v>
      </c>
      <c r="D132" s="100">
        <v>70.599999999999994</v>
      </c>
      <c r="E132" s="100">
        <v>70.599999999999994</v>
      </c>
      <c r="F132" s="100">
        <v>70.7</v>
      </c>
      <c r="G132" s="100">
        <v>70.5</v>
      </c>
      <c r="H132" s="100">
        <v>70.3</v>
      </c>
      <c r="I132" s="100">
        <v>70.400000000000006</v>
      </c>
      <c r="J132" s="100">
        <v>70.5</v>
      </c>
      <c r="K132" s="100">
        <v>70.599999999999994</v>
      </c>
      <c r="L132" s="100">
        <v>70.5</v>
      </c>
      <c r="M132" s="100">
        <v>70.5</v>
      </c>
      <c r="N132" s="100">
        <v>70.5</v>
      </c>
      <c r="O132" s="100">
        <v>70.5</v>
      </c>
      <c r="P132" s="100">
        <v>70.2</v>
      </c>
      <c r="Q132" s="100">
        <v>70.2</v>
      </c>
      <c r="R132" s="100">
        <v>70.099999999999994</v>
      </c>
      <c r="S132" s="100">
        <v>70.099999999999994</v>
      </c>
      <c r="T132" s="100">
        <v>70.099999999999994</v>
      </c>
      <c r="U132" s="100">
        <v>70.2</v>
      </c>
      <c r="V132" s="100">
        <v>70.2</v>
      </c>
      <c r="W132" s="100">
        <v>70.3</v>
      </c>
      <c r="X132" s="100">
        <v>70.5</v>
      </c>
      <c r="Y132" s="100">
        <v>70.5</v>
      </c>
      <c r="Z132" s="100">
        <v>70.7</v>
      </c>
      <c r="AA132" s="100">
        <v>70.900000000000006</v>
      </c>
      <c r="AB132" s="100">
        <v>71.099999999999994</v>
      </c>
      <c r="AC132" s="100">
        <v>71.2</v>
      </c>
      <c r="AD132" s="100">
        <v>71.099999999999994</v>
      </c>
      <c r="AE132" s="100">
        <v>71.099999999999994</v>
      </c>
      <c r="AF132" s="100">
        <v>71.3</v>
      </c>
      <c r="AG132" s="100">
        <v>71.400000000000006</v>
      </c>
      <c r="AH132" s="100">
        <v>71.400000000000006</v>
      </c>
      <c r="AI132" s="100">
        <v>71.2</v>
      </c>
      <c r="AJ132" s="100">
        <v>71.2</v>
      </c>
      <c r="AK132" s="100">
        <v>71.2</v>
      </c>
      <c r="AL132" s="100">
        <v>71.2</v>
      </c>
      <c r="AM132" s="100">
        <v>71.3</v>
      </c>
      <c r="AN132" s="100">
        <v>71.5</v>
      </c>
      <c r="AO132" s="100">
        <v>71.5</v>
      </c>
      <c r="AP132" s="100">
        <v>71.7</v>
      </c>
      <c r="AQ132" s="100">
        <v>71.900000000000006</v>
      </c>
      <c r="AR132" s="100">
        <v>72</v>
      </c>
      <c r="AS132" s="100">
        <v>72</v>
      </c>
      <c r="AT132" s="100">
        <v>72.099999999999994</v>
      </c>
      <c r="AU132" s="100">
        <v>72.400000000000006</v>
      </c>
      <c r="AV132" s="100">
        <v>72.5</v>
      </c>
      <c r="AW132" s="100">
        <v>72.7</v>
      </c>
      <c r="AX132" s="100">
        <v>72.900000000000006</v>
      </c>
      <c r="AY132" s="100">
        <v>72.8</v>
      </c>
      <c r="AZ132" s="100">
        <v>72.8</v>
      </c>
      <c r="BA132" s="100">
        <v>73</v>
      </c>
      <c r="BB132" s="100">
        <v>73</v>
      </c>
      <c r="BC132" s="100">
        <v>73</v>
      </c>
      <c r="BD132" s="100">
        <v>73</v>
      </c>
      <c r="BE132" s="100">
        <v>73.2</v>
      </c>
      <c r="BF132" s="100">
        <v>73.3</v>
      </c>
      <c r="BG132" s="100">
        <v>73.400000000000006</v>
      </c>
      <c r="BH132" s="100">
        <v>73.400000000000006</v>
      </c>
      <c r="BI132" s="100">
        <v>73.400000000000006</v>
      </c>
      <c r="BJ132" s="100">
        <v>73.3</v>
      </c>
      <c r="BK132" s="100">
        <v>73.400000000000006</v>
      </c>
      <c r="BL132" s="100">
        <v>73.5</v>
      </c>
      <c r="BM132" s="100">
        <v>73.599999999999994</v>
      </c>
      <c r="BN132" s="100">
        <v>73.8</v>
      </c>
      <c r="BO132" s="100">
        <v>74</v>
      </c>
      <c r="BP132" s="100">
        <v>74</v>
      </c>
      <c r="BQ132" s="100">
        <v>74.099999999999994</v>
      </c>
      <c r="BR132" s="100">
        <v>74.099999999999994</v>
      </c>
      <c r="BS132" s="100">
        <v>74.099999999999994</v>
      </c>
      <c r="BT132" s="100">
        <v>74.099999999999994</v>
      </c>
      <c r="BU132" s="100">
        <v>74.2</v>
      </c>
      <c r="BV132" s="100">
        <v>74.400000000000006</v>
      </c>
      <c r="BW132" s="100">
        <v>74.400000000000006</v>
      </c>
      <c r="BX132" s="100">
        <v>74.5</v>
      </c>
      <c r="BY132" s="100">
        <v>74.5</v>
      </c>
      <c r="BZ132" s="100">
        <v>74.400000000000006</v>
      </c>
      <c r="CA132" s="100">
        <v>74.400000000000006</v>
      </c>
      <c r="CB132" s="100">
        <v>74.400000000000006</v>
      </c>
      <c r="CC132" s="100">
        <v>74.599999999999994</v>
      </c>
      <c r="CD132" s="100">
        <v>74.5</v>
      </c>
      <c r="CE132" s="100">
        <v>74.599999999999994</v>
      </c>
      <c r="CF132" s="100">
        <v>74.8</v>
      </c>
      <c r="CG132" s="100">
        <v>74.8</v>
      </c>
      <c r="CH132" s="100">
        <v>74.900000000000006</v>
      </c>
      <c r="CI132" s="100">
        <v>75.099999999999994</v>
      </c>
      <c r="CJ132" s="100">
        <v>75.3</v>
      </c>
      <c r="CK132" s="100">
        <v>75.099999999999994</v>
      </c>
      <c r="CL132" s="100">
        <v>75</v>
      </c>
      <c r="CM132" s="100">
        <v>75.099999999999994</v>
      </c>
      <c r="CN132" s="100">
        <v>75.3</v>
      </c>
      <c r="CO132" s="100">
        <v>75.2</v>
      </c>
      <c r="CP132" s="100">
        <v>75.3</v>
      </c>
      <c r="CQ132" s="100">
        <v>75.400000000000006</v>
      </c>
      <c r="CR132" s="100">
        <v>75.599999999999994</v>
      </c>
      <c r="CS132" s="100">
        <v>75.599999999999994</v>
      </c>
      <c r="CT132" s="100">
        <v>75.599999999999994</v>
      </c>
      <c r="CU132" s="100">
        <v>75.5</v>
      </c>
      <c r="CV132" s="100">
        <v>75.5</v>
      </c>
      <c r="CW132" s="100">
        <v>75.599999999999994</v>
      </c>
      <c r="CX132" s="100">
        <v>75.599999999999994</v>
      </c>
      <c r="CY132" s="100">
        <v>75.7</v>
      </c>
      <c r="CZ132" s="100">
        <v>75.8</v>
      </c>
      <c r="DA132" s="100">
        <v>75.8</v>
      </c>
      <c r="DB132" s="100">
        <v>76.099999999999994</v>
      </c>
      <c r="DC132" s="100">
        <v>76.099999999999994</v>
      </c>
      <c r="DD132" s="100">
        <v>76.099999999999994</v>
      </c>
      <c r="DE132" s="100">
        <v>76.099999999999994</v>
      </c>
      <c r="DF132" s="103">
        <v>75.8</v>
      </c>
      <c r="DG132" s="100">
        <v>76.099999999999994</v>
      </c>
      <c r="DH132" s="100">
        <v>76</v>
      </c>
      <c r="DI132" s="100">
        <v>75.900000000000006</v>
      </c>
      <c r="DJ132" s="100">
        <v>76</v>
      </c>
      <c r="DK132" s="100">
        <v>76.2</v>
      </c>
      <c r="DL132" s="100">
        <v>76.3</v>
      </c>
      <c r="DM132" s="100">
        <v>76.5</v>
      </c>
      <c r="DN132" s="100">
        <v>76.5</v>
      </c>
      <c r="DO132" s="100">
        <v>76.599999999999994</v>
      </c>
      <c r="DP132" s="100">
        <v>76.599999999999994</v>
      </c>
      <c r="DQ132" s="100">
        <v>76.400000000000006</v>
      </c>
      <c r="DR132" s="102">
        <v>76.400000000000006</v>
      </c>
      <c r="DS132" s="100"/>
      <c r="DT132" s="100"/>
      <c r="DU132" s="100"/>
      <c r="DV132" s="100"/>
      <c r="DW132" s="100"/>
      <c r="DX132" s="100"/>
      <c r="DY132" s="100"/>
      <c r="DZ132" s="100"/>
      <c r="EA132" s="100"/>
      <c r="EB132" s="100"/>
      <c r="EC132" s="100"/>
      <c r="ED132" s="100"/>
      <c r="EE132" s="100"/>
      <c r="EF132" s="100"/>
      <c r="EG132" s="100"/>
      <c r="EH132" s="100"/>
      <c r="EI132" s="100"/>
      <c r="EJ132" s="100"/>
      <c r="EK132" s="100"/>
      <c r="EL132" s="100"/>
      <c r="EM132" s="100"/>
      <c r="EN132" s="100"/>
      <c r="EO132" s="100"/>
      <c r="EP132" s="100"/>
      <c r="EQ132" s="106"/>
      <c r="ER132" s="106"/>
      <c r="ES132" s="106"/>
      <c r="ET132" s="106"/>
      <c r="EU132" s="106"/>
      <c r="EV132" s="106"/>
      <c r="EW132" s="106"/>
      <c r="EX132" s="106"/>
      <c r="EY132" s="106"/>
      <c r="EZ132" s="106"/>
      <c r="FA132" s="106"/>
      <c r="FB132" s="106"/>
      <c r="FC132" s="106"/>
      <c r="FD132" s="106"/>
      <c r="FE132" s="106"/>
      <c r="FF132" s="106"/>
      <c r="FG132" s="106"/>
      <c r="FH132" s="106"/>
      <c r="FI132" s="106"/>
      <c r="FJ132" s="106"/>
      <c r="FK132" s="106"/>
      <c r="FL132" s="106"/>
      <c r="FM132" s="106"/>
      <c r="FN132" s="106"/>
      <c r="FO132" s="106"/>
      <c r="FP132" s="106"/>
      <c r="FQ132" s="106"/>
      <c r="FR132" s="106"/>
      <c r="FS132" s="106"/>
      <c r="FT132" s="106"/>
      <c r="FU132" s="106"/>
      <c r="FV132" s="106"/>
      <c r="FW132" s="106"/>
      <c r="FX132" s="106"/>
      <c r="FY132" s="106"/>
      <c r="FZ132" s="106"/>
      <c r="GA132" s="106"/>
      <c r="GB132" s="106"/>
      <c r="GC132" s="106"/>
      <c r="GD132" s="106"/>
      <c r="GE132" s="106"/>
      <c r="GF132" s="106"/>
      <c r="GG132" s="159"/>
    </row>
    <row r="133" spans="2:189" x14ac:dyDescent="0.2">
      <c r="B133" s="97">
        <v>44044</v>
      </c>
      <c r="C133" s="100">
        <v>70.400000000000006</v>
      </c>
      <c r="D133" s="100">
        <v>70.599999999999994</v>
      </c>
      <c r="E133" s="100">
        <v>70.599999999999994</v>
      </c>
      <c r="F133" s="100">
        <v>70.7</v>
      </c>
      <c r="G133" s="100">
        <v>70.5</v>
      </c>
      <c r="H133" s="100">
        <v>70.3</v>
      </c>
      <c r="I133" s="100">
        <v>70.400000000000006</v>
      </c>
      <c r="J133" s="100">
        <v>70.5</v>
      </c>
      <c r="K133" s="100">
        <v>70.599999999999994</v>
      </c>
      <c r="L133" s="100">
        <v>70.5</v>
      </c>
      <c r="M133" s="100">
        <v>70.5</v>
      </c>
      <c r="N133" s="100">
        <v>70.5</v>
      </c>
      <c r="O133" s="100">
        <v>70.5</v>
      </c>
      <c r="P133" s="100">
        <v>70.2</v>
      </c>
      <c r="Q133" s="100">
        <v>70.2</v>
      </c>
      <c r="R133" s="100">
        <v>70.099999999999994</v>
      </c>
      <c r="S133" s="100">
        <v>70.099999999999994</v>
      </c>
      <c r="T133" s="100">
        <v>70.099999999999994</v>
      </c>
      <c r="U133" s="100">
        <v>70.2</v>
      </c>
      <c r="V133" s="100">
        <v>70.2</v>
      </c>
      <c r="W133" s="100">
        <v>70.3</v>
      </c>
      <c r="X133" s="100">
        <v>70.5</v>
      </c>
      <c r="Y133" s="100">
        <v>70.5</v>
      </c>
      <c r="Z133" s="100">
        <v>70.7</v>
      </c>
      <c r="AA133" s="100">
        <v>70.900000000000006</v>
      </c>
      <c r="AB133" s="100">
        <v>71.099999999999994</v>
      </c>
      <c r="AC133" s="100">
        <v>71.2</v>
      </c>
      <c r="AD133" s="100">
        <v>71.099999999999994</v>
      </c>
      <c r="AE133" s="100">
        <v>71.099999999999994</v>
      </c>
      <c r="AF133" s="100">
        <v>71.3</v>
      </c>
      <c r="AG133" s="100">
        <v>71.400000000000006</v>
      </c>
      <c r="AH133" s="100">
        <v>71.400000000000006</v>
      </c>
      <c r="AI133" s="100">
        <v>71.2</v>
      </c>
      <c r="AJ133" s="100">
        <v>71.2</v>
      </c>
      <c r="AK133" s="100">
        <v>71.2</v>
      </c>
      <c r="AL133" s="100">
        <v>71.2</v>
      </c>
      <c r="AM133" s="100">
        <v>71.3</v>
      </c>
      <c r="AN133" s="100">
        <v>71.5</v>
      </c>
      <c r="AO133" s="100">
        <v>71.5</v>
      </c>
      <c r="AP133" s="100">
        <v>71.7</v>
      </c>
      <c r="AQ133" s="100">
        <v>71.900000000000006</v>
      </c>
      <c r="AR133" s="100">
        <v>72</v>
      </c>
      <c r="AS133" s="100">
        <v>72</v>
      </c>
      <c r="AT133" s="100">
        <v>72.099999999999994</v>
      </c>
      <c r="AU133" s="100">
        <v>72.400000000000006</v>
      </c>
      <c r="AV133" s="100">
        <v>72.5</v>
      </c>
      <c r="AW133" s="100">
        <v>72.7</v>
      </c>
      <c r="AX133" s="100">
        <v>72.900000000000006</v>
      </c>
      <c r="AY133" s="100">
        <v>72.8</v>
      </c>
      <c r="AZ133" s="100">
        <v>72.8</v>
      </c>
      <c r="BA133" s="100">
        <v>73</v>
      </c>
      <c r="BB133" s="100">
        <v>73</v>
      </c>
      <c r="BC133" s="100">
        <v>73</v>
      </c>
      <c r="BD133" s="100">
        <v>73</v>
      </c>
      <c r="BE133" s="100">
        <v>73.2</v>
      </c>
      <c r="BF133" s="100">
        <v>73.3</v>
      </c>
      <c r="BG133" s="100">
        <v>73.400000000000006</v>
      </c>
      <c r="BH133" s="100">
        <v>73.400000000000006</v>
      </c>
      <c r="BI133" s="100">
        <v>73.400000000000006</v>
      </c>
      <c r="BJ133" s="100">
        <v>73.3</v>
      </c>
      <c r="BK133" s="100">
        <v>73.400000000000006</v>
      </c>
      <c r="BL133" s="100">
        <v>73.5</v>
      </c>
      <c r="BM133" s="100">
        <v>73.599999999999994</v>
      </c>
      <c r="BN133" s="100">
        <v>73.8</v>
      </c>
      <c r="BO133" s="100">
        <v>74</v>
      </c>
      <c r="BP133" s="100">
        <v>74</v>
      </c>
      <c r="BQ133" s="100">
        <v>74.099999999999994</v>
      </c>
      <c r="BR133" s="100">
        <v>74.099999999999994</v>
      </c>
      <c r="BS133" s="100">
        <v>74.099999999999994</v>
      </c>
      <c r="BT133" s="100">
        <v>74.099999999999994</v>
      </c>
      <c r="BU133" s="100">
        <v>74.2</v>
      </c>
      <c r="BV133" s="100">
        <v>74.400000000000006</v>
      </c>
      <c r="BW133" s="100">
        <v>74.400000000000006</v>
      </c>
      <c r="BX133" s="100">
        <v>74.5</v>
      </c>
      <c r="BY133" s="100">
        <v>74.5</v>
      </c>
      <c r="BZ133" s="100">
        <v>74.400000000000006</v>
      </c>
      <c r="CA133" s="100">
        <v>74.400000000000006</v>
      </c>
      <c r="CB133" s="100">
        <v>74.400000000000006</v>
      </c>
      <c r="CC133" s="100">
        <v>74.599999999999994</v>
      </c>
      <c r="CD133" s="100">
        <v>74.5</v>
      </c>
      <c r="CE133" s="100">
        <v>74.599999999999994</v>
      </c>
      <c r="CF133" s="100">
        <v>74.8</v>
      </c>
      <c r="CG133" s="100">
        <v>74.8</v>
      </c>
      <c r="CH133" s="100">
        <v>74.900000000000006</v>
      </c>
      <c r="CI133" s="100">
        <v>75.099999999999994</v>
      </c>
      <c r="CJ133" s="100">
        <v>75.3</v>
      </c>
      <c r="CK133" s="100">
        <v>75.099999999999994</v>
      </c>
      <c r="CL133" s="100">
        <v>75</v>
      </c>
      <c r="CM133" s="100">
        <v>75.099999999999994</v>
      </c>
      <c r="CN133" s="100">
        <v>75.3</v>
      </c>
      <c r="CO133" s="100">
        <v>75.2</v>
      </c>
      <c r="CP133" s="100">
        <v>75.3</v>
      </c>
      <c r="CQ133" s="100">
        <v>75.400000000000006</v>
      </c>
      <c r="CR133" s="100">
        <v>75.599999999999994</v>
      </c>
      <c r="CS133" s="100">
        <v>75.599999999999994</v>
      </c>
      <c r="CT133" s="100">
        <v>75.599999999999994</v>
      </c>
      <c r="CU133" s="100">
        <v>75.5</v>
      </c>
      <c r="CV133" s="100">
        <v>75.5</v>
      </c>
      <c r="CW133" s="100">
        <v>75.599999999999994</v>
      </c>
      <c r="CX133" s="100">
        <v>75.599999999999994</v>
      </c>
      <c r="CY133" s="100">
        <v>75.7</v>
      </c>
      <c r="CZ133" s="100">
        <v>75.8</v>
      </c>
      <c r="DA133" s="100">
        <v>75.8</v>
      </c>
      <c r="DB133" s="100">
        <v>76.099999999999994</v>
      </c>
      <c r="DC133" s="100">
        <v>76.099999999999994</v>
      </c>
      <c r="DD133" s="100">
        <v>76.099999999999994</v>
      </c>
      <c r="DE133" s="100">
        <v>76.099999999999994</v>
      </c>
      <c r="DF133" s="100">
        <v>75.8</v>
      </c>
      <c r="DG133" s="103">
        <v>76.099999999999994</v>
      </c>
      <c r="DH133" s="100">
        <v>76</v>
      </c>
      <c r="DI133" s="100">
        <v>75.900000000000006</v>
      </c>
      <c r="DJ133" s="100">
        <v>76</v>
      </c>
      <c r="DK133" s="100">
        <v>76.2</v>
      </c>
      <c r="DL133" s="100">
        <v>76.3</v>
      </c>
      <c r="DM133" s="100">
        <v>76.5</v>
      </c>
      <c r="DN133" s="100">
        <v>76.5</v>
      </c>
      <c r="DO133" s="100">
        <v>76.599999999999994</v>
      </c>
      <c r="DP133" s="100">
        <v>76.599999999999994</v>
      </c>
      <c r="DQ133" s="100">
        <v>76.400000000000006</v>
      </c>
      <c r="DR133" s="100">
        <v>76.400000000000006</v>
      </c>
      <c r="DS133" s="102">
        <v>76.400000000000006</v>
      </c>
      <c r="DT133" s="100"/>
      <c r="DU133" s="100"/>
      <c r="DV133" s="100"/>
      <c r="DW133" s="100"/>
      <c r="DX133" s="100"/>
      <c r="DY133" s="100"/>
      <c r="DZ133" s="100"/>
      <c r="EA133" s="100"/>
      <c r="EB133" s="100"/>
      <c r="EC133" s="100"/>
      <c r="ED133" s="100"/>
      <c r="EE133" s="100"/>
      <c r="EF133" s="100"/>
      <c r="EG133" s="100"/>
      <c r="EH133" s="100"/>
      <c r="EI133" s="100"/>
      <c r="EJ133" s="100"/>
      <c r="EK133" s="100"/>
      <c r="EL133" s="100"/>
      <c r="EM133" s="100"/>
      <c r="EN133" s="100"/>
      <c r="EO133" s="100"/>
      <c r="EP133" s="100"/>
      <c r="EQ133" s="106"/>
      <c r="ER133" s="106"/>
      <c r="ES133" s="106"/>
      <c r="ET133" s="106"/>
      <c r="EU133" s="106"/>
      <c r="EV133" s="106"/>
      <c r="EW133" s="106"/>
      <c r="EX133" s="106"/>
      <c r="EY133" s="106"/>
      <c r="EZ133" s="106"/>
      <c r="FA133" s="106"/>
      <c r="FB133" s="106"/>
      <c r="FC133" s="106"/>
      <c r="FD133" s="106"/>
      <c r="FE133" s="106"/>
      <c r="FF133" s="106"/>
      <c r="FG133" s="106"/>
      <c r="FH133" s="106"/>
      <c r="FI133" s="106"/>
      <c r="FJ133" s="106"/>
      <c r="FK133" s="106"/>
      <c r="FL133" s="106"/>
      <c r="FM133" s="106"/>
      <c r="FN133" s="106"/>
      <c r="FO133" s="106"/>
      <c r="FP133" s="106"/>
      <c r="FQ133" s="106"/>
      <c r="FR133" s="106"/>
      <c r="FS133" s="106"/>
      <c r="FT133" s="106"/>
      <c r="FU133" s="106"/>
      <c r="FV133" s="106"/>
      <c r="FW133" s="106"/>
      <c r="FX133" s="106"/>
      <c r="FY133" s="106"/>
      <c r="FZ133" s="106"/>
      <c r="GA133" s="106"/>
      <c r="GB133" s="106"/>
      <c r="GC133" s="106"/>
      <c r="GD133" s="106"/>
      <c r="GE133" s="106"/>
      <c r="GF133" s="106"/>
      <c r="GG133" s="159"/>
    </row>
    <row r="134" spans="2:189" x14ac:dyDescent="0.2">
      <c r="B134" s="97">
        <v>44075</v>
      </c>
      <c r="C134" s="100">
        <v>70.400000000000006</v>
      </c>
      <c r="D134" s="100">
        <v>70.599999999999994</v>
      </c>
      <c r="E134" s="100">
        <v>70.599999999999994</v>
      </c>
      <c r="F134" s="100">
        <v>70.7</v>
      </c>
      <c r="G134" s="100">
        <v>70.5</v>
      </c>
      <c r="H134" s="100">
        <v>70.3</v>
      </c>
      <c r="I134" s="100">
        <v>70.400000000000006</v>
      </c>
      <c r="J134" s="100">
        <v>70.5</v>
      </c>
      <c r="K134" s="100">
        <v>70.599999999999994</v>
      </c>
      <c r="L134" s="100">
        <v>70.5</v>
      </c>
      <c r="M134" s="100">
        <v>70.5</v>
      </c>
      <c r="N134" s="100">
        <v>70.5</v>
      </c>
      <c r="O134" s="100">
        <v>70.5</v>
      </c>
      <c r="P134" s="100">
        <v>70.2</v>
      </c>
      <c r="Q134" s="100">
        <v>70.2</v>
      </c>
      <c r="R134" s="100">
        <v>70.099999999999994</v>
      </c>
      <c r="S134" s="100">
        <v>70.099999999999994</v>
      </c>
      <c r="T134" s="100">
        <v>70.099999999999994</v>
      </c>
      <c r="U134" s="100">
        <v>70.2</v>
      </c>
      <c r="V134" s="100">
        <v>70.2</v>
      </c>
      <c r="W134" s="100">
        <v>70.3</v>
      </c>
      <c r="X134" s="100">
        <v>70.5</v>
      </c>
      <c r="Y134" s="100">
        <v>70.5</v>
      </c>
      <c r="Z134" s="100">
        <v>70.7</v>
      </c>
      <c r="AA134" s="100">
        <v>70.900000000000006</v>
      </c>
      <c r="AB134" s="100">
        <v>71.099999999999994</v>
      </c>
      <c r="AC134" s="100">
        <v>71.2</v>
      </c>
      <c r="AD134" s="100">
        <v>71.099999999999994</v>
      </c>
      <c r="AE134" s="100">
        <v>71.099999999999994</v>
      </c>
      <c r="AF134" s="100">
        <v>71.3</v>
      </c>
      <c r="AG134" s="100">
        <v>71.400000000000006</v>
      </c>
      <c r="AH134" s="100">
        <v>71.400000000000006</v>
      </c>
      <c r="AI134" s="100">
        <v>71.2</v>
      </c>
      <c r="AJ134" s="100">
        <v>71.2</v>
      </c>
      <c r="AK134" s="100">
        <v>71.2</v>
      </c>
      <c r="AL134" s="100">
        <v>71.2</v>
      </c>
      <c r="AM134" s="100">
        <v>71.3</v>
      </c>
      <c r="AN134" s="100">
        <v>71.5</v>
      </c>
      <c r="AO134" s="100">
        <v>71.5</v>
      </c>
      <c r="AP134" s="100">
        <v>71.7</v>
      </c>
      <c r="AQ134" s="100">
        <v>71.900000000000006</v>
      </c>
      <c r="AR134" s="100">
        <v>72</v>
      </c>
      <c r="AS134" s="100">
        <v>72</v>
      </c>
      <c r="AT134" s="100">
        <v>72.099999999999994</v>
      </c>
      <c r="AU134" s="100">
        <v>72.400000000000006</v>
      </c>
      <c r="AV134" s="100">
        <v>72.5</v>
      </c>
      <c r="AW134" s="100">
        <v>72.7</v>
      </c>
      <c r="AX134" s="100">
        <v>72.900000000000006</v>
      </c>
      <c r="AY134" s="100">
        <v>72.8</v>
      </c>
      <c r="AZ134" s="100">
        <v>72.8</v>
      </c>
      <c r="BA134" s="100">
        <v>73</v>
      </c>
      <c r="BB134" s="100">
        <v>73</v>
      </c>
      <c r="BC134" s="100">
        <v>73</v>
      </c>
      <c r="BD134" s="100">
        <v>73</v>
      </c>
      <c r="BE134" s="100">
        <v>73.2</v>
      </c>
      <c r="BF134" s="100">
        <v>73.3</v>
      </c>
      <c r="BG134" s="100">
        <v>73.400000000000006</v>
      </c>
      <c r="BH134" s="100">
        <v>73.400000000000006</v>
      </c>
      <c r="BI134" s="100">
        <v>73.400000000000006</v>
      </c>
      <c r="BJ134" s="100">
        <v>73.3</v>
      </c>
      <c r="BK134" s="100">
        <v>73.400000000000006</v>
      </c>
      <c r="BL134" s="100">
        <v>73.5</v>
      </c>
      <c r="BM134" s="100">
        <v>73.599999999999994</v>
      </c>
      <c r="BN134" s="100">
        <v>73.8</v>
      </c>
      <c r="BO134" s="100">
        <v>74</v>
      </c>
      <c r="BP134" s="100">
        <v>74</v>
      </c>
      <c r="BQ134" s="100">
        <v>74.099999999999994</v>
      </c>
      <c r="BR134" s="100">
        <v>74.099999999999994</v>
      </c>
      <c r="BS134" s="100">
        <v>74.099999999999994</v>
      </c>
      <c r="BT134" s="100">
        <v>74.099999999999994</v>
      </c>
      <c r="BU134" s="100">
        <v>74.2</v>
      </c>
      <c r="BV134" s="100">
        <v>74.400000000000006</v>
      </c>
      <c r="BW134" s="100">
        <v>74.400000000000006</v>
      </c>
      <c r="BX134" s="100">
        <v>74.5</v>
      </c>
      <c r="BY134" s="100">
        <v>74.5</v>
      </c>
      <c r="BZ134" s="100">
        <v>74.400000000000006</v>
      </c>
      <c r="CA134" s="100">
        <v>74.400000000000006</v>
      </c>
      <c r="CB134" s="100">
        <v>74.400000000000006</v>
      </c>
      <c r="CC134" s="100">
        <v>74.599999999999994</v>
      </c>
      <c r="CD134" s="100">
        <v>74.5</v>
      </c>
      <c r="CE134" s="100">
        <v>74.599999999999994</v>
      </c>
      <c r="CF134" s="100">
        <v>74.8</v>
      </c>
      <c r="CG134" s="100">
        <v>74.8</v>
      </c>
      <c r="CH134" s="100">
        <v>74.900000000000006</v>
      </c>
      <c r="CI134" s="100">
        <v>75.099999999999994</v>
      </c>
      <c r="CJ134" s="100">
        <v>75.3</v>
      </c>
      <c r="CK134" s="100">
        <v>75.099999999999994</v>
      </c>
      <c r="CL134" s="100">
        <v>75</v>
      </c>
      <c r="CM134" s="100">
        <v>75.099999999999994</v>
      </c>
      <c r="CN134" s="100">
        <v>75.3</v>
      </c>
      <c r="CO134" s="100">
        <v>75.2</v>
      </c>
      <c r="CP134" s="100">
        <v>75.3</v>
      </c>
      <c r="CQ134" s="100">
        <v>75.400000000000006</v>
      </c>
      <c r="CR134" s="100">
        <v>75.599999999999994</v>
      </c>
      <c r="CS134" s="100">
        <v>75.599999999999994</v>
      </c>
      <c r="CT134" s="100">
        <v>75.599999999999994</v>
      </c>
      <c r="CU134" s="100">
        <v>75.5</v>
      </c>
      <c r="CV134" s="100">
        <v>75.5</v>
      </c>
      <c r="CW134" s="100">
        <v>75.599999999999994</v>
      </c>
      <c r="CX134" s="100">
        <v>75.599999999999994</v>
      </c>
      <c r="CY134" s="100">
        <v>75.7</v>
      </c>
      <c r="CZ134" s="100">
        <v>75.8</v>
      </c>
      <c r="DA134" s="100">
        <v>75.8</v>
      </c>
      <c r="DB134" s="100">
        <v>76.099999999999994</v>
      </c>
      <c r="DC134" s="100">
        <v>76.099999999999994</v>
      </c>
      <c r="DD134" s="100">
        <v>76.099999999999994</v>
      </c>
      <c r="DE134" s="100">
        <v>76.099999999999994</v>
      </c>
      <c r="DF134" s="100">
        <v>75.8</v>
      </c>
      <c r="DG134" s="100">
        <v>76.099999999999994</v>
      </c>
      <c r="DH134" s="103">
        <v>76</v>
      </c>
      <c r="DI134" s="100">
        <v>75.900000000000006</v>
      </c>
      <c r="DJ134" s="100">
        <v>76</v>
      </c>
      <c r="DK134" s="100">
        <v>76.2</v>
      </c>
      <c r="DL134" s="100">
        <v>76.3</v>
      </c>
      <c r="DM134" s="100">
        <v>76.5</v>
      </c>
      <c r="DN134" s="100">
        <v>76.5</v>
      </c>
      <c r="DO134" s="100">
        <v>76.599999999999994</v>
      </c>
      <c r="DP134" s="100">
        <v>76.599999999999994</v>
      </c>
      <c r="DQ134" s="100">
        <v>76.400000000000006</v>
      </c>
      <c r="DR134" s="100">
        <v>76.400000000000006</v>
      </c>
      <c r="DS134" s="100">
        <v>76.400000000000006</v>
      </c>
      <c r="DT134" s="102">
        <v>76.5</v>
      </c>
      <c r="DU134" s="100"/>
      <c r="DV134" s="100"/>
      <c r="DW134" s="100"/>
      <c r="DX134" s="100"/>
      <c r="DY134" s="100"/>
      <c r="DZ134" s="100"/>
      <c r="EA134" s="100"/>
      <c r="EB134" s="100"/>
      <c r="EC134" s="100"/>
      <c r="ED134" s="100"/>
      <c r="EE134" s="100"/>
      <c r="EF134" s="100"/>
      <c r="EG134" s="100"/>
      <c r="EH134" s="100"/>
      <c r="EI134" s="100"/>
      <c r="EJ134" s="100"/>
      <c r="EK134" s="100"/>
      <c r="EL134" s="100"/>
      <c r="EM134" s="100"/>
      <c r="EN134" s="100"/>
      <c r="EO134" s="100"/>
      <c r="EP134" s="100"/>
      <c r="EQ134" s="106"/>
      <c r="ER134" s="106"/>
      <c r="ES134" s="106"/>
      <c r="ET134" s="106"/>
      <c r="EU134" s="106"/>
      <c r="EV134" s="106"/>
      <c r="EW134" s="106"/>
      <c r="EX134" s="106"/>
      <c r="EY134" s="106"/>
      <c r="EZ134" s="106"/>
      <c r="FA134" s="106"/>
      <c r="FB134" s="106"/>
      <c r="FC134" s="106"/>
      <c r="FD134" s="106"/>
      <c r="FE134" s="106"/>
      <c r="FF134" s="106"/>
      <c r="FG134" s="106"/>
      <c r="FH134" s="106"/>
      <c r="FI134" s="106"/>
      <c r="FJ134" s="106"/>
      <c r="FK134" s="106"/>
      <c r="FL134" s="106"/>
      <c r="FM134" s="106"/>
      <c r="FN134" s="106"/>
      <c r="FO134" s="106"/>
      <c r="FP134" s="106"/>
      <c r="FQ134" s="106"/>
      <c r="FR134" s="106"/>
      <c r="FS134" s="106"/>
      <c r="FT134" s="106"/>
      <c r="FU134" s="106"/>
      <c r="FV134" s="106"/>
      <c r="FW134" s="106"/>
      <c r="FX134" s="106"/>
      <c r="FY134" s="106"/>
      <c r="FZ134" s="106"/>
      <c r="GA134" s="106"/>
      <c r="GB134" s="106"/>
      <c r="GC134" s="106"/>
      <c r="GD134" s="106"/>
      <c r="GE134" s="106"/>
      <c r="GF134" s="106"/>
      <c r="GG134" s="159"/>
    </row>
    <row r="135" spans="2:189" x14ac:dyDescent="0.2">
      <c r="B135" s="97">
        <v>44105</v>
      </c>
      <c r="C135" s="100">
        <v>70.400000000000006</v>
      </c>
      <c r="D135" s="100">
        <v>70.599999999999994</v>
      </c>
      <c r="E135" s="100">
        <v>70.599999999999994</v>
      </c>
      <c r="F135" s="100">
        <v>70.7</v>
      </c>
      <c r="G135" s="100">
        <v>70.5</v>
      </c>
      <c r="H135" s="100">
        <v>70.3</v>
      </c>
      <c r="I135" s="100">
        <v>70.400000000000006</v>
      </c>
      <c r="J135" s="100">
        <v>70.5</v>
      </c>
      <c r="K135" s="100">
        <v>70.599999999999994</v>
      </c>
      <c r="L135" s="100">
        <v>70.5</v>
      </c>
      <c r="M135" s="100">
        <v>70.5</v>
      </c>
      <c r="N135" s="100">
        <v>70.5</v>
      </c>
      <c r="O135" s="100">
        <v>70.5</v>
      </c>
      <c r="P135" s="100">
        <v>70.2</v>
      </c>
      <c r="Q135" s="100">
        <v>70.2</v>
      </c>
      <c r="R135" s="100">
        <v>70.099999999999994</v>
      </c>
      <c r="S135" s="100">
        <v>70.099999999999994</v>
      </c>
      <c r="T135" s="100">
        <v>70.099999999999994</v>
      </c>
      <c r="U135" s="100">
        <v>70.2</v>
      </c>
      <c r="V135" s="100">
        <v>70.2</v>
      </c>
      <c r="W135" s="100">
        <v>70.3</v>
      </c>
      <c r="X135" s="100">
        <v>70.5</v>
      </c>
      <c r="Y135" s="100">
        <v>70.5</v>
      </c>
      <c r="Z135" s="100">
        <v>70.7</v>
      </c>
      <c r="AA135" s="100">
        <v>70.900000000000006</v>
      </c>
      <c r="AB135" s="100">
        <v>71.099999999999994</v>
      </c>
      <c r="AC135" s="100">
        <v>71.2</v>
      </c>
      <c r="AD135" s="100">
        <v>71.099999999999994</v>
      </c>
      <c r="AE135" s="100">
        <v>71.099999999999994</v>
      </c>
      <c r="AF135" s="100">
        <v>71.3</v>
      </c>
      <c r="AG135" s="100">
        <v>71.400000000000006</v>
      </c>
      <c r="AH135" s="100">
        <v>71.400000000000006</v>
      </c>
      <c r="AI135" s="100">
        <v>71.2</v>
      </c>
      <c r="AJ135" s="100">
        <v>71.2</v>
      </c>
      <c r="AK135" s="100">
        <v>71.2</v>
      </c>
      <c r="AL135" s="100">
        <v>71.2</v>
      </c>
      <c r="AM135" s="100">
        <v>71.3</v>
      </c>
      <c r="AN135" s="100">
        <v>71.5</v>
      </c>
      <c r="AO135" s="100">
        <v>71.5</v>
      </c>
      <c r="AP135" s="100">
        <v>71.7</v>
      </c>
      <c r="AQ135" s="100">
        <v>71.900000000000006</v>
      </c>
      <c r="AR135" s="100">
        <v>72</v>
      </c>
      <c r="AS135" s="100">
        <v>72</v>
      </c>
      <c r="AT135" s="100">
        <v>72.099999999999994</v>
      </c>
      <c r="AU135" s="100">
        <v>72.400000000000006</v>
      </c>
      <c r="AV135" s="100">
        <v>72.5</v>
      </c>
      <c r="AW135" s="100">
        <v>72.7</v>
      </c>
      <c r="AX135" s="100">
        <v>72.900000000000006</v>
      </c>
      <c r="AY135" s="100">
        <v>72.8</v>
      </c>
      <c r="AZ135" s="100">
        <v>72.8</v>
      </c>
      <c r="BA135" s="100">
        <v>73</v>
      </c>
      <c r="BB135" s="100">
        <v>73</v>
      </c>
      <c r="BC135" s="100">
        <v>73</v>
      </c>
      <c r="BD135" s="100">
        <v>73</v>
      </c>
      <c r="BE135" s="100">
        <v>73.2</v>
      </c>
      <c r="BF135" s="100">
        <v>73.3</v>
      </c>
      <c r="BG135" s="100">
        <v>73.400000000000006</v>
      </c>
      <c r="BH135" s="100">
        <v>73.400000000000006</v>
      </c>
      <c r="BI135" s="100">
        <v>73.400000000000006</v>
      </c>
      <c r="BJ135" s="100">
        <v>73.3</v>
      </c>
      <c r="BK135" s="100">
        <v>73.400000000000006</v>
      </c>
      <c r="BL135" s="100">
        <v>73.5</v>
      </c>
      <c r="BM135" s="100">
        <v>73.599999999999994</v>
      </c>
      <c r="BN135" s="100">
        <v>73.8</v>
      </c>
      <c r="BO135" s="100">
        <v>74</v>
      </c>
      <c r="BP135" s="100">
        <v>74</v>
      </c>
      <c r="BQ135" s="100">
        <v>74.099999999999994</v>
      </c>
      <c r="BR135" s="100">
        <v>74.099999999999994</v>
      </c>
      <c r="BS135" s="100">
        <v>74.099999999999994</v>
      </c>
      <c r="BT135" s="100">
        <v>74.099999999999994</v>
      </c>
      <c r="BU135" s="100">
        <v>74.2</v>
      </c>
      <c r="BV135" s="100">
        <v>74.400000000000006</v>
      </c>
      <c r="BW135" s="100">
        <v>74.400000000000006</v>
      </c>
      <c r="BX135" s="100">
        <v>74.5</v>
      </c>
      <c r="BY135" s="100">
        <v>74.5</v>
      </c>
      <c r="BZ135" s="100">
        <v>74.400000000000006</v>
      </c>
      <c r="CA135" s="100">
        <v>74.400000000000006</v>
      </c>
      <c r="CB135" s="100">
        <v>74.400000000000006</v>
      </c>
      <c r="CC135" s="100">
        <v>74.599999999999994</v>
      </c>
      <c r="CD135" s="100">
        <v>74.5</v>
      </c>
      <c r="CE135" s="100">
        <v>74.599999999999994</v>
      </c>
      <c r="CF135" s="100">
        <v>74.8</v>
      </c>
      <c r="CG135" s="100">
        <v>74.8</v>
      </c>
      <c r="CH135" s="100">
        <v>74.900000000000006</v>
      </c>
      <c r="CI135" s="100">
        <v>75.099999999999994</v>
      </c>
      <c r="CJ135" s="100">
        <v>75.3</v>
      </c>
      <c r="CK135" s="100">
        <v>75.099999999999994</v>
      </c>
      <c r="CL135" s="100">
        <v>75</v>
      </c>
      <c r="CM135" s="100">
        <v>75.099999999999994</v>
      </c>
      <c r="CN135" s="100">
        <v>75.3</v>
      </c>
      <c r="CO135" s="100">
        <v>75.2</v>
      </c>
      <c r="CP135" s="100">
        <v>75.3</v>
      </c>
      <c r="CQ135" s="100">
        <v>75.400000000000006</v>
      </c>
      <c r="CR135" s="100">
        <v>75.599999999999994</v>
      </c>
      <c r="CS135" s="100">
        <v>75.599999999999994</v>
      </c>
      <c r="CT135" s="100">
        <v>75.599999999999994</v>
      </c>
      <c r="CU135" s="100">
        <v>75.5</v>
      </c>
      <c r="CV135" s="100">
        <v>75.5</v>
      </c>
      <c r="CW135" s="100">
        <v>75.599999999999994</v>
      </c>
      <c r="CX135" s="100">
        <v>75.599999999999994</v>
      </c>
      <c r="CY135" s="100">
        <v>75.7</v>
      </c>
      <c r="CZ135" s="100">
        <v>75.8</v>
      </c>
      <c r="DA135" s="100">
        <v>75.8</v>
      </c>
      <c r="DB135" s="100">
        <v>76.099999999999994</v>
      </c>
      <c r="DC135" s="100">
        <v>76.099999999999994</v>
      </c>
      <c r="DD135" s="100">
        <v>76.099999999999994</v>
      </c>
      <c r="DE135" s="100">
        <v>76.099999999999994</v>
      </c>
      <c r="DF135" s="100">
        <v>75.8</v>
      </c>
      <c r="DG135" s="100">
        <v>76.099999999999994</v>
      </c>
      <c r="DH135" s="100">
        <v>76</v>
      </c>
      <c r="DI135" s="103">
        <v>75.900000000000006</v>
      </c>
      <c r="DJ135" s="100">
        <v>76</v>
      </c>
      <c r="DK135" s="100">
        <v>76.2</v>
      </c>
      <c r="DL135" s="100">
        <v>76.3</v>
      </c>
      <c r="DM135" s="100">
        <v>76.5</v>
      </c>
      <c r="DN135" s="100">
        <v>76.5</v>
      </c>
      <c r="DO135" s="100">
        <v>76.599999999999994</v>
      </c>
      <c r="DP135" s="100">
        <v>76.340151606737336</v>
      </c>
      <c r="DQ135" s="100">
        <v>76.023623325676269</v>
      </c>
      <c r="DR135" s="100">
        <v>75.892213730280673</v>
      </c>
      <c r="DS135" s="100">
        <v>75.846279088666606</v>
      </c>
      <c r="DT135" s="100">
        <v>75.784333371812522</v>
      </c>
      <c r="DU135" s="102">
        <v>75.560540413295854</v>
      </c>
      <c r="DV135" s="100"/>
      <c r="DW135" s="100"/>
      <c r="DX135" s="100"/>
      <c r="DY135" s="100"/>
      <c r="DZ135" s="100"/>
      <c r="EA135" s="100"/>
      <c r="EB135" s="100"/>
      <c r="EC135" s="100"/>
      <c r="ED135" s="100"/>
      <c r="EE135" s="100"/>
      <c r="EF135" s="100"/>
      <c r="EG135" s="100"/>
      <c r="EH135" s="100"/>
      <c r="EI135" s="100"/>
      <c r="EJ135" s="100"/>
      <c r="EK135" s="100"/>
      <c r="EL135" s="100"/>
      <c r="EM135" s="100"/>
      <c r="EN135" s="100"/>
      <c r="EO135" s="100"/>
      <c r="EP135" s="100"/>
      <c r="EQ135" s="106"/>
      <c r="ER135" s="106"/>
      <c r="ES135" s="106"/>
      <c r="ET135" s="106"/>
      <c r="EU135" s="106"/>
      <c r="EV135" s="106"/>
      <c r="EW135" s="106"/>
      <c r="EX135" s="106"/>
      <c r="EY135" s="106"/>
      <c r="EZ135" s="106"/>
      <c r="FA135" s="106"/>
      <c r="FB135" s="106"/>
      <c r="FC135" s="106"/>
      <c r="FD135" s="106"/>
      <c r="FE135" s="106"/>
      <c r="FF135" s="106"/>
      <c r="FG135" s="106"/>
      <c r="FH135" s="106"/>
      <c r="FI135" s="106"/>
      <c r="FJ135" s="106"/>
      <c r="FK135" s="106"/>
      <c r="FL135" s="106"/>
      <c r="FM135" s="106"/>
      <c r="FN135" s="106"/>
      <c r="FO135" s="106"/>
      <c r="FP135" s="106"/>
      <c r="FQ135" s="106"/>
      <c r="FR135" s="106"/>
      <c r="FS135" s="106"/>
      <c r="FT135" s="106"/>
      <c r="FU135" s="106"/>
      <c r="FV135" s="106"/>
      <c r="FW135" s="106"/>
      <c r="FX135" s="106"/>
      <c r="FY135" s="106"/>
      <c r="FZ135" s="106"/>
      <c r="GA135" s="106"/>
      <c r="GB135" s="106"/>
      <c r="GC135" s="106"/>
      <c r="GD135" s="106"/>
      <c r="GE135" s="106"/>
      <c r="GF135" s="106"/>
      <c r="GG135" s="159"/>
    </row>
    <row r="136" spans="2:189" x14ac:dyDescent="0.2">
      <c r="B136" s="97">
        <v>44136</v>
      </c>
      <c r="C136" s="100">
        <v>70.400000000000006</v>
      </c>
      <c r="D136" s="100">
        <v>70.599999999999994</v>
      </c>
      <c r="E136" s="100">
        <v>70.599999999999994</v>
      </c>
      <c r="F136" s="100">
        <v>70.7</v>
      </c>
      <c r="G136" s="100">
        <v>70.5</v>
      </c>
      <c r="H136" s="100">
        <v>70.3</v>
      </c>
      <c r="I136" s="100">
        <v>70.400000000000006</v>
      </c>
      <c r="J136" s="100">
        <v>70.5</v>
      </c>
      <c r="K136" s="100">
        <v>70.599999999999994</v>
      </c>
      <c r="L136" s="100">
        <v>70.5</v>
      </c>
      <c r="M136" s="100">
        <v>70.5</v>
      </c>
      <c r="N136" s="100">
        <v>70.5</v>
      </c>
      <c r="O136" s="100">
        <v>70.5</v>
      </c>
      <c r="P136" s="100">
        <v>70.2</v>
      </c>
      <c r="Q136" s="100">
        <v>70.2</v>
      </c>
      <c r="R136" s="100">
        <v>70.099999999999994</v>
      </c>
      <c r="S136" s="100">
        <v>70.099999999999994</v>
      </c>
      <c r="T136" s="100">
        <v>70.099999999999994</v>
      </c>
      <c r="U136" s="100">
        <v>70.2</v>
      </c>
      <c r="V136" s="100">
        <v>70.2</v>
      </c>
      <c r="W136" s="100">
        <v>70.3</v>
      </c>
      <c r="X136" s="100">
        <v>70.5</v>
      </c>
      <c r="Y136" s="100">
        <v>70.5</v>
      </c>
      <c r="Z136" s="100">
        <v>70.7</v>
      </c>
      <c r="AA136" s="100">
        <v>70.900000000000006</v>
      </c>
      <c r="AB136" s="100">
        <v>71.099999999999994</v>
      </c>
      <c r="AC136" s="100">
        <v>71.2</v>
      </c>
      <c r="AD136" s="100">
        <v>71.099999999999994</v>
      </c>
      <c r="AE136" s="100">
        <v>71.099999999999994</v>
      </c>
      <c r="AF136" s="100">
        <v>71.3</v>
      </c>
      <c r="AG136" s="100">
        <v>71.400000000000006</v>
      </c>
      <c r="AH136" s="100">
        <v>71.400000000000006</v>
      </c>
      <c r="AI136" s="100">
        <v>71.2</v>
      </c>
      <c r="AJ136" s="100">
        <v>71.2</v>
      </c>
      <c r="AK136" s="100">
        <v>71.2</v>
      </c>
      <c r="AL136" s="100">
        <v>71.2</v>
      </c>
      <c r="AM136" s="100">
        <v>71.3</v>
      </c>
      <c r="AN136" s="100">
        <v>71.5</v>
      </c>
      <c r="AO136" s="100">
        <v>71.5</v>
      </c>
      <c r="AP136" s="100">
        <v>71.7</v>
      </c>
      <c r="AQ136" s="100">
        <v>71.900000000000006</v>
      </c>
      <c r="AR136" s="100">
        <v>72</v>
      </c>
      <c r="AS136" s="100">
        <v>72</v>
      </c>
      <c r="AT136" s="100">
        <v>72.099999999999994</v>
      </c>
      <c r="AU136" s="100">
        <v>72.400000000000006</v>
      </c>
      <c r="AV136" s="100">
        <v>72.5</v>
      </c>
      <c r="AW136" s="100">
        <v>72.7</v>
      </c>
      <c r="AX136" s="100">
        <v>72.900000000000006</v>
      </c>
      <c r="AY136" s="100">
        <v>72.8</v>
      </c>
      <c r="AZ136" s="100">
        <v>72.8</v>
      </c>
      <c r="BA136" s="100">
        <v>73</v>
      </c>
      <c r="BB136" s="100">
        <v>73</v>
      </c>
      <c r="BC136" s="100">
        <v>73</v>
      </c>
      <c r="BD136" s="100">
        <v>73</v>
      </c>
      <c r="BE136" s="100">
        <v>73.2</v>
      </c>
      <c r="BF136" s="100">
        <v>73.3</v>
      </c>
      <c r="BG136" s="100">
        <v>73.400000000000006</v>
      </c>
      <c r="BH136" s="100">
        <v>73.400000000000006</v>
      </c>
      <c r="BI136" s="100">
        <v>73.400000000000006</v>
      </c>
      <c r="BJ136" s="100">
        <v>73.3</v>
      </c>
      <c r="BK136" s="100">
        <v>73.400000000000006</v>
      </c>
      <c r="BL136" s="100">
        <v>73.5</v>
      </c>
      <c r="BM136" s="100">
        <v>73.599999999999994</v>
      </c>
      <c r="BN136" s="100">
        <v>73.8</v>
      </c>
      <c r="BO136" s="100">
        <v>74</v>
      </c>
      <c r="BP136" s="100">
        <v>74</v>
      </c>
      <c r="BQ136" s="100">
        <v>74.099999999999994</v>
      </c>
      <c r="BR136" s="100">
        <v>74.099999999999994</v>
      </c>
      <c r="BS136" s="100">
        <v>74.099999999999994</v>
      </c>
      <c r="BT136" s="100">
        <v>74.099999999999994</v>
      </c>
      <c r="BU136" s="100">
        <v>74.2</v>
      </c>
      <c r="BV136" s="100">
        <v>74.400000000000006</v>
      </c>
      <c r="BW136" s="100">
        <v>74.400000000000006</v>
      </c>
      <c r="BX136" s="100">
        <v>74.5</v>
      </c>
      <c r="BY136" s="100">
        <v>74.5</v>
      </c>
      <c r="BZ136" s="100">
        <v>74.400000000000006</v>
      </c>
      <c r="CA136" s="100">
        <v>74.400000000000006</v>
      </c>
      <c r="CB136" s="100">
        <v>74.400000000000006</v>
      </c>
      <c r="CC136" s="100">
        <v>74.599999999999994</v>
      </c>
      <c r="CD136" s="100">
        <v>74.5</v>
      </c>
      <c r="CE136" s="100">
        <v>74.599999999999994</v>
      </c>
      <c r="CF136" s="100">
        <v>74.8</v>
      </c>
      <c r="CG136" s="100">
        <v>74.8</v>
      </c>
      <c r="CH136" s="100">
        <v>74.900000000000006</v>
      </c>
      <c r="CI136" s="100">
        <v>75.099999999999994</v>
      </c>
      <c r="CJ136" s="100">
        <v>75.3</v>
      </c>
      <c r="CK136" s="100">
        <v>75.099999999999994</v>
      </c>
      <c r="CL136" s="100">
        <v>75</v>
      </c>
      <c r="CM136" s="100">
        <v>75.099999999999994</v>
      </c>
      <c r="CN136" s="100">
        <v>75.3</v>
      </c>
      <c r="CO136" s="100">
        <v>75.2</v>
      </c>
      <c r="CP136" s="100">
        <v>75.3</v>
      </c>
      <c r="CQ136" s="100">
        <v>75.400000000000006</v>
      </c>
      <c r="CR136" s="100">
        <v>75.599999999999994</v>
      </c>
      <c r="CS136" s="100">
        <v>75.599999999999994</v>
      </c>
      <c r="CT136" s="100">
        <v>75.599999999999994</v>
      </c>
      <c r="CU136" s="100">
        <v>75.5</v>
      </c>
      <c r="CV136" s="100">
        <v>75.5</v>
      </c>
      <c r="CW136" s="100">
        <v>75.599999999999994</v>
      </c>
      <c r="CX136" s="100">
        <v>75.599999999999994</v>
      </c>
      <c r="CY136" s="100">
        <v>75.7</v>
      </c>
      <c r="CZ136" s="100">
        <v>75.8</v>
      </c>
      <c r="DA136" s="100">
        <v>75.8</v>
      </c>
      <c r="DB136" s="100">
        <v>76.099999999999994</v>
      </c>
      <c r="DC136" s="100">
        <v>76.099999999999994</v>
      </c>
      <c r="DD136" s="100">
        <v>76.099999999999994</v>
      </c>
      <c r="DE136" s="100">
        <v>76.099999999999994</v>
      </c>
      <c r="DF136" s="100">
        <v>75.8</v>
      </c>
      <c r="DG136" s="100">
        <v>76.099999999999994</v>
      </c>
      <c r="DH136" s="100">
        <v>76</v>
      </c>
      <c r="DI136" s="100">
        <v>75.900000000000006</v>
      </c>
      <c r="DJ136" s="103">
        <v>76</v>
      </c>
      <c r="DK136" s="100">
        <v>76.2</v>
      </c>
      <c r="DL136" s="100">
        <v>76.3</v>
      </c>
      <c r="DM136" s="100">
        <v>76.5</v>
      </c>
      <c r="DN136" s="100">
        <v>76.5</v>
      </c>
      <c r="DO136" s="100">
        <v>76.599999999999994</v>
      </c>
      <c r="DP136" s="100">
        <v>76.340151606737336</v>
      </c>
      <c r="DQ136" s="100">
        <v>76.023623325676269</v>
      </c>
      <c r="DR136" s="100">
        <v>75.892213730280673</v>
      </c>
      <c r="DS136" s="100">
        <v>75.846279088666606</v>
      </c>
      <c r="DT136" s="100">
        <v>75.784333371812522</v>
      </c>
      <c r="DU136" s="100">
        <v>75.560540413295854</v>
      </c>
      <c r="DV136" s="102">
        <v>75.3</v>
      </c>
      <c r="DW136" s="100"/>
      <c r="DX136" s="100"/>
      <c r="DY136" s="100"/>
      <c r="DZ136" s="100"/>
      <c r="EA136" s="100"/>
      <c r="EB136" s="100"/>
      <c r="EC136" s="100"/>
      <c r="ED136" s="100"/>
      <c r="EE136" s="100"/>
      <c r="EF136" s="100"/>
      <c r="EG136" s="100"/>
      <c r="EH136" s="100"/>
      <c r="EI136" s="100"/>
      <c r="EJ136" s="100"/>
      <c r="EK136" s="100"/>
      <c r="EL136" s="100"/>
      <c r="EM136" s="100"/>
      <c r="EN136" s="100"/>
      <c r="EO136" s="100"/>
      <c r="EP136" s="100"/>
      <c r="EQ136" s="106"/>
      <c r="ER136" s="106"/>
      <c r="ES136" s="106"/>
      <c r="ET136" s="106"/>
      <c r="EU136" s="106"/>
      <c r="EV136" s="106"/>
      <c r="EW136" s="106"/>
      <c r="EX136" s="106"/>
      <c r="EY136" s="106"/>
      <c r="EZ136" s="106"/>
      <c r="FA136" s="106"/>
      <c r="FB136" s="106"/>
      <c r="FC136" s="106"/>
      <c r="FD136" s="106"/>
      <c r="FE136" s="106"/>
      <c r="FF136" s="106"/>
      <c r="FG136" s="106"/>
      <c r="FH136" s="106"/>
      <c r="FI136" s="106"/>
      <c r="FJ136" s="106"/>
      <c r="FK136" s="106"/>
      <c r="FL136" s="106"/>
      <c r="FM136" s="106"/>
      <c r="FN136" s="106"/>
      <c r="FO136" s="106"/>
      <c r="FP136" s="106"/>
      <c r="FQ136" s="106"/>
      <c r="FR136" s="106"/>
      <c r="FS136" s="106"/>
      <c r="FT136" s="106"/>
      <c r="FU136" s="106"/>
      <c r="FV136" s="106"/>
      <c r="FW136" s="106"/>
      <c r="FX136" s="106"/>
      <c r="FY136" s="106"/>
      <c r="FZ136" s="106"/>
      <c r="GA136" s="106"/>
      <c r="GB136" s="106"/>
      <c r="GC136" s="106"/>
      <c r="GD136" s="106"/>
      <c r="GE136" s="106"/>
      <c r="GF136" s="106"/>
      <c r="GG136" s="159"/>
    </row>
    <row r="137" spans="2:189" x14ac:dyDescent="0.2">
      <c r="B137" s="97">
        <v>44166</v>
      </c>
      <c r="C137" s="100">
        <v>70.400000000000006</v>
      </c>
      <c r="D137" s="100">
        <v>70.599999999999994</v>
      </c>
      <c r="E137" s="100">
        <v>70.599999999999994</v>
      </c>
      <c r="F137" s="100">
        <v>70.7</v>
      </c>
      <c r="G137" s="100">
        <v>70.5</v>
      </c>
      <c r="H137" s="100">
        <v>70.3</v>
      </c>
      <c r="I137" s="100">
        <v>70.400000000000006</v>
      </c>
      <c r="J137" s="100">
        <v>70.5</v>
      </c>
      <c r="K137" s="100">
        <v>70.599999999999994</v>
      </c>
      <c r="L137" s="100">
        <v>70.5</v>
      </c>
      <c r="M137" s="100">
        <v>70.5</v>
      </c>
      <c r="N137" s="100">
        <v>70.5</v>
      </c>
      <c r="O137" s="100">
        <v>70.5</v>
      </c>
      <c r="P137" s="100">
        <v>70.2</v>
      </c>
      <c r="Q137" s="100">
        <v>70.2</v>
      </c>
      <c r="R137" s="100">
        <v>70.099999999999994</v>
      </c>
      <c r="S137" s="100">
        <v>70.099999999999994</v>
      </c>
      <c r="T137" s="100">
        <v>70.099999999999994</v>
      </c>
      <c r="U137" s="100">
        <v>70.2</v>
      </c>
      <c r="V137" s="100">
        <v>70.2</v>
      </c>
      <c r="W137" s="100">
        <v>70.3</v>
      </c>
      <c r="X137" s="100">
        <v>70.5</v>
      </c>
      <c r="Y137" s="100">
        <v>70.5</v>
      </c>
      <c r="Z137" s="100">
        <v>70.7</v>
      </c>
      <c r="AA137" s="100">
        <v>70.900000000000006</v>
      </c>
      <c r="AB137" s="100">
        <v>71.099999999999994</v>
      </c>
      <c r="AC137" s="100">
        <v>71.2</v>
      </c>
      <c r="AD137" s="100">
        <v>71.099999999999994</v>
      </c>
      <c r="AE137" s="100">
        <v>71.099999999999994</v>
      </c>
      <c r="AF137" s="100">
        <v>71.3</v>
      </c>
      <c r="AG137" s="100">
        <v>71.400000000000006</v>
      </c>
      <c r="AH137" s="100">
        <v>71.400000000000006</v>
      </c>
      <c r="AI137" s="100">
        <v>71.2</v>
      </c>
      <c r="AJ137" s="100">
        <v>71.2</v>
      </c>
      <c r="AK137" s="100">
        <v>71.2</v>
      </c>
      <c r="AL137" s="100">
        <v>71.2</v>
      </c>
      <c r="AM137" s="100">
        <v>71.3</v>
      </c>
      <c r="AN137" s="100">
        <v>71.5</v>
      </c>
      <c r="AO137" s="100">
        <v>71.5</v>
      </c>
      <c r="AP137" s="100">
        <v>71.7</v>
      </c>
      <c r="AQ137" s="100">
        <v>71.900000000000006</v>
      </c>
      <c r="AR137" s="100">
        <v>72</v>
      </c>
      <c r="AS137" s="100">
        <v>72</v>
      </c>
      <c r="AT137" s="100">
        <v>72.099999999999994</v>
      </c>
      <c r="AU137" s="100">
        <v>72.400000000000006</v>
      </c>
      <c r="AV137" s="100">
        <v>72.5</v>
      </c>
      <c r="AW137" s="100">
        <v>72.7</v>
      </c>
      <c r="AX137" s="100">
        <v>72.900000000000006</v>
      </c>
      <c r="AY137" s="100">
        <v>72.8</v>
      </c>
      <c r="AZ137" s="100">
        <v>72.8</v>
      </c>
      <c r="BA137" s="100">
        <v>73</v>
      </c>
      <c r="BB137" s="100">
        <v>73</v>
      </c>
      <c r="BC137" s="100">
        <v>73</v>
      </c>
      <c r="BD137" s="100">
        <v>73</v>
      </c>
      <c r="BE137" s="100">
        <v>73.2</v>
      </c>
      <c r="BF137" s="100">
        <v>73.3</v>
      </c>
      <c r="BG137" s="100">
        <v>73.400000000000006</v>
      </c>
      <c r="BH137" s="100">
        <v>73.400000000000006</v>
      </c>
      <c r="BI137" s="100">
        <v>73.400000000000006</v>
      </c>
      <c r="BJ137" s="100">
        <v>73.3</v>
      </c>
      <c r="BK137" s="100">
        <v>73.400000000000006</v>
      </c>
      <c r="BL137" s="100">
        <v>73.5</v>
      </c>
      <c r="BM137" s="100">
        <v>73.599999999999994</v>
      </c>
      <c r="BN137" s="100">
        <v>73.8</v>
      </c>
      <c r="BO137" s="100">
        <v>74</v>
      </c>
      <c r="BP137" s="100">
        <v>74</v>
      </c>
      <c r="BQ137" s="100">
        <v>74.099999999999994</v>
      </c>
      <c r="BR137" s="100">
        <v>74.099999999999994</v>
      </c>
      <c r="BS137" s="100">
        <v>74.099999999999994</v>
      </c>
      <c r="BT137" s="100">
        <v>74.099999999999994</v>
      </c>
      <c r="BU137" s="100">
        <v>74.2</v>
      </c>
      <c r="BV137" s="100">
        <v>74.400000000000006</v>
      </c>
      <c r="BW137" s="100">
        <v>74.400000000000006</v>
      </c>
      <c r="BX137" s="100">
        <v>74.5</v>
      </c>
      <c r="BY137" s="100">
        <v>74.5</v>
      </c>
      <c r="BZ137" s="100">
        <v>74.400000000000006</v>
      </c>
      <c r="CA137" s="100">
        <v>74.400000000000006</v>
      </c>
      <c r="CB137" s="100">
        <v>74.400000000000006</v>
      </c>
      <c r="CC137" s="100">
        <v>74.599999999999994</v>
      </c>
      <c r="CD137" s="100">
        <v>74.5</v>
      </c>
      <c r="CE137" s="100">
        <v>74.599999999999994</v>
      </c>
      <c r="CF137" s="100">
        <v>74.8</v>
      </c>
      <c r="CG137" s="100">
        <v>74.8</v>
      </c>
      <c r="CH137" s="100">
        <v>74.900000000000006</v>
      </c>
      <c r="CI137" s="100">
        <v>75.099999999999994</v>
      </c>
      <c r="CJ137" s="100">
        <v>75.3</v>
      </c>
      <c r="CK137" s="100">
        <v>75.099999999999994</v>
      </c>
      <c r="CL137" s="100">
        <v>75</v>
      </c>
      <c r="CM137" s="100">
        <v>75.099999999999994</v>
      </c>
      <c r="CN137" s="100">
        <v>75.3</v>
      </c>
      <c r="CO137" s="100">
        <v>75.2</v>
      </c>
      <c r="CP137" s="100">
        <v>75.3</v>
      </c>
      <c r="CQ137" s="100">
        <v>75.400000000000006</v>
      </c>
      <c r="CR137" s="100">
        <v>75.599999999999994</v>
      </c>
      <c r="CS137" s="100">
        <v>75.599999999999994</v>
      </c>
      <c r="CT137" s="100">
        <v>75.599999999999994</v>
      </c>
      <c r="CU137" s="100">
        <v>75.5</v>
      </c>
      <c r="CV137" s="100">
        <v>75.5</v>
      </c>
      <c r="CW137" s="100">
        <v>75.599999999999994</v>
      </c>
      <c r="CX137" s="100">
        <v>75.599999999999994</v>
      </c>
      <c r="CY137" s="100">
        <v>75.7</v>
      </c>
      <c r="CZ137" s="100">
        <v>75.8</v>
      </c>
      <c r="DA137" s="100">
        <v>75.8</v>
      </c>
      <c r="DB137" s="100">
        <v>76.099999999999994</v>
      </c>
      <c r="DC137" s="100">
        <v>76.099999999999994</v>
      </c>
      <c r="DD137" s="100">
        <v>76.099999999999994</v>
      </c>
      <c r="DE137" s="100">
        <v>76.099999999999994</v>
      </c>
      <c r="DF137" s="100">
        <v>75.8</v>
      </c>
      <c r="DG137" s="100">
        <v>76.099999999999994</v>
      </c>
      <c r="DH137" s="100">
        <v>76</v>
      </c>
      <c r="DI137" s="100">
        <v>75.900000000000006</v>
      </c>
      <c r="DJ137" s="100">
        <v>76</v>
      </c>
      <c r="DK137" s="103">
        <v>76.2</v>
      </c>
      <c r="DL137" s="100">
        <v>76.3</v>
      </c>
      <c r="DM137" s="100">
        <v>76.5</v>
      </c>
      <c r="DN137" s="100">
        <v>76.5</v>
      </c>
      <c r="DO137" s="100">
        <v>76.599999999999994</v>
      </c>
      <c r="DP137" s="100">
        <v>76.340151606737336</v>
      </c>
      <c r="DQ137" s="100">
        <v>76.023623325676269</v>
      </c>
      <c r="DR137" s="100">
        <v>75.892213730280673</v>
      </c>
      <c r="DS137" s="100">
        <v>75.846279088666606</v>
      </c>
      <c r="DT137" s="100">
        <v>75.784333371812522</v>
      </c>
      <c r="DU137" s="100">
        <v>75.560540413295854</v>
      </c>
      <c r="DV137" s="100">
        <v>75.3</v>
      </c>
      <c r="DW137" s="102">
        <v>75.2</v>
      </c>
      <c r="DX137" s="100"/>
      <c r="DY137" s="100"/>
      <c r="DZ137" s="100"/>
      <c r="EA137" s="100"/>
      <c r="EB137" s="100"/>
      <c r="EC137" s="100"/>
      <c r="ED137" s="100"/>
      <c r="EE137" s="100"/>
      <c r="EF137" s="100"/>
      <c r="EG137" s="100"/>
      <c r="EH137" s="100"/>
      <c r="EI137" s="100"/>
      <c r="EJ137" s="100"/>
      <c r="EK137" s="100"/>
      <c r="EL137" s="100"/>
      <c r="EM137" s="100"/>
      <c r="EN137" s="100"/>
      <c r="EO137" s="100"/>
      <c r="EP137" s="100"/>
      <c r="EQ137" s="106"/>
      <c r="ER137" s="106"/>
      <c r="ES137" s="106"/>
      <c r="ET137" s="106"/>
      <c r="EU137" s="106"/>
      <c r="EV137" s="106"/>
      <c r="EW137" s="106"/>
      <c r="EX137" s="106"/>
      <c r="EY137" s="106"/>
      <c r="EZ137" s="106"/>
      <c r="FA137" s="106"/>
      <c r="FB137" s="106"/>
      <c r="FC137" s="106"/>
      <c r="FD137" s="106"/>
      <c r="FE137" s="106"/>
      <c r="FF137" s="106"/>
      <c r="FG137" s="106"/>
      <c r="FH137" s="106"/>
      <c r="FI137" s="106"/>
      <c r="FJ137" s="106"/>
      <c r="FK137" s="106"/>
      <c r="FL137" s="106"/>
      <c r="FM137" s="106"/>
      <c r="FN137" s="106"/>
      <c r="FO137" s="106"/>
      <c r="FP137" s="106"/>
      <c r="FQ137" s="106"/>
      <c r="FR137" s="106"/>
      <c r="FS137" s="106"/>
      <c r="FT137" s="106"/>
      <c r="FU137" s="106"/>
      <c r="FV137" s="106"/>
      <c r="FW137" s="106"/>
      <c r="FX137" s="106"/>
      <c r="FY137" s="106"/>
      <c r="FZ137" s="106"/>
      <c r="GA137" s="106"/>
      <c r="GB137" s="106"/>
      <c r="GC137" s="106"/>
      <c r="GD137" s="106"/>
      <c r="GE137" s="106"/>
      <c r="GF137" s="106"/>
      <c r="GG137" s="159"/>
    </row>
    <row r="138" spans="2:189" x14ac:dyDescent="0.2">
      <c r="B138" s="97">
        <v>44197</v>
      </c>
      <c r="C138" s="100">
        <v>70.400000000000006</v>
      </c>
      <c r="D138" s="100">
        <v>70.599999999999994</v>
      </c>
      <c r="E138" s="100">
        <v>70.599999999999994</v>
      </c>
      <c r="F138" s="100">
        <v>70.7</v>
      </c>
      <c r="G138" s="100">
        <v>70.5</v>
      </c>
      <c r="H138" s="100">
        <v>70.3</v>
      </c>
      <c r="I138" s="100">
        <v>70.400000000000006</v>
      </c>
      <c r="J138" s="100">
        <v>70.5</v>
      </c>
      <c r="K138" s="100">
        <v>70.599999999999994</v>
      </c>
      <c r="L138" s="100">
        <v>70.5</v>
      </c>
      <c r="M138" s="100">
        <v>70.5</v>
      </c>
      <c r="N138" s="100">
        <v>70.5</v>
      </c>
      <c r="O138" s="100">
        <v>70.5</v>
      </c>
      <c r="P138" s="100">
        <v>70.2</v>
      </c>
      <c r="Q138" s="100">
        <v>70.2</v>
      </c>
      <c r="R138" s="100">
        <v>70.099999999999994</v>
      </c>
      <c r="S138" s="100">
        <v>70.099999999999994</v>
      </c>
      <c r="T138" s="100">
        <v>70.099999999999994</v>
      </c>
      <c r="U138" s="100">
        <v>70.2</v>
      </c>
      <c r="V138" s="100">
        <v>70.2</v>
      </c>
      <c r="W138" s="100">
        <v>70.3</v>
      </c>
      <c r="X138" s="100">
        <v>70.5</v>
      </c>
      <c r="Y138" s="100">
        <v>70.5</v>
      </c>
      <c r="Z138" s="100">
        <v>70.7</v>
      </c>
      <c r="AA138" s="100">
        <v>70.900000000000006</v>
      </c>
      <c r="AB138" s="100">
        <v>71.099999999999994</v>
      </c>
      <c r="AC138" s="100">
        <v>71.2</v>
      </c>
      <c r="AD138" s="100">
        <v>71.099999999999994</v>
      </c>
      <c r="AE138" s="100">
        <v>71.099999999999994</v>
      </c>
      <c r="AF138" s="100">
        <v>71.3</v>
      </c>
      <c r="AG138" s="100">
        <v>71.400000000000006</v>
      </c>
      <c r="AH138" s="100">
        <v>71.400000000000006</v>
      </c>
      <c r="AI138" s="100">
        <v>71.2</v>
      </c>
      <c r="AJ138" s="100">
        <v>71.2</v>
      </c>
      <c r="AK138" s="100">
        <v>71.2</v>
      </c>
      <c r="AL138" s="100">
        <v>71.2</v>
      </c>
      <c r="AM138" s="100">
        <v>71.3</v>
      </c>
      <c r="AN138" s="100">
        <v>71.5</v>
      </c>
      <c r="AO138" s="100">
        <v>71.5</v>
      </c>
      <c r="AP138" s="100">
        <v>71.7</v>
      </c>
      <c r="AQ138" s="100">
        <v>71.900000000000006</v>
      </c>
      <c r="AR138" s="100">
        <v>72</v>
      </c>
      <c r="AS138" s="100">
        <v>72</v>
      </c>
      <c r="AT138" s="100">
        <v>72.099999999999994</v>
      </c>
      <c r="AU138" s="100">
        <v>72.400000000000006</v>
      </c>
      <c r="AV138" s="100">
        <v>72.5</v>
      </c>
      <c r="AW138" s="100">
        <v>72.7</v>
      </c>
      <c r="AX138" s="100">
        <v>72.900000000000006</v>
      </c>
      <c r="AY138" s="100">
        <v>72.8</v>
      </c>
      <c r="AZ138" s="100">
        <v>72.8</v>
      </c>
      <c r="BA138" s="100">
        <v>73</v>
      </c>
      <c r="BB138" s="100">
        <v>73</v>
      </c>
      <c r="BC138" s="100">
        <v>73</v>
      </c>
      <c r="BD138" s="100">
        <v>73</v>
      </c>
      <c r="BE138" s="100">
        <v>73.2</v>
      </c>
      <c r="BF138" s="100">
        <v>73.3</v>
      </c>
      <c r="BG138" s="100">
        <v>73.400000000000006</v>
      </c>
      <c r="BH138" s="100">
        <v>73.400000000000006</v>
      </c>
      <c r="BI138" s="100">
        <v>73.400000000000006</v>
      </c>
      <c r="BJ138" s="100">
        <v>73.3</v>
      </c>
      <c r="BK138" s="100">
        <v>73.400000000000006</v>
      </c>
      <c r="BL138" s="100">
        <v>73.5</v>
      </c>
      <c r="BM138" s="100">
        <v>73.599999999999994</v>
      </c>
      <c r="BN138" s="100">
        <v>73.8</v>
      </c>
      <c r="BO138" s="100">
        <v>74</v>
      </c>
      <c r="BP138" s="100">
        <v>74</v>
      </c>
      <c r="BQ138" s="100">
        <v>74.099999999999994</v>
      </c>
      <c r="BR138" s="100">
        <v>74.099999999999994</v>
      </c>
      <c r="BS138" s="100">
        <v>74.099999999999994</v>
      </c>
      <c r="BT138" s="100">
        <v>74.099999999999994</v>
      </c>
      <c r="BU138" s="100">
        <v>74.2</v>
      </c>
      <c r="BV138" s="100">
        <v>74.400000000000006</v>
      </c>
      <c r="BW138" s="100">
        <v>74.400000000000006</v>
      </c>
      <c r="BX138" s="100">
        <v>74.5</v>
      </c>
      <c r="BY138" s="100">
        <v>74.5</v>
      </c>
      <c r="BZ138" s="100">
        <v>74.400000000000006</v>
      </c>
      <c r="CA138" s="100">
        <v>74.400000000000006</v>
      </c>
      <c r="CB138" s="100">
        <v>74.400000000000006</v>
      </c>
      <c r="CC138" s="100">
        <v>74.599999999999994</v>
      </c>
      <c r="CD138" s="100">
        <v>74.5</v>
      </c>
      <c r="CE138" s="100">
        <v>74.599999999999994</v>
      </c>
      <c r="CF138" s="100">
        <v>74.8</v>
      </c>
      <c r="CG138" s="100">
        <v>74.8</v>
      </c>
      <c r="CH138" s="100">
        <v>74.900000000000006</v>
      </c>
      <c r="CI138" s="100">
        <v>75.099999999999994</v>
      </c>
      <c r="CJ138" s="100">
        <v>75.3</v>
      </c>
      <c r="CK138" s="100">
        <v>75.099999999999994</v>
      </c>
      <c r="CL138" s="100">
        <v>75</v>
      </c>
      <c r="CM138" s="100">
        <v>75.099999999999994</v>
      </c>
      <c r="CN138" s="100">
        <v>75.3</v>
      </c>
      <c r="CO138" s="100">
        <v>75.2</v>
      </c>
      <c r="CP138" s="100">
        <v>75.3</v>
      </c>
      <c r="CQ138" s="100">
        <v>75.400000000000006</v>
      </c>
      <c r="CR138" s="100">
        <v>75.599999999999994</v>
      </c>
      <c r="CS138" s="100">
        <v>75.599999999999994</v>
      </c>
      <c r="CT138" s="100">
        <v>75.599999999999994</v>
      </c>
      <c r="CU138" s="100">
        <v>75.5</v>
      </c>
      <c r="CV138" s="100">
        <v>75.5</v>
      </c>
      <c r="CW138" s="100">
        <v>75.599999999999994</v>
      </c>
      <c r="CX138" s="100">
        <v>75.599999999999994</v>
      </c>
      <c r="CY138" s="100">
        <v>75.7</v>
      </c>
      <c r="CZ138" s="100">
        <v>75.8</v>
      </c>
      <c r="DA138" s="100">
        <v>75.8</v>
      </c>
      <c r="DB138" s="100">
        <v>76.099999999999994</v>
      </c>
      <c r="DC138" s="100">
        <v>76.099999999999994</v>
      </c>
      <c r="DD138" s="100">
        <v>76.099999999999994</v>
      </c>
      <c r="DE138" s="100">
        <v>76.099999999999994</v>
      </c>
      <c r="DF138" s="100">
        <v>75.8</v>
      </c>
      <c r="DG138" s="100">
        <v>76.099999999999994</v>
      </c>
      <c r="DH138" s="100">
        <v>76</v>
      </c>
      <c r="DI138" s="100">
        <v>75.900000000000006</v>
      </c>
      <c r="DJ138" s="100">
        <v>76</v>
      </c>
      <c r="DK138" s="100">
        <v>76.2</v>
      </c>
      <c r="DL138" s="103">
        <v>76.3</v>
      </c>
      <c r="DM138" s="100">
        <v>76.5</v>
      </c>
      <c r="DN138" s="100">
        <v>76.5</v>
      </c>
      <c r="DO138" s="100">
        <v>76.599999999999994</v>
      </c>
      <c r="DP138" s="100">
        <v>76.340151606737336</v>
      </c>
      <c r="DQ138" s="100">
        <v>76.023623325676269</v>
      </c>
      <c r="DR138" s="100">
        <v>75.892213730280673</v>
      </c>
      <c r="DS138" s="100">
        <v>75.846279088666606</v>
      </c>
      <c r="DT138" s="100">
        <v>75.784333371812522</v>
      </c>
      <c r="DU138" s="100">
        <v>75.560540413295854</v>
      </c>
      <c r="DV138" s="100">
        <v>75.3</v>
      </c>
      <c r="DW138" s="100">
        <v>75.2</v>
      </c>
      <c r="DX138" s="102">
        <v>75.2</v>
      </c>
      <c r="DY138" s="100"/>
      <c r="DZ138" s="100"/>
      <c r="EA138" s="100"/>
      <c r="EB138" s="100"/>
      <c r="EC138" s="100"/>
      <c r="ED138" s="100"/>
      <c r="EE138" s="100"/>
      <c r="EF138" s="100"/>
      <c r="EG138" s="100"/>
      <c r="EH138" s="100"/>
      <c r="EI138" s="100"/>
      <c r="EJ138" s="100"/>
      <c r="EK138" s="100"/>
      <c r="EL138" s="100"/>
      <c r="EM138" s="100"/>
      <c r="EN138" s="100"/>
      <c r="EO138" s="100"/>
      <c r="EP138" s="100"/>
      <c r="EQ138" s="106"/>
      <c r="ER138" s="106"/>
      <c r="ES138" s="106"/>
      <c r="ET138" s="106"/>
      <c r="EU138" s="106"/>
      <c r="EV138" s="106"/>
      <c r="EW138" s="106"/>
      <c r="EX138" s="106"/>
      <c r="EY138" s="106"/>
      <c r="EZ138" s="106"/>
      <c r="FA138" s="106"/>
      <c r="FB138" s="106"/>
      <c r="FC138" s="106"/>
      <c r="FD138" s="106"/>
      <c r="FE138" s="106"/>
      <c r="FF138" s="106"/>
      <c r="FG138" s="106"/>
      <c r="FH138" s="106"/>
      <c r="FI138" s="106"/>
      <c r="FJ138" s="106"/>
      <c r="FK138" s="106"/>
      <c r="FL138" s="106"/>
      <c r="FM138" s="106"/>
      <c r="FN138" s="106"/>
      <c r="FO138" s="106"/>
      <c r="FP138" s="106"/>
      <c r="FQ138" s="106"/>
      <c r="FR138" s="106"/>
      <c r="FS138" s="106"/>
      <c r="FT138" s="106"/>
      <c r="FU138" s="106"/>
      <c r="FV138" s="106"/>
      <c r="FW138" s="106"/>
      <c r="FX138" s="106"/>
      <c r="FY138" s="106"/>
      <c r="FZ138" s="106"/>
      <c r="GA138" s="106"/>
      <c r="GB138" s="106"/>
      <c r="GC138" s="106"/>
      <c r="GD138" s="106"/>
      <c r="GE138" s="106"/>
      <c r="GF138" s="106"/>
      <c r="GG138" s="159"/>
    </row>
    <row r="139" spans="2:189" x14ac:dyDescent="0.2">
      <c r="B139" s="97">
        <v>44228</v>
      </c>
      <c r="C139" s="100">
        <v>70.400000000000006</v>
      </c>
      <c r="D139" s="100">
        <v>70.599999999999994</v>
      </c>
      <c r="E139" s="100">
        <v>70.599999999999994</v>
      </c>
      <c r="F139" s="100">
        <v>70.7</v>
      </c>
      <c r="G139" s="100">
        <v>70.5</v>
      </c>
      <c r="H139" s="100">
        <v>70.3</v>
      </c>
      <c r="I139" s="100">
        <v>70.400000000000006</v>
      </c>
      <c r="J139" s="100">
        <v>70.5</v>
      </c>
      <c r="K139" s="100">
        <v>70.599999999999994</v>
      </c>
      <c r="L139" s="100">
        <v>70.5</v>
      </c>
      <c r="M139" s="100">
        <v>70.5</v>
      </c>
      <c r="N139" s="100">
        <v>70.5</v>
      </c>
      <c r="O139" s="100">
        <v>70.5</v>
      </c>
      <c r="P139" s="100">
        <v>70.2</v>
      </c>
      <c r="Q139" s="100">
        <v>70.2</v>
      </c>
      <c r="R139" s="100">
        <v>70.099999999999994</v>
      </c>
      <c r="S139" s="100">
        <v>70.099999999999994</v>
      </c>
      <c r="T139" s="100">
        <v>70.099999999999994</v>
      </c>
      <c r="U139" s="100">
        <v>70.2</v>
      </c>
      <c r="V139" s="100">
        <v>70.2</v>
      </c>
      <c r="W139" s="100">
        <v>70.3</v>
      </c>
      <c r="X139" s="100">
        <v>70.5</v>
      </c>
      <c r="Y139" s="100">
        <v>70.5</v>
      </c>
      <c r="Z139" s="100">
        <v>70.7</v>
      </c>
      <c r="AA139" s="100">
        <v>70.900000000000006</v>
      </c>
      <c r="AB139" s="100">
        <v>71.099999999999994</v>
      </c>
      <c r="AC139" s="100">
        <v>71.2</v>
      </c>
      <c r="AD139" s="100">
        <v>71.099999999999994</v>
      </c>
      <c r="AE139" s="100">
        <v>71.099999999999994</v>
      </c>
      <c r="AF139" s="100">
        <v>71.3</v>
      </c>
      <c r="AG139" s="100">
        <v>71.400000000000006</v>
      </c>
      <c r="AH139" s="100">
        <v>71.400000000000006</v>
      </c>
      <c r="AI139" s="100">
        <v>71.2</v>
      </c>
      <c r="AJ139" s="100">
        <v>71.2</v>
      </c>
      <c r="AK139" s="100">
        <v>71.2</v>
      </c>
      <c r="AL139" s="100">
        <v>71.2</v>
      </c>
      <c r="AM139" s="100">
        <v>71.3</v>
      </c>
      <c r="AN139" s="100">
        <v>71.5</v>
      </c>
      <c r="AO139" s="100">
        <v>71.5</v>
      </c>
      <c r="AP139" s="100">
        <v>71.7</v>
      </c>
      <c r="AQ139" s="100">
        <v>71.900000000000006</v>
      </c>
      <c r="AR139" s="100">
        <v>72</v>
      </c>
      <c r="AS139" s="100">
        <v>72</v>
      </c>
      <c r="AT139" s="100">
        <v>72.099999999999994</v>
      </c>
      <c r="AU139" s="100">
        <v>72.400000000000006</v>
      </c>
      <c r="AV139" s="100">
        <v>72.5</v>
      </c>
      <c r="AW139" s="100">
        <v>72.7</v>
      </c>
      <c r="AX139" s="100">
        <v>72.900000000000006</v>
      </c>
      <c r="AY139" s="100">
        <v>72.8</v>
      </c>
      <c r="AZ139" s="100">
        <v>72.8</v>
      </c>
      <c r="BA139" s="100">
        <v>73</v>
      </c>
      <c r="BB139" s="100">
        <v>73</v>
      </c>
      <c r="BC139" s="100">
        <v>73</v>
      </c>
      <c r="BD139" s="100">
        <v>73</v>
      </c>
      <c r="BE139" s="100">
        <v>73.2</v>
      </c>
      <c r="BF139" s="100">
        <v>73.3</v>
      </c>
      <c r="BG139" s="100">
        <v>73.400000000000006</v>
      </c>
      <c r="BH139" s="100">
        <v>73.400000000000006</v>
      </c>
      <c r="BI139" s="100">
        <v>73.400000000000006</v>
      </c>
      <c r="BJ139" s="100">
        <v>73.3</v>
      </c>
      <c r="BK139" s="100">
        <v>73.400000000000006</v>
      </c>
      <c r="BL139" s="100">
        <v>73.5</v>
      </c>
      <c r="BM139" s="100">
        <v>73.599999999999994</v>
      </c>
      <c r="BN139" s="100">
        <v>73.8</v>
      </c>
      <c r="BO139" s="100">
        <v>74</v>
      </c>
      <c r="BP139" s="100">
        <v>74</v>
      </c>
      <c r="BQ139" s="100">
        <v>74.099999999999994</v>
      </c>
      <c r="BR139" s="100">
        <v>74.099999999999994</v>
      </c>
      <c r="BS139" s="100">
        <v>74.099999999999994</v>
      </c>
      <c r="BT139" s="100">
        <v>74.099999999999994</v>
      </c>
      <c r="BU139" s="100">
        <v>74.2</v>
      </c>
      <c r="BV139" s="100">
        <v>74.400000000000006</v>
      </c>
      <c r="BW139" s="100">
        <v>74.400000000000006</v>
      </c>
      <c r="BX139" s="100">
        <v>74.5</v>
      </c>
      <c r="BY139" s="100">
        <v>74.5</v>
      </c>
      <c r="BZ139" s="100">
        <v>74.400000000000006</v>
      </c>
      <c r="CA139" s="100">
        <v>74.400000000000006</v>
      </c>
      <c r="CB139" s="100">
        <v>74.400000000000006</v>
      </c>
      <c r="CC139" s="100">
        <v>74.599999999999994</v>
      </c>
      <c r="CD139" s="100">
        <v>74.5</v>
      </c>
      <c r="CE139" s="100">
        <v>74.599999999999994</v>
      </c>
      <c r="CF139" s="100">
        <v>74.8</v>
      </c>
      <c r="CG139" s="100">
        <v>74.8</v>
      </c>
      <c r="CH139" s="100">
        <v>74.900000000000006</v>
      </c>
      <c r="CI139" s="100">
        <v>75.099999999999994</v>
      </c>
      <c r="CJ139" s="100">
        <v>75.3</v>
      </c>
      <c r="CK139" s="100">
        <v>75.099999999999994</v>
      </c>
      <c r="CL139" s="100">
        <v>75</v>
      </c>
      <c r="CM139" s="100">
        <v>75.099999999999994</v>
      </c>
      <c r="CN139" s="100">
        <v>75.3</v>
      </c>
      <c r="CO139" s="100">
        <v>75.2</v>
      </c>
      <c r="CP139" s="100">
        <v>75.3</v>
      </c>
      <c r="CQ139" s="100">
        <v>75.400000000000006</v>
      </c>
      <c r="CR139" s="100">
        <v>75.599999999999994</v>
      </c>
      <c r="CS139" s="100">
        <v>75.599999999999994</v>
      </c>
      <c r="CT139" s="100">
        <v>75.599999999999994</v>
      </c>
      <c r="CU139" s="100">
        <v>75.5</v>
      </c>
      <c r="CV139" s="100">
        <v>75.5</v>
      </c>
      <c r="CW139" s="100">
        <v>75.599999999999994</v>
      </c>
      <c r="CX139" s="100">
        <v>75.599999999999994</v>
      </c>
      <c r="CY139" s="100">
        <v>75.7</v>
      </c>
      <c r="CZ139" s="100">
        <v>75.8</v>
      </c>
      <c r="DA139" s="100">
        <v>75.8</v>
      </c>
      <c r="DB139" s="100">
        <v>76.099999999999994</v>
      </c>
      <c r="DC139" s="100">
        <v>76.099999999999994</v>
      </c>
      <c r="DD139" s="100">
        <v>76.099999999999994</v>
      </c>
      <c r="DE139" s="100">
        <v>76.099999999999994</v>
      </c>
      <c r="DF139" s="100">
        <v>75.8</v>
      </c>
      <c r="DG139" s="100">
        <v>76.099999999999994</v>
      </c>
      <c r="DH139" s="100">
        <v>76</v>
      </c>
      <c r="DI139" s="100">
        <v>75.900000000000006</v>
      </c>
      <c r="DJ139" s="100">
        <v>76</v>
      </c>
      <c r="DK139" s="100">
        <v>76.2</v>
      </c>
      <c r="DL139" s="100">
        <v>76.3</v>
      </c>
      <c r="DM139" s="103">
        <v>76.5</v>
      </c>
      <c r="DN139" s="100">
        <v>76.5</v>
      </c>
      <c r="DO139" s="100">
        <v>76.599999999999994</v>
      </c>
      <c r="DP139" s="100">
        <v>76.340151606737336</v>
      </c>
      <c r="DQ139" s="100">
        <v>76.023623325676269</v>
      </c>
      <c r="DR139" s="100">
        <v>75.892213730280673</v>
      </c>
      <c r="DS139" s="100">
        <v>75.846279088666606</v>
      </c>
      <c r="DT139" s="100">
        <v>75.784333371812522</v>
      </c>
      <c r="DU139" s="100">
        <v>75.560540413295854</v>
      </c>
      <c r="DV139" s="100">
        <v>75.3</v>
      </c>
      <c r="DW139" s="100">
        <v>75.2</v>
      </c>
      <c r="DX139" s="100">
        <v>75.2</v>
      </c>
      <c r="DY139" s="102">
        <v>75</v>
      </c>
      <c r="DZ139" s="100"/>
      <c r="EA139" s="100"/>
      <c r="EB139" s="100"/>
      <c r="EC139" s="100"/>
      <c r="ED139" s="100"/>
      <c r="EE139" s="100"/>
      <c r="EF139" s="100"/>
      <c r="EG139" s="100"/>
      <c r="EH139" s="100"/>
      <c r="EI139" s="100"/>
      <c r="EJ139" s="100"/>
      <c r="EK139" s="100"/>
      <c r="EL139" s="100"/>
      <c r="EM139" s="100"/>
      <c r="EN139" s="100"/>
      <c r="EO139" s="100"/>
      <c r="EP139" s="100"/>
      <c r="EQ139" s="106"/>
      <c r="ER139" s="106"/>
      <c r="ES139" s="106"/>
      <c r="ET139" s="106"/>
      <c r="EU139" s="106"/>
      <c r="EV139" s="106"/>
      <c r="EW139" s="106"/>
      <c r="EX139" s="106"/>
      <c r="EY139" s="106"/>
      <c r="EZ139" s="106"/>
      <c r="FA139" s="106"/>
      <c r="FB139" s="106"/>
      <c r="FC139" s="106"/>
      <c r="FD139" s="106"/>
      <c r="FE139" s="106"/>
      <c r="FF139" s="106"/>
      <c r="FG139" s="106"/>
      <c r="FH139" s="106"/>
      <c r="FI139" s="106"/>
      <c r="FJ139" s="106"/>
      <c r="FK139" s="106"/>
      <c r="FL139" s="106"/>
      <c r="FM139" s="106"/>
      <c r="FN139" s="106"/>
      <c r="FO139" s="106"/>
      <c r="FP139" s="106"/>
      <c r="FQ139" s="106"/>
      <c r="FR139" s="106"/>
      <c r="FS139" s="106"/>
      <c r="FT139" s="106"/>
      <c r="FU139" s="106"/>
      <c r="FV139" s="106"/>
      <c r="FW139" s="106"/>
      <c r="FX139" s="106"/>
      <c r="FY139" s="106"/>
      <c r="FZ139" s="106"/>
      <c r="GA139" s="106"/>
      <c r="GB139" s="106"/>
      <c r="GC139" s="106"/>
      <c r="GD139" s="106"/>
      <c r="GE139" s="106"/>
      <c r="GF139" s="106"/>
      <c r="GG139" s="159"/>
    </row>
    <row r="140" spans="2:189" x14ac:dyDescent="0.2">
      <c r="B140" s="97">
        <v>44256</v>
      </c>
      <c r="C140" s="100">
        <v>70.400000000000006</v>
      </c>
      <c r="D140" s="100">
        <v>70.599999999999994</v>
      </c>
      <c r="E140" s="100">
        <v>70.599999999999994</v>
      </c>
      <c r="F140" s="100">
        <v>70.7</v>
      </c>
      <c r="G140" s="100">
        <v>70.5</v>
      </c>
      <c r="H140" s="100">
        <v>70.3</v>
      </c>
      <c r="I140" s="100">
        <v>70.400000000000006</v>
      </c>
      <c r="J140" s="100">
        <v>70.5</v>
      </c>
      <c r="K140" s="100">
        <v>70.599999999999994</v>
      </c>
      <c r="L140" s="100">
        <v>70.5</v>
      </c>
      <c r="M140" s="100">
        <v>70.5</v>
      </c>
      <c r="N140" s="100">
        <v>70.5</v>
      </c>
      <c r="O140" s="100">
        <v>70.5</v>
      </c>
      <c r="P140" s="100">
        <v>70.2</v>
      </c>
      <c r="Q140" s="100">
        <v>70.2</v>
      </c>
      <c r="R140" s="100">
        <v>70.099999999999994</v>
      </c>
      <c r="S140" s="100">
        <v>70.099999999999994</v>
      </c>
      <c r="T140" s="100">
        <v>70.099999999999994</v>
      </c>
      <c r="U140" s="100">
        <v>70.2</v>
      </c>
      <c r="V140" s="100">
        <v>70.2</v>
      </c>
      <c r="W140" s="100">
        <v>70.3</v>
      </c>
      <c r="X140" s="100">
        <v>70.5</v>
      </c>
      <c r="Y140" s="100">
        <v>70.5</v>
      </c>
      <c r="Z140" s="100">
        <v>70.7</v>
      </c>
      <c r="AA140" s="100">
        <v>70.900000000000006</v>
      </c>
      <c r="AB140" s="100">
        <v>71.099999999999994</v>
      </c>
      <c r="AC140" s="100">
        <v>71.2</v>
      </c>
      <c r="AD140" s="100">
        <v>71.099999999999994</v>
      </c>
      <c r="AE140" s="100">
        <v>71.099999999999994</v>
      </c>
      <c r="AF140" s="100">
        <v>71.3</v>
      </c>
      <c r="AG140" s="100">
        <v>71.400000000000006</v>
      </c>
      <c r="AH140" s="100">
        <v>71.400000000000006</v>
      </c>
      <c r="AI140" s="100">
        <v>71.2</v>
      </c>
      <c r="AJ140" s="100">
        <v>71.2</v>
      </c>
      <c r="AK140" s="100">
        <v>71.2</v>
      </c>
      <c r="AL140" s="100">
        <v>71.2</v>
      </c>
      <c r="AM140" s="100">
        <v>71.3</v>
      </c>
      <c r="AN140" s="100">
        <v>71.5</v>
      </c>
      <c r="AO140" s="100">
        <v>71.5</v>
      </c>
      <c r="AP140" s="100">
        <v>71.7</v>
      </c>
      <c r="AQ140" s="100">
        <v>71.900000000000006</v>
      </c>
      <c r="AR140" s="100">
        <v>72</v>
      </c>
      <c r="AS140" s="100">
        <v>72</v>
      </c>
      <c r="AT140" s="100">
        <v>72.099999999999994</v>
      </c>
      <c r="AU140" s="100">
        <v>72.400000000000006</v>
      </c>
      <c r="AV140" s="100">
        <v>72.5</v>
      </c>
      <c r="AW140" s="100">
        <v>72.7</v>
      </c>
      <c r="AX140" s="100">
        <v>72.900000000000006</v>
      </c>
      <c r="AY140" s="100">
        <v>72.8</v>
      </c>
      <c r="AZ140" s="100">
        <v>72.8</v>
      </c>
      <c r="BA140" s="100">
        <v>73</v>
      </c>
      <c r="BB140" s="100">
        <v>73</v>
      </c>
      <c r="BC140" s="100">
        <v>73</v>
      </c>
      <c r="BD140" s="100">
        <v>73</v>
      </c>
      <c r="BE140" s="100">
        <v>73.2</v>
      </c>
      <c r="BF140" s="100">
        <v>73.3</v>
      </c>
      <c r="BG140" s="100">
        <v>73.400000000000006</v>
      </c>
      <c r="BH140" s="100">
        <v>73.400000000000006</v>
      </c>
      <c r="BI140" s="100">
        <v>73.400000000000006</v>
      </c>
      <c r="BJ140" s="100">
        <v>73.3</v>
      </c>
      <c r="BK140" s="100">
        <v>73.400000000000006</v>
      </c>
      <c r="BL140" s="100">
        <v>73.5</v>
      </c>
      <c r="BM140" s="100">
        <v>73.599999999999994</v>
      </c>
      <c r="BN140" s="100">
        <v>73.8</v>
      </c>
      <c r="BO140" s="100">
        <v>74</v>
      </c>
      <c r="BP140" s="100">
        <v>74</v>
      </c>
      <c r="BQ140" s="100">
        <v>74.099999999999994</v>
      </c>
      <c r="BR140" s="100">
        <v>74.099999999999994</v>
      </c>
      <c r="BS140" s="100">
        <v>74.099999999999994</v>
      </c>
      <c r="BT140" s="100">
        <v>74.099999999999994</v>
      </c>
      <c r="BU140" s="100">
        <v>74.2</v>
      </c>
      <c r="BV140" s="100">
        <v>74.400000000000006</v>
      </c>
      <c r="BW140" s="100">
        <v>74.400000000000006</v>
      </c>
      <c r="BX140" s="100">
        <v>74.5</v>
      </c>
      <c r="BY140" s="100">
        <v>74.5</v>
      </c>
      <c r="BZ140" s="100">
        <v>74.400000000000006</v>
      </c>
      <c r="CA140" s="100">
        <v>74.400000000000006</v>
      </c>
      <c r="CB140" s="100">
        <v>74.400000000000006</v>
      </c>
      <c r="CC140" s="100">
        <v>74.599999999999994</v>
      </c>
      <c r="CD140" s="100">
        <v>74.5</v>
      </c>
      <c r="CE140" s="100">
        <v>74.599999999999994</v>
      </c>
      <c r="CF140" s="100">
        <v>74.8</v>
      </c>
      <c r="CG140" s="100">
        <v>74.8</v>
      </c>
      <c r="CH140" s="100">
        <v>74.900000000000006</v>
      </c>
      <c r="CI140" s="100">
        <v>75.099999999999994</v>
      </c>
      <c r="CJ140" s="100">
        <v>75.3</v>
      </c>
      <c r="CK140" s="100">
        <v>75.099999999999994</v>
      </c>
      <c r="CL140" s="100">
        <v>75</v>
      </c>
      <c r="CM140" s="100">
        <v>75.099999999999994</v>
      </c>
      <c r="CN140" s="100">
        <v>75.3</v>
      </c>
      <c r="CO140" s="100">
        <v>75.2</v>
      </c>
      <c r="CP140" s="100">
        <v>75.3</v>
      </c>
      <c r="CQ140" s="100">
        <v>75.400000000000006</v>
      </c>
      <c r="CR140" s="100">
        <v>75.599999999999994</v>
      </c>
      <c r="CS140" s="100">
        <v>75.599999999999994</v>
      </c>
      <c r="CT140" s="100">
        <v>75.599999999999994</v>
      </c>
      <c r="CU140" s="100">
        <v>75.5</v>
      </c>
      <c r="CV140" s="100">
        <v>75.5</v>
      </c>
      <c r="CW140" s="100">
        <v>75.599999999999994</v>
      </c>
      <c r="CX140" s="100">
        <v>75.599999999999994</v>
      </c>
      <c r="CY140" s="100">
        <v>75.7</v>
      </c>
      <c r="CZ140" s="100">
        <v>75.8</v>
      </c>
      <c r="DA140" s="100">
        <v>75.8</v>
      </c>
      <c r="DB140" s="100">
        <v>76.099999999999994</v>
      </c>
      <c r="DC140" s="100">
        <v>76.099999999999994</v>
      </c>
      <c r="DD140" s="100">
        <v>76.099999999999994</v>
      </c>
      <c r="DE140" s="100">
        <v>76.099999999999994</v>
      </c>
      <c r="DF140" s="100">
        <v>75.8</v>
      </c>
      <c r="DG140" s="100">
        <v>76.099999999999994</v>
      </c>
      <c r="DH140" s="100">
        <v>76</v>
      </c>
      <c r="DI140" s="100">
        <v>75.900000000000006</v>
      </c>
      <c r="DJ140" s="100">
        <v>76</v>
      </c>
      <c r="DK140" s="100">
        <v>76.2</v>
      </c>
      <c r="DL140" s="100">
        <v>76.3</v>
      </c>
      <c r="DM140" s="100">
        <v>76.5</v>
      </c>
      <c r="DN140" s="103">
        <v>76.5</v>
      </c>
      <c r="DO140" s="100">
        <v>76.599999999999994</v>
      </c>
      <c r="DP140" s="100">
        <v>76.340151606737336</v>
      </c>
      <c r="DQ140" s="100">
        <v>76.023623325676269</v>
      </c>
      <c r="DR140" s="100">
        <v>75.892213730280673</v>
      </c>
      <c r="DS140" s="100">
        <v>75.846279088666606</v>
      </c>
      <c r="DT140" s="100">
        <v>75.784333371812522</v>
      </c>
      <c r="DU140" s="100">
        <v>75.560540413295854</v>
      </c>
      <c r="DV140" s="100">
        <v>75.3</v>
      </c>
      <c r="DW140" s="100">
        <v>75.2</v>
      </c>
      <c r="DX140" s="100">
        <v>75.2</v>
      </c>
      <c r="DY140" s="100">
        <v>75</v>
      </c>
      <c r="DZ140" s="102">
        <v>75</v>
      </c>
      <c r="EA140" s="100"/>
      <c r="EB140" s="100"/>
      <c r="EC140" s="100"/>
      <c r="ED140" s="100"/>
      <c r="EE140" s="100"/>
      <c r="EF140" s="100"/>
      <c r="EG140" s="100"/>
      <c r="EH140" s="100"/>
      <c r="EI140" s="100"/>
      <c r="EJ140" s="100"/>
      <c r="EK140" s="100"/>
      <c r="EL140" s="100"/>
      <c r="EM140" s="100"/>
      <c r="EN140" s="100"/>
      <c r="EO140" s="100"/>
      <c r="EP140" s="100"/>
      <c r="EQ140" s="106"/>
      <c r="ER140" s="106"/>
      <c r="ES140" s="106"/>
      <c r="ET140" s="106"/>
      <c r="EU140" s="106"/>
      <c r="EV140" s="106"/>
      <c r="EW140" s="106"/>
      <c r="EX140" s="106"/>
      <c r="EY140" s="106"/>
      <c r="EZ140" s="106"/>
      <c r="FA140" s="106"/>
      <c r="FB140" s="106"/>
      <c r="FC140" s="106"/>
      <c r="FD140" s="106"/>
      <c r="FE140" s="106"/>
      <c r="FF140" s="106"/>
      <c r="FG140" s="106"/>
      <c r="FH140" s="106"/>
      <c r="FI140" s="106"/>
      <c r="FJ140" s="106"/>
      <c r="FK140" s="106"/>
      <c r="FL140" s="106"/>
      <c r="FM140" s="106"/>
      <c r="FN140" s="106"/>
      <c r="FO140" s="106"/>
      <c r="FP140" s="106"/>
      <c r="FQ140" s="106"/>
      <c r="FR140" s="106"/>
      <c r="FS140" s="106"/>
      <c r="FT140" s="106"/>
      <c r="FU140" s="106"/>
      <c r="FV140" s="106"/>
      <c r="FW140" s="106"/>
      <c r="FX140" s="106"/>
      <c r="FY140" s="106"/>
      <c r="FZ140" s="106"/>
      <c r="GA140" s="106"/>
      <c r="GB140" s="106"/>
      <c r="GC140" s="106"/>
      <c r="GD140" s="106"/>
      <c r="GE140" s="106"/>
      <c r="GF140" s="106"/>
      <c r="GG140" s="159"/>
    </row>
    <row r="141" spans="2:189" x14ac:dyDescent="0.2">
      <c r="B141" s="97">
        <v>44287</v>
      </c>
      <c r="C141" s="100">
        <v>70.400000000000006</v>
      </c>
      <c r="D141" s="100">
        <v>70.599999999999994</v>
      </c>
      <c r="E141" s="100">
        <v>70.599999999999994</v>
      </c>
      <c r="F141" s="100">
        <v>70.7</v>
      </c>
      <c r="G141" s="100">
        <v>70.5</v>
      </c>
      <c r="H141" s="100">
        <v>70.3</v>
      </c>
      <c r="I141" s="100">
        <v>70.400000000000006</v>
      </c>
      <c r="J141" s="100">
        <v>70.5</v>
      </c>
      <c r="K141" s="100">
        <v>70.599999999999994</v>
      </c>
      <c r="L141" s="100">
        <v>70.5</v>
      </c>
      <c r="M141" s="100">
        <v>70.5</v>
      </c>
      <c r="N141" s="100">
        <v>70.5</v>
      </c>
      <c r="O141" s="100">
        <v>70.5</v>
      </c>
      <c r="P141" s="100">
        <v>70.2</v>
      </c>
      <c r="Q141" s="100">
        <v>70.2</v>
      </c>
      <c r="R141" s="100">
        <v>70.099999999999994</v>
      </c>
      <c r="S141" s="100">
        <v>70.099999999999994</v>
      </c>
      <c r="T141" s="100">
        <v>70.099999999999994</v>
      </c>
      <c r="U141" s="100">
        <v>70.2</v>
      </c>
      <c r="V141" s="100">
        <v>70.2</v>
      </c>
      <c r="W141" s="100">
        <v>70.3</v>
      </c>
      <c r="X141" s="100">
        <v>70.5</v>
      </c>
      <c r="Y141" s="100">
        <v>70.5</v>
      </c>
      <c r="Z141" s="100">
        <v>70.7</v>
      </c>
      <c r="AA141" s="100">
        <v>70.900000000000006</v>
      </c>
      <c r="AB141" s="100">
        <v>71.099999999999994</v>
      </c>
      <c r="AC141" s="100">
        <v>71.2</v>
      </c>
      <c r="AD141" s="100">
        <v>71.099999999999994</v>
      </c>
      <c r="AE141" s="100">
        <v>71.099999999999994</v>
      </c>
      <c r="AF141" s="100">
        <v>71.3</v>
      </c>
      <c r="AG141" s="100">
        <v>71.400000000000006</v>
      </c>
      <c r="AH141" s="100">
        <v>71.400000000000006</v>
      </c>
      <c r="AI141" s="100">
        <v>71.2</v>
      </c>
      <c r="AJ141" s="100">
        <v>71.2</v>
      </c>
      <c r="AK141" s="100">
        <v>71.2</v>
      </c>
      <c r="AL141" s="100">
        <v>71.2</v>
      </c>
      <c r="AM141" s="100">
        <v>71.3</v>
      </c>
      <c r="AN141" s="100">
        <v>71.5</v>
      </c>
      <c r="AO141" s="100">
        <v>71.5</v>
      </c>
      <c r="AP141" s="100">
        <v>71.7</v>
      </c>
      <c r="AQ141" s="100">
        <v>71.900000000000006</v>
      </c>
      <c r="AR141" s="100">
        <v>72</v>
      </c>
      <c r="AS141" s="100">
        <v>72</v>
      </c>
      <c r="AT141" s="100">
        <v>72.099999999999994</v>
      </c>
      <c r="AU141" s="100">
        <v>72.400000000000006</v>
      </c>
      <c r="AV141" s="100">
        <v>72.5</v>
      </c>
      <c r="AW141" s="100">
        <v>72.7</v>
      </c>
      <c r="AX141" s="100">
        <v>72.900000000000006</v>
      </c>
      <c r="AY141" s="100">
        <v>72.8</v>
      </c>
      <c r="AZ141" s="100">
        <v>72.8</v>
      </c>
      <c r="BA141" s="100">
        <v>73</v>
      </c>
      <c r="BB141" s="100">
        <v>73</v>
      </c>
      <c r="BC141" s="100">
        <v>73</v>
      </c>
      <c r="BD141" s="100">
        <v>73</v>
      </c>
      <c r="BE141" s="100">
        <v>73.2</v>
      </c>
      <c r="BF141" s="100">
        <v>73.3</v>
      </c>
      <c r="BG141" s="100">
        <v>73.400000000000006</v>
      </c>
      <c r="BH141" s="100">
        <v>73.400000000000006</v>
      </c>
      <c r="BI141" s="100">
        <v>73.400000000000006</v>
      </c>
      <c r="BJ141" s="100">
        <v>73.3</v>
      </c>
      <c r="BK141" s="100">
        <v>73.400000000000006</v>
      </c>
      <c r="BL141" s="100">
        <v>73.5</v>
      </c>
      <c r="BM141" s="100">
        <v>73.599999999999994</v>
      </c>
      <c r="BN141" s="100">
        <v>73.8</v>
      </c>
      <c r="BO141" s="100">
        <v>74</v>
      </c>
      <c r="BP141" s="100">
        <v>74</v>
      </c>
      <c r="BQ141" s="100">
        <v>74.099999999999994</v>
      </c>
      <c r="BR141" s="100">
        <v>74.099999999999994</v>
      </c>
      <c r="BS141" s="100">
        <v>74.099999999999994</v>
      </c>
      <c r="BT141" s="100">
        <v>74.099999999999994</v>
      </c>
      <c r="BU141" s="100">
        <v>74.2</v>
      </c>
      <c r="BV141" s="100">
        <v>74.400000000000006</v>
      </c>
      <c r="BW141" s="100">
        <v>74.400000000000006</v>
      </c>
      <c r="BX141" s="100">
        <v>74.5</v>
      </c>
      <c r="BY141" s="100">
        <v>74.5</v>
      </c>
      <c r="BZ141" s="100">
        <v>74.400000000000006</v>
      </c>
      <c r="CA141" s="100">
        <v>74.400000000000006</v>
      </c>
      <c r="CB141" s="100">
        <v>74.400000000000006</v>
      </c>
      <c r="CC141" s="100">
        <v>74.599999999999994</v>
      </c>
      <c r="CD141" s="100">
        <v>74.5</v>
      </c>
      <c r="CE141" s="100">
        <v>74.599999999999994</v>
      </c>
      <c r="CF141" s="100">
        <v>74.8</v>
      </c>
      <c r="CG141" s="100">
        <v>74.8</v>
      </c>
      <c r="CH141" s="100">
        <v>74.900000000000006</v>
      </c>
      <c r="CI141" s="100">
        <v>75.099999999999994</v>
      </c>
      <c r="CJ141" s="100">
        <v>75.3</v>
      </c>
      <c r="CK141" s="100">
        <v>75.099999999999994</v>
      </c>
      <c r="CL141" s="100">
        <v>75</v>
      </c>
      <c r="CM141" s="100">
        <v>75.099999999999994</v>
      </c>
      <c r="CN141" s="100">
        <v>75.3</v>
      </c>
      <c r="CO141" s="100">
        <v>75.2</v>
      </c>
      <c r="CP141" s="100">
        <v>75.3</v>
      </c>
      <c r="CQ141" s="100">
        <v>75.400000000000006</v>
      </c>
      <c r="CR141" s="100">
        <v>75.599999999999994</v>
      </c>
      <c r="CS141" s="100">
        <v>75.599999999999994</v>
      </c>
      <c r="CT141" s="100">
        <v>75.599999999999994</v>
      </c>
      <c r="CU141" s="100">
        <v>75.5</v>
      </c>
      <c r="CV141" s="100">
        <v>75.5</v>
      </c>
      <c r="CW141" s="100">
        <v>75.599999999999994</v>
      </c>
      <c r="CX141" s="100">
        <v>75.599999999999994</v>
      </c>
      <c r="CY141" s="100">
        <v>75.7</v>
      </c>
      <c r="CZ141" s="100">
        <v>75.8</v>
      </c>
      <c r="DA141" s="100">
        <v>75.8</v>
      </c>
      <c r="DB141" s="100">
        <v>76.099999999999994</v>
      </c>
      <c r="DC141" s="100">
        <v>76.099999999999994</v>
      </c>
      <c r="DD141" s="100">
        <v>76.099999999999994</v>
      </c>
      <c r="DE141" s="100">
        <v>76.099999999999994</v>
      </c>
      <c r="DF141" s="100">
        <v>75.8</v>
      </c>
      <c r="DG141" s="100">
        <v>76.099999999999994</v>
      </c>
      <c r="DH141" s="100">
        <v>76</v>
      </c>
      <c r="DI141" s="100">
        <v>75.900000000000006</v>
      </c>
      <c r="DJ141" s="100">
        <v>76</v>
      </c>
      <c r="DK141" s="100">
        <v>76.2</v>
      </c>
      <c r="DL141" s="100">
        <v>76.3</v>
      </c>
      <c r="DM141" s="100">
        <v>76.5</v>
      </c>
      <c r="DN141" s="100">
        <v>76.5</v>
      </c>
      <c r="DO141" s="103">
        <v>76.599999999999994</v>
      </c>
      <c r="DP141" s="100">
        <v>76.340151606737336</v>
      </c>
      <c r="DQ141" s="100">
        <v>76.023623325676269</v>
      </c>
      <c r="DR141" s="100">
        <v>75.892213730280673</v>
      </c>
      <c r="DS141" s="100">
        <v>75.846279088666606</v>
      </c>
      <c r="DT141" s="100">
        <v>75.784333371812522</v>
      </c>
      <c r="DU141" s="100">
        <v>75.560540413295854</v>
      </c>
      <c r="DV141" s="100">
        <v>75.3</v>
      </c>
      <c r="DW141" s="100">
        <v>75.2</v>
      </c>
      <c r="DX141" s="100">
        <v>75.2</v>
      </c>
      <c r="DY141" s="100">
        <v>75</v>
      </c>
      <c r="DZ141" s="100">
        <v>75</v>
      </c>
      <c r="EA141" s="102">
        <v>75.099999999999994</v>
      </c>
      <c r="EB141" s="100"/>
      <c r="EC141" s="100"/>
      <c r="ED141" s="100"/>
      <c r="EE141" s="100"/>
      <c r="EF141" s="100"/>
      <c r="EG141" s="100"/>
      <c r="EH141" s="100"/>
      <c r="EI141" s="100"/>
      <c r="EJ141" s="100"/>
      <c r="EK141" s="100"/>
      <c r="EL141" s="100"/>
      <c r="EM141" s="100"/>
      <c r="EN141" s="100"/>
      <c r="EO141" s="100"/>
      <c r="EP141" s="100"/>
      <c r="EQ141" s="106"/>
      <c r="ER141" s="106"/>
      <c r="ES141" s="106"/>
      <c r="ET141" s="106"/>
      <c r="EU141" s="106"/>
      <c r="EV141" s="106"/>
      <c r="EW141" s="106"/>
      <c r="EX141" s="106"/>
      <c r="EY141" s="106"/>
      <c r="EZ141" s="106"/>
      <c r="FA141" s="106"/>
      <c r="FB141" s="106"/>
      <c r="FC141" s="106"/>
      <c r="FD141" s="106"/>
      <c r="FE141" s="106"/>
      <c r="FF141" s="106"/>
      <c r="FG141" s="106"/>
      <c r="FH141" s="106"/>
      <c r="FI141" s="106"/>
      <c r="FJ141" s="106"/>
      <c r="FK141" s="106"/>
      <c r="FL141" s="106"/>
      <c r="FM141" s="106"/>
      <c r="FN141" s="106"/>
      <c r="FO141" s="106"/>
      <c r="FP141" s="106"/>
      <c r="FQ141" s="106"/>
      <c r="FR141" s="106"/>
      <c r="FS141" s="106"/>
      <c r="FT141" s="106"/>
      <c r="FU141" s="106"/>
      <c r="FV141" s="106"/>
      <c r="FW141" s="106"/>
      <c r="FX141" s="106"/>
      <c r="FY141" s="106"/>
      <c r="FZ141" s="106"/>
      <c r="GA141" s="106"/>
      <c r="GB141" s="106"/>
      <c r="GC141" s="106"/>
      <c r="GD141" s="106"/>
      <c r="GE141" s="106"/>
      <c r="GF141" s="106"/>
      <c r="GG141" s="159"/>
    </row>
    <row r="142" spans="2:189" x14ac:dyDescent="0.2">
      <c r="B142" s="97">
        <v>44317</v>
      </c>
      <c r="C142" s="100">
        <v>70.400000000000006</v>
      </c>
      <c r="D142" s="100">
        <v>70.599999999999994</v>
      </c>
      <c r="E142" s="100">
        <v>70.599999999999994</v>
      </c>
      <c r="F142" s="100">
        <v>70.7</v>
      </c>
      <c r="G142" s="100">
        <v>70.5</v>
      </c>
      <c r="H142" s="100">
        <v>70.3</v>
      </c>
      <c r="I142" s="100">
        <v>70.400000000000006</v>
      </c>
      <c r="J142" s="100">
        <v>70.5</v>
      </c>
      <c r="K142" s="100">
        <v>70.599999999999994</v>
      </c>
      <c r="L142" s="100">
        <v>70.5</v>
      </c>
      <c r="M142" s="100">
        <v>70.5</v>
      </c>
      <c r="N142" s="100">
        <v>70.5</v>
      </c>
      <c r="O142" s="100">
        <v>70.5</v>
      </c>
      <c r="P142" s="100">
        <v>70.2</v>
      </c>
      <c r="Q142" s="100">
        <v>70.2</v>
      </c>
      <c r="R142" s="100">
        <v>70.099999999999994</v>
      </c>
      <c r="S142" s="100">
        <v>70.099999999999994</v>
      </c>
      <c r="T142" s="100">
        <v>70.099999999999994</v>
      </c>
      <c r="U142" s="100">
        <v>70.2</v>
      </c>
      <c r="V142" s="100">
        <v>70.2</v>
      </c>
      <c r="W142" s="100">
        <v>70.3</v>
      </c>
      <c r="X142" s="100">
        <v>70.5</v>
      </c>
      <c r="Y142" s="100">
        <v>70.5</v>
      </c>
      <c r="Z142" s="100">
        <v>70.7</v>
      </c>
      <c r="AA142" s="100">
        <v>70.900000000000006</v>
      </c>
      <c r="AB142" s="100">
        <v>71.099999999999994</v>
      </c>
      <c r="AC142" s="100">
        <v>71.2</v>
      </c>
      <c r="AD142" s="100">
        <v>71.099999999999994</v>
      </c>
      <c r="AE142" s="100">
        <v>71.099999999999994</v>
      </c>
      <c r="AF142" s="100">
        <v>71.3</v>
      </c>
      <c r="AG142" s="100">
        <v>71.400000000000006</v>
      </c>
      <c r="AH142" s="100">
        <v>71.400000000000006</v>
      </c>
      <c r="AI142" s="100">
        <v>71.2</v>
      </c>
      <c r="AJ142" s="100">
        <v>71.2</v>
      </c>
      <c r="AK142" s="100">
        <v>71.2</v>
      </c>
      <c r="AL142" s="100">
        <v>71.2</v>
      </c>
      <c r="AM142" s="100">
        <v>71.3</v>
      </c>
      <c r="AN142" s="100">
        <v>71.5</v>
      </c>
      <c r="AO142" s="100">
        <v>71.5</v>
      </c>
      <c r="AP142" s="100">
        <v>71.7</v>
      </c>
      <c r="AQ142" s="100">
        <v>71.900000000000006</v>
      </c>
      <c r="AR142" s="100">
        <v>72</v>
      </c>
      <c r="AS142" s="100">
        <v>72</v>
      </c>
      <c r="AT142" s="100">
        <v>72.099999999999994</v>
      </c>
      <c r="AU142" s="100">
        <v>72.400000000000006</v>
      </c>
      <c r="AV142" s="100">
        <v>72.5</v>
      </c>
      <c r="AW142" s="100">
        <v>72.7</v>
      </c>
      <c r="AX142" s="100">
        <v>72.900000000000006</v>
      </c>
      <c r="AY142" s="100">
        <v>72.8</v>
      </c>
      <c r="AZ142" s="100">
        <v>72.8</v>
      </c>
      <c r="BA142" s="100">
        <v>73</v>
      </c>
      <c r="BB142" s="100">
        <v>73</v>
      </c>
      <c r="BC142" s="100">
        <v>73</v>
      </c>
      <c r="BD142" s="100">
        <v>73</v>
      </c>
      <c r="BE142" s="100">
        <v>73.2</v>
      </c>
      <c r="BF142" s="100">
        <v>73.3</v>
      </c>
      <c r="BG142" s="100">
        <v>73.400000000000006</v>
      </c>
      <c r="BH142" s="100">
        <v>73.400000000000006</v>
      </c>
      <c r="BI142" s="100">
        <v>73.400000000000006</v>
      </c>
      <c r="BJ142" s="100">
        <v>73.3</v>
      </c>
      <c r="BK142" s="100">
        <v>73.400000000000006</v>
      </c>
      <c r="BL142" s="100">
        <v>73.5</v>
      </c>
      <c r="BM142" s="100">
        <v>73.599999999999994</v>
      </c>
      <c r="BN142" s="100">
        <v>73.8</v>
      </c>
      <c r="BO142" s="100">
        <v>74</v>
      </c>
      <c r="BP142" s="100">
        <v>74</v>
      </c>
      <c r="BQ142" s="100">
        <v>74.099999999999994</v>
      </c>
      <c r="BR142" s="100">
        <v>74.099999999999994</v>
      </c>
      <c r="BS142" s="100">
        <v>74.099999999999994</v>
      </c>
      <c r="BT142" s="100">
        <v>74.099999999999994</v>
      </c>
      <c r="BU142" s="100">
        <v>74.2</v>
      </c>
      <c r="BV142" s="100">
        <v>74.400000000000006</v>
      </c>
      <c r="BW142" s="100">
        <v>74.400000000000006</v>
      </c>
      <c r="BX142" s="100">
        <v>74.5</v>
      </c>
      <c r="BY142" s="100">
        <v>74.5</v>
      </c>
      <c r="BZ142" s="100">
        <v>74.400000000000006</v>
      </c>
      <c r="CA142" s="100">
        <v>74.400000000000006</v>
      </c>
      <c r="CB142" s="100">
        <v>74.400000000000006</v>
      </c>
      <c r="CC142" s="100">
        <v>74.599999999999994</v>
      </c>
      <c r="CD142" s="100">
        <v>74.5</v>
      </c>
      <c r="CE142" s="100">
        <v>74.599999999999994</v>
      </c>
      <c r="CF142" s="100">
        <v>74.8</v>
      </c>
      <c r="CG142" s="100">
        <v>74.8</v>
      </c>
      <c r="CH142" s="100">
        <v>74.900000000000006</v>
      </c>
      <c r="CI142" s="100">
        <v>75.099999999999994</v>
      </c>
      <c r="CJ142" s="100">
        <v>75.3</v>
      </c>
      <c r="CK142" s="100">
        <v>75.099999999999994</v>
      </c>
      <c r="CL142" s="100">
        <v>75</v>
      </c>
      <c r="CM142" s="100">
        <v>75.099999999999994</v>
      </c>
      <c r="CN142" s="100">
        <v>75.3</v>
      </c>
      <c r="CO142" s="100">
        <v>75.2</v>
      </c>
      <c r="CP142" s="100">
        <v>75.3</v>
      </c>
      <c r="CQ142" s="100">
        <v>75.400000000000006</v>
      </c>
      <c r="CR142" s="100">
        <v>75.599999999999994</v>
      </c>
      <c r="CS142" s="100">
        <v>75.599999999999994</v>
      </c>
      <c r="CT142" s="100">
        <v>75.599999999999994</v>
      </c>
      <c r="CU142" s="100">
        <v>75.5</v>
      </c>
      <c r="CV142" s="100">
        <v>75.5</v>
      </c>
      <c r="CW142" s="100">
        <v>75.599999999999994</v>
      </c>
      <c r="CX142" s="100">
        <v>75.599999999999994</v>
      </c>
      <c r="CY142" s="100">
        <v>75.7</v>
      </c>
      <c r="CZ142" s="100">
        <v>75.8</v>
      </c>
      <c r="DA142" s="100">
        <v>75.8</v>
      </c>
      <c r="DB142" s="100">
        <v>76.099999999999994</v>
      </c>
      <c r="DC142" s="100">
        <v>76.099999999999994</v>
      </c>
      <c r="DD142" s="100">
        <v>76.099999999999994</v>
      </c>
      <c r="DE142" s="100">
        <v>76.099999999999994</v>
      </c>
      <c r="DF142" s="100">
        <v>75.8</v>
      </c>
      <c r="DG142" s="100">
        <v>76.099999999999994</v>
      </c>
      <c r="DH142" s="100">
        <v>76</v>
      </c>
      <c r="DI142" s="100">
        <v>75.900000000000006</v>
      </c>
      <c r="DJ142" s="100">
        <v>76</v>
      </c>
      <c r="DK142" s="100">
        <v>76.2</v>
      </c>
      <c r="DL142" s="100">
        <v>76.3</v>
      </c>
      <c r="DM142" s="100">
        <v>76.5</v>
      </c>
      <c r="DN142" s="100">
        <v>76.5</v>
      </c>
      <c r="DO142" s="100">
        <v>76.599999999999994</v>
      </c>
      <c r="DP142" s="103">
        <v>76.340151606737336</v>
      </c>
      <c r="DQ142" s="100">
        <v>76.023623325676269</v>
      </c>
      <c r="DR142" s="100">
        <v>75.892213730280673</v>
      </c>
      <c r="DS142" s="100">
        <v>75.846279088666606</v>
      </c>
      <c r="DT142" s="100">
        <v>75.784333371812522</v>
      </c>
      <c r="DU142" s="100">
        <v>75.560540413295854</v>
      </c>
      <c r="DV142" s="100">
        <v>75.3</v>
      </c>
      <c r="DW142" s="100">
        <v>75.2</v>
      </c>
      <c r="DX142" s="100">
        <v>75.2</v>
      </c>
      <c r="DY142" s="100">
        <v>75</v>
      </c>
      <c r="DZ142" s="100">
        <v>75</v>
      </c>
      <c r="EA142" s="100">
        <v>75.099999999999994</v>
      </c>
      <c r="EB142" s="102">
        <v>75.2</v>
      </c>
      <c r="EC142" s="100"/>
      <c r="ED142" s="100"/>
      <c r="EE142" s="100"/>
      <c r="EF142" s="100"/>
      <c r="EG142" s="100"/>
      <c r="EH142" s="100"/>
      <c r="EI142" s="100"/>
      <c r="EJ142" s="100"/>
      <c r="EK142" s="100"/>
      <c r="EL142" s="100"/>
      <c r="EM142" s="100"/>
      <c r="EN142" s="100"/>
      <c r="EO142" s="100"/>
      <c r="EP142" s="100"/>
      <c r="EQ142" s="106"/>
      <c r="ER142" s="106"/>
      <c r="ES142" s="106"/>
      <c r="ET142" s="106"/>
      <c r="EU142" s="106"/>
      <c r="EV142" s="106"/>
      <c r="EW142" s="106"/>
      <c r="EX142" s="106"/>
      <c r="EY142" s="106"/>
      <c r="EZ142" s="106"/>
      <c r="FA142" s="106"/>
      <c r="FB142" s="106"/>
      <c r="FC142" s="106"/>
      <c r="FD142" s="106"/>
      <c r="FE142" s="106"/>
      <c r="FF142" s="106"/>
      <c r="FG142" s="106"/>
      <c r="FH142" s="106"/>
      <c r="FI142" s="106"/>
      <c r="FJ142" s="106"/>
      <c r="FK142" s="106"/>
      <c r="FL142" s="106"/>
      <c r="FM142" s="106"/>
      <c r="FN142" s="106"/>
      <c r="FO142" s="106"/>
      <c r="FP142" s="106"/>
      <c r="FQ142" s="106"/>
      <c r="FR142" s="106"/>
      <c r="FS142" s="106"/>
      <c r="FT142" s="106"/>
      <c r="FU142" s="106"/>
      <c r="FV142" s="106"/>
      <c r="FW142" s="106"/>
      <c r="FX142" s="106"/>
      <c r="FY142" s="106"/>
      <c r="FZ142" s="106"/>
      <c r="GA142" s="106"/>
      <c r="GB142" s="106"/>
      <c r="GC142" s="106"/>
      <c r="GD142" s="106"/>
      <c r="GE142" s="106"/>
      <c r="GF142" s="106"/>
      <c r="GG142" s="159"/>
    </row>
    <row r="143" spans="2:189" x14ac:dyDescent="0.2">
      <c r="B143" s="97">
        <v>44348</v>
      </c>
      <c r="C143" s="100">
        <v>70.400000000000006</v>
      </c>
      <c r="D143" s="100">
        <v>70.599999999999994</v>
      </c>
      <c r="E143" s="100">
        <v>70.599999999999994</v>
      </c>
      <c r="F143" s="100">
        <v>70.7</v>
      </c>
      <c r="G143" s="100">
        <v>70.5</v>
      </c>
      <c r="H143" s="100">
        <v>70.3</v>
      </c>
      <c r="I143" s="100">
        <v>70.400000000000006</v>
      </c>
      <c r="J143" s="100">
        <v>70.5</v>
      </c>
      <c r="K143" s="100">
        <v>70.599999999999994</v>
      </c>
      <c r="L143" s="100">
        <v>70.5</v>
      </c>
      <c r="M143" s="100">
        <v>70.5</v>
      </c>
      <c r="N143" s="100">
        <v>70.5</v>
      </c>
      <c r="O143" s="100">
        <v>70.5</v>
      </c>
      <c r="P143" s="100">
        <v>70.2</v>
      </c>
      <c r="Q143" s="100">
        <v>70.2</v>
      </c>
      <c r="R143" s="100">
        <v>70.099999999999994</v>
      </c>
      <c r="S143" s="100">
        <v>70.099999999999994</v>
      </c>
      <c r="T143" s="100">
        <v>70.099999999999994</v>
      </c>
      <c r="U143" s="100">
        <v>70.2</v>
      </c>
      <c r="V143" s="100">
        <v>70.2</v>
      </c>
      <c r="W143" s="100">
        <v>70.3</v>
      </c>
      <c r="X143" s="100">
        <v>70.5</v>
      </c>
      <c r="Y143" s="100">
        <v>70.5</v>
      </c>
      <c r="Z143" s="100">
        <v>70.7</v>
      </c>
      <c r="AA143" s="100">
        <v>70.900000000000006</v>
      </c>
      <c r="AB143" s="100">
        <v>71.099999999999994</v>
      </c>
      <c r="AC143" s="100">
        <v>71.2</v>
      </c>
      <c r="AD143" s="100">
        <v>71.099999999999994</v>
      </c>
      <c r="AE143" s="100">
        <v>71.099999999999994</v>
      </c>
      <c r="AF143" s="100">
        <v>71.3</v>
      </c>
      <c r="AG143" s="100">
        <v>71.400000000000006</v>
      </c>
      <c r="AH143" s="100">
        <v>71.400000000000006</v>
      </c>
      <c r="AI143" s="100">
        <v>71.2</v>
      </c>
      <c r="AJ143" s="100">
        <v>71.2</v>
      </c>
      <c r="AK143" s="100">
        <v>71.2</v>
      </c>
      <c r="AL143" s="100">
        <v>71.2</v>
      </c>
      <c r="AM143" s="100">
        <v>71.3</v>
      </c>
      <c r="AN143" s="100">
        <v>71.5</v>
      </c>
      <c r="AO143" s="100">
        <v>71.5</v>
      </c>
      <c r="AP143" s="100">
        <v>71.7</v>
      </c>
      <c r="AQ143" s="100">
        <v>71.900000000000006</v>
      </c>
      <c r="AR143" s="100">
        <v>72</v>
      </c>
      <c r="AS143" s="100">
        <v>72</v>
      </c>
      <c r="AT143" s="100">
        <v>72.099999999999994</v>
      </c>
      <c r="AU143" s="100">
        <v>72.400000000000006</v>
      </c>
      <c r="AV143" s="100">
        <v>72.5</v>
      </c>
      <c r="AW143" s="100">
        <v>72.7</v>
      </c>
      <c r="AX143" s="100">
        <v>72.900000000000006</v>
      </c>
      <c r="AY143" s="100">
        <v>72.8</v>
      </c>
      <c r="AZ143" s="100">
        <v>72.8</v>
      </c>
      <c r="BA143" s="100">
        <v>73</v>
      </c>
      <c r="BB143" s="100">
        <v>73</v>
      </c>
      <c r="BC143" s="100">
        <v>73</v>
      </c>
      <c r="BD143" s="100">
        <v>73</v>
      </c>
      <c r="BE143" s="100">
        <v>73.2</v>
      </c>
      <c r="BF143" s="100">
        <v>73.3</v>
      </c>
      <c r="BG143" s="100">
        <v>73.400000000000006</v>
      </c>
      <c r="BH143" s="100">
        <v>73.400000000000006</v>
      </c>
      <c r="BI143" s="100">
        <v>73.400000000000006</v>
      </c>
      <c r="BJ143" s="100">
        <v>73.3</v>
      </c>
      <c r="BK143" s="100">
        <v>73.400000000000006</v>
      </c>
      <c r="BL143" s="100">
        <v>73.5</v>
      </c>
      <c r="BM143" s="100">
        <v>73.599999999999994</v>
      </c>
      <c r="BN143" s="100">
        <v>73.8</v>
      </c>
      <c r="BO143" s="100">
        <v>74</v>
      </c>
      <c r="BP143" s="100">
        <v>74</v>
      </c>
      <c r="BQ143" s="100">
        <v>74.099999999999994</v>
      </c>
      <c r="BR143" s="100">
        <v>74.099999999999994</v>
      </c>
      <c r="BS143" s="100">
        <v>74.099999999999994</v>
      </c>
      <c r="BT143" s="100">
        <v>74.099999999999994</v>
      </c>
      <c r="BU143" s="100">
        <v>74.2</v>
      </c>
      <c r="BV143" s="100">
        <v>74.400000000000006</v>
      </c>
      <c r="BW143" s="100">
        <v>74.400000000000006</v>
      </c>
      <c r="BX143" s="100">
        <v>74.5</v>
      </c>
      <c r="BY143" s="100">
        <v>74.5</v>
      </c>
      <c r="BZ143" s="100">
        <v>74.400000000000006</v>
      </c>
      <c r="CA143" s="100">
        <v>74.400000000000006</v>
      </c>
      <c r="CB143" s="100">
        <v>74.400000000000006</v>
      </c>
      <c r="CC143" s="100">
        <v>74.599999999999994</v>
      </c>
      <c r="CD143" s="100">
        <v>74.5</v>
      </c>
      <c r="CE143" s="100">
        <v>74.599999999999994</v>
      </c>
      <c r="CF143" s="100">
        <v>74.8</v>
      </c>
      <c r="CG143" s="100">
        <v>74.8</v>
      </c>
      <c r="CH143" s="100">
        <v>74.900000000000006</v>
      </c>
      <c r="CI143" s="100">
        <v>75.099999999999994</v>
      </c>
      <c r="CJ143" s="100">
        <v>75.3</v>
      </c>
      <c r="CK143" s="100">
        <v>75.099999999999994</v>
      </c>
      <c r="CL143" s="100">
        <v>75</v>
      </c>
      <c r="CM143" s="100">
        <v>75.099999999999994</v>
      </c>
      <c r="CN143" s="100">
        <v>75.3</v>
      </c>
      <c r="CO143" s="100">
        <v>75.2</v>
      </c>
      <c r="CP143" s="100">
        <v>75.3</v>
      </c>
      <c r="CQ143" s="100">
        <v>75.400000000000006</v>
      </c>
      <c r="CR143" s="100">
        <v>75.599999999999994</v>
      </c>
      <c r="CS143" s="100">
        <v>75.599999999999994</v>
      </c>
      <c r="CT143" s="100">
        <v>75.599999999999994</v>
      </c>
      <c r="CU143" s="100">
        <v>75.5</v>
      </c>
      <c r="CV143" s="100">
        <v>75.5</v>
      </c>
      <c r="CW143" s="100">
        <v>75.599999999999994</v>
      </c>
      <c r="CX143" s="100">
        <v>75.599999999999994</v>
      </c>
      <c r="CY143" s="100">
        <v>75.7</v>
      </c>
      <c r="CZ143" s="100">
        <v>75.8</v>
      </c>
      <c r="DA143" s="100">
        <v>75.8</v>
      </c>
      <c r="DB143" s="100">
        <v>76.099999999999994</v>
      </c>
      <c r="DC143" s="100">
        <v>76.099999999999994</v>
      </c>
      <c r="DD143" s="100">
        <v>76.099999999999994</v>
      </c>
      <c r="DE143" s="100">
        <v>76.099999999999994</v>
      </c>
      <c r="DF143" s="100">
        <v>75.8</v>
      </c>
      <c r="DG143" s="100">
        <v>76.099999999999994</v>
      </c>
      <c r="DH143" s="100">
        <v>76</v>
      </c>
      <c r="DI143" s="100">
        <v>75.900000000000006</v>
      </c>
      <c r="DJ143" s="100">
        <v>76</v>
      </c>
      <c r="DK143" s="100">
        <v>76.2</v>
      </c>
      <c r="DL143" s="100">
        <v>76.3</v>
      </c>
      <c r="DM143" s="100">
        <v>76.5</v>
      </c>
      <c r="DN143" s="100">
        <v>76.5</v>
      </c>
      <c r="DO143" s="100">
        <v>76.599999999999994</v>
      </c>
      <c r="DP143" s="100">
        <v>76.340151606737336</v>
      </c>
      <c r="DQ143" s="103">
        <v>76.023623325676269</v>
      </c>
      <c r="DR143" s="100">
        <v>75.892213730280673</v>
      </c>
      <c r="DS143" s="100">
        <v>75.846279088666606</v>
      </c>
      <c r="DT143" s="100">
        <v>75.784333371812522</v>
      </c>
      <c r="DU143" s="100">
        <v>75.560540413295854</v>
      </c>
      <c r="DV143" s="100">
        <v>75.3</v>
      </c>
      <c r="DW143" s="100">
        <v>75.2</v>
      </c>
      <c r="DX143" s="100">
        <v>75.2</v>
      </c>
      <c r="DY143" s="100">
        <v>75</v>
      </c>
      <c r="DZ143" s="100">
        <v>75</v>
      </c>
      <c r="EA143" s="100">
        <v>75.099999999999994</v>
      </c>
      <c r="EB143" s="100">
        <v>75.2</v>
      </c>
      <c r="EC143" s="102">
        <v>75.2</v>
      </c>
      <c r="ED143" s="100"/>
      <c r="EE143" s="100"/>
      <c r="EF143" s="100"/>
      <c r="EG143" s="100"/>
      <c r="EH143" s="100"/>
      <c r="EI143" s="100"/>
      <c r="EJ143" s="100"/>
      <c r="EK143" s="100"/>
      <c r="EL143" s="100"/>
      <c r="EM143" s="100"/>
      <c r="EN143" s="100"/>
      <c r="EO143" s="100"/>
      <c r="EP143" s="100"/>
      <c r="EQ143" s="106"/>
      <c r="ER143" s="106"/>
      <c r="ES143" s="106"/>
      <c r="ET143" s="106"/>
      <c r="EU143" s="106"/>
      <c r="EV143" s="106"/>
      <c r="EW143" s="106"/>
      <c r="EX143" s="106"/>
      <c r="EY143" s="106"/>
      <c r="EZ143" s="106"/>
      <c r="FA143" s="106"/>
      <c r="FB143" s="106"/>
      <c r="FC143" s="106"/>
      <c r="FD143" s="106"/>
      <c r="FE143" s="106"/>
      <c r="FF143" s="106"/>
      <c r="FG143" s="106"/>
      <c r="FH143" s="106"/>
      <c r="FI143" s="106"/>
      <c r="FJ143" s="106"/>
      <c r="FK143" s="106"/>
      <c r="FL143" s="106"/>
      <c r="FM143" s="106"/>
      <c r="FN143" s="106"/>
      <c r="FO143" s="106"/>
      <c r="FP143" s="106"/>
      <c r="FQ143" s="106"/>
      <c r="FR143" s="106"/>
      <c r="FS143" s="106"/>
      <c r="FT143" s="106"/>
      <c r="FU143" s="106"/>
      <c r="FV143" s="106"/>
      <c r="FW143" s="106"/>
      <c r="FX143" s="106"/>
      <c r="FY143" s="106"/>
      <c r="FZ143" s="106"/>
      <c r="GA143" s="106"/>
      <c r="GB143" s="106"/>
      <c r="GC143" s="106"/>
      <c r="GD143" s="106"/>
      <c r="GE143" s="106"/>
      <c r="GF143" s="106"/>
      <c r="GG143" s="159"/>
    </row>
    <row r="144" spans="2:189" x14ac:dyDescent="0.2">
      <c r="B144" s="97">
        <v>44378</v>
      </c>
      <c r="C144" s="100">
        <v>70.400000000000006</v>
      </c>
      <c r="D144" s="100">
        <v>70.599999999999994</v>
      </c>
      <c r="E144" s="100">
        <v>70.599999999999994</v>
      </c>
      <c r="F144" s="100">
        <v>70.7</v>
      </c>
      <c r="G144" s="100">
        <v>70.5</v>
      </c>
      <c r="H144" s="100">
        <v>70.3</v>
      </c>
      <c r="I144" s="100">
        <v>70.400000000000006</v>
      </c>
      <c r="J144" s="100">
        <v>70.5</v>
      </c>
      <c r="K144" s="100">
        <v>70.599999999999994</v>
      </c>
      <c r="L144" s="100">
        <v>70.5</v>
      </c>
      <c r="M144" s="100">
        <v>70.5</v>
      </c>
      <c r="N144" s="100">
        <v>70.5</v>
      </c>
      <c r="O144" s="100">
        <v>70.5</v>
      </c>
      <c r="P144" s="100">
        <v>70.2</v>
      </c>
      <c r="Q144" s="100">
        <v>70.2</v>
      </c>
      <c r="R144" s="100">
        <v>70.099999999999994</v>
      </c>
      <c r="S144" s="100">
        <v>70.099999999999994</v>
      </c>
      <c r="T144" s="100">
        <v>70.099999999999994</v>
      </c>
      <c r="U144" s="100">
        <v>70.2</v>
      </c>
      <c r="V144" s="100">
        <v>70.2</v>
      </c>
      <c r="W144" s="100">
        <v>70.3</v>
      </c>
      <c r="X144" s="100">
        <v>70.5</v>
      </c>
      <c r="Y144" s="100">
        <v>70.5</v>
      </c>
      <c r="Z144" s="100">
        <v>70.7</v>
      </c>
      <c r="AA144" s="100">
        <v>70.900000000000006</v>
      </c>
      <c r="AB144" s="100">
        <v>71.099999999999994</v>
      </c>
      <c r="AC144" s="100">
        <v>71.2</v>
      </c>
      <c r="AD144" s="100">
        <v>71.099999999999994</v>
      </c>
      <c r="AE144" s="100">
        <v>71.099999999999994</v>
      </c>
      <c r="AF144" s="100">
        <v>71.3</v>
      </c>
      <c r="AG144" s="100">
        <v>71.400000000000006</v>
      </c>
      <c r="AH144" s="100">
        <v>71.400000000000006</v>
      </c>
      <c r="AI144" s="100">
        <v>71.2</v>
      </c>
      <c r="AJ144" s="100">
        <v>71.2</v>
      </c>
      <c r="AK144" s="100">
        <v>71.2</v>
      </c>
      <c r="AL144" s="100">
        <v>71.2</v>
      </c>
      <c r="AM144" s="100">
        <v>71.3</v>
      </c>
      <c r="AN144" s="100">
        <v>71.5</v>
      </c>
      <c r="AO144" s="100">
        <v>71.5</v>
      </c>
      <c r="AP144" s="100">
        <v>71.7</v>
      </c>
      <c r="AQ144" s="100">
        <v>71.900000000000006</v>
      </c>
      <c r="AR144" s="100">
        <v>72</v>
      </c>
      <c r="AS144" s="100">
        <v>72</v>
      </c>
      <c r="AT144" s="100">
        <v>72.099999999999994</v>
      </c>
      <c r="AU144" s="100">
        <v>72.400000000000006</v>
      </c>
      <c r="AV144" s="100">
        <v>72.5</v>
      </c>
      <c r="AW144" s="100">
        <v>72.7</v>
      </c>
      <c r="AX144" s="100">
        <v>72.900000000000006</v>
      </c>
      <c r="AY144" s="100">
        <v>72.8</v>
      </c>
      <c r="AZ144" s="100">
        <v>72.8</v>
      </c>
      <c r="BA144" s="100">
        <v>73</v>
      </c>
      <c r="BB144" s="100">
        <v>73</v>
      </c>
      <c r="BC144" s="100">
        <v>73</v>
      </c>
      <c r="BD144" s="100">
        <v>73</v>
      </c>
      <c r="BE144" s="100">
        <v>73.2</v>
      </c>
      <c r="BF144" s="100">
        <v>73.3</v>
      </c>
      <c r="BG144" s="100">
        <v>73.400000000000006</v>
      </c>
      <c r="BH144" s="100">
        <v>73.400000000000006</v>
      </c>
      <c r="BI144" s="100">
        <v>73.400000000000006</v>
      </c>
      <c r="BJ144" s="100">
        <v>73.3</v>
      </c>
      <c r="BK144" s="100">
        <v>73.400000000000006</v>
      </c>
      <c r="BL144" s="100">
        <v>73.5</v>
      </c>
      <c r="BM144" s="100">
        <v>73.599999999999994</v>
      </c>
      <c r="BN144" s="100">
        <v>73.8</v>
      </c>
      <c r="BO144" s="100">
        <v>74</v>
      </c>
      <c r="BP144" s="100">
        <v>74</v>
      </c>
      <c r="BQ144" s="100">
        <v>74.099999999999994</v>
      </c>
      <c r="BR144" s="100">
        <v>74.099999999999994</v>
      </c>
      <c r="BS144" s="100">
        <v>74.099999999999994</v>
      </c>
      <c r="BT144" s="100">
        <v>74.099999999999994</v>
      </c>
      <c r="BU144" s="100">
        <v>74.2</v>
      </c>
      <c r="BV144" s="100">
        <v>74.400000000000006</v>
      </c>
      <c r="BW144" s="100">
        <v>74.400000000000006</v>
      </c>
      <c r="BX144" s="100">
        <v>74.5</v>
      </c>
      <c r="BY144" s="100">
        <v>74.5</v>
      </c>
      <c r="BZ144" s="100">
        <v>74.400000000000006</v>
      </c>
      <c r="CA144" s="100">
        <v>74.400000000000006</v>
      </c>
      <c r="CB144" s="100">
        <v>74.400000000000006</v>
      </c>
      <c r="CC144" s="100">
        <v>74.599999999999994</v>
      </c>
      <c r="CD144" s="100">
        <v>74.5</v>
      </c>
      <c r="CE144" s="100">
        <v>74.599999999999994</v>
      </c>
      <c r="CF144" s="100">
        <v>74.8</v>
      </c>
      <c r="CG144" s="100">
        <v>74.8</v>
      </c>
      <c r="CH144" s="100">
        <v>74.900000000000006</v>
      </c>
      <c r="CI144" s="100">
        <v>75.099999999999994</v>
      </c>
      <c r="CJ144" s="100">
        <v>75.3</v>
      </c>
      <c r="CK144" s="100">
        <v>75.099999999999994</v>
      </c>
      <c r="CL144" s="100">
        <v>75</v>
      </c>
      <c r="CM144" s="100">
        <v>75.099999999999994</v>
      </c>
      <c r="CN144" s="100">
        <v>75.3</v>
      </c>
      <c r="CO144" s="100">
        <v>75.2</v>
      </c>
      <c r="CP144" s="100">
        <v>75.3</v>
      </c>
      <c r="CQ144" s="100">
        <v>75.400000000000006</v>
      </c>
      <c r="CR144" s="100">
        <v>75.599999999999994</v>
      </c>
      <c r="CS144" s="100">
        <v>75.599999999999994</v>
      </c>
      <c r="CT144" s="100">
        <v>75.599999999999994</v>
      </c>
      <c r="CU144" s="100">
        <v>75.5</v>
      </c>
      <c r="CV144" s="100">
        <v>75.5</v>
      </c>
      <c r="CW144" s="100">
        <v>75.599999999999994</v>
      </c>
      <c r="CX144" s="100">
        <v>75.599999999999994</v>
      </c>
      <c r="CY144" s="100">
        <v>75.7</v>
      </c>
      <c r="CZ144" s="100">
        <v>75.8</v>
      </c>
      <c r="DA144" s="100">
        <v>75.8</v>
      </c>
      <c r="DB144" s="100">
        <v>76.099999999999994</v>
      </c>
      <c r="DC144" s="100">
        <v>76.099999999999994</v>
      </c>
      <c r="DD144" s="100">
        <v>76.099999999999994</v>
      </c>
      <c r="DE144" s="100">
        <v>76.099999999999994</v>
      </c>
      <c r="DF144" s="100">
        <v>75.8</v>
      </c>
      <c r="DG144" s="100">
        <v>76.099999999999994</v>
      </c>
      <c r="DH144" s="100">
        <v>76</v>
      </c>
      <c r="DI144" s="100">
        <v>75.900000000000006</v>
      </c>
      <c r="DJ144" s="100">
        <v>76</v>
      </c>
      <c r="DK144" s="100">
        <v>76.2</v>
      </c>
      <c r="DL144" s="100">
        <v>76.3</v>
      </c>
      <c r="DM144" s="100">
        <v>76.5</v>
      </c>
      <c r="DN144" s="100">
        <v>76.5</v>
      </c>
      <c r="DO144" s="100">
        <v>76.599999999999994</v>
      </c>
      <c r="DP144" s="105">
        <v>76.313000928204573</v>
      </c>
      <c r="DQ144" s="105">
        <v>75.959805579063001</v>
      </c>
      <c r="DR144" s="103">
        <v>75.841800029272491</v>
      </c>
      <c r="DS144" s="100">
        <v>75.748394873159526</v>
      </c>
      <c r="DT144" s="100">
        <v>75.625159512623981</v>
      </c>
      <c r="DU144" s="100">
        <v>75.37042605160768</v>
      </c>
      <c r="DV144" s="100">
        <v>75.032893557475006</v>
      </c>
      <c r="DW144" s="100">
        <v>74.935643921654574</v>
      </c>
      <c r="DX144" s="100">
        <v>74.948703090707326</v>
      </c>
      <c r="DY144" s="100">
        <v>74.653900168755683</v>
      </c>
      <c r="DZ144" s="100">
        <v>74.610039835289143</v>
      </c>
      <c r="EA144" s="100">
        <v>74.720603037952714</v>
      </c>
      <c r="EB144" s="100">
        <v>74.724822795561209</v>
      </c>
      <c r="EC144" s="100">
        <v>74.739527457943169</v>
      </c>
      <c r="ED144" s="102">
        <v>74.804888625445315</v>
      </c>
      <c r="EE144" s="100"/>
      <c r="EF144" s="100"/>
      <c r="EG144" s="100"/>
      <c r="EH144" s="100"/>
      <c r="EI144" s="100"/>
      <c r="EJ144" s="100"/>
      <c r="EK144" s="100"/>
      <c r="EL144" s="100"/>
      <c r="EM144" s="100"/>
      <c r="EN144" s="100"/>
      <c r="EO144" s="100"/>
      <c r="EP144" s="100"/>
      <c r="EQ144" s="106"/>
      <c r="ER144" s="106"/>
      <c r="ES144" s="106"/>
      <c r="ET144" s="106"/>
      <c r="EU144" s="106"/>
      <c r="EV144" s="106"/>
      <c r="EW144" s="106"/>
      <c r="EX144" s="106"/>
      <c r="EY144" s="106"/>
      <c r="EZ144" s="106"/>
      <c r="FA144" s="106"/>
      <c r="FB144" s="106"/>
      <c r="FC144" s="106"/>
      <c r="FD144" s="106"/>
      <c r="FE144" s="106"/>
      <c r="FF144" s="106"/>
      <c r="FG144" s="106"/>
      <c r="FH144" s="106"/>
      <c r="FI144" s="106"/>
      <c r="FJ144" s="106"/>
      <c r="FK144" s="106"/>
      <c r="FL144" s="106"/>
      <c r="FM144" s="106"/>
      <c r="FN144" s="106"/>
      <c r="FO144" s="106"/>
      <c r="FP144" s="106"/>
      <c r="FQ144" s="106"/>
      <c r="FR144" s="106"/>
      <c r="FS144" s="106"/>
      <c r="FT144" s="106"/>
      <c r="FU144" s="106"/>
      <c r="FV144" s="106"/>
      <c r="FW144" s="106"/>
      <c r="FX144" s="106"/>
      <c r="FY144" s="106"/>
      <c r="FZ144" s="106"/>
      <c r="GA144" s="106"/>
      <c r="GB144" s="106"/>
      <c r="GC144" s="106"/>
      <c r="GD144" s="106"/>
      <c r="GE144" s="106"/>
      <c r="GF144" s="106"/>
      <c r="GG144" s="159"/>
    </row>
    <row r="145" spans="2:189" x14ac:dyDescent="0.2">
      <c r="B145" s="97">
        <v>44409</v>
      </c>
      <c r="C145" s="100">
        <v>70.400000000000006</v>
      </c>
      <c r="D145" s="100">
        <v>70.599999999999994</v>
      </c>
      <c r="E145" s="100">
        <v>70.599999999999994</v>
      </c>
      <c r="F145" s="100">
        <v>70.7</v>
      </c>
      <c r="G145" s="100">
        <v>70.5</v>
      </c>
      <c r="H145" s="100">
        <v>70.3</v>
      </c>
      <c r="I145" s="100">
        <v>70.400000000000006</v>
      </c>
      <c r="J145" s="100">
        <v>70.5</v>
      </c>
      <c r="K145" s="100">
        <v>70.599999999999994</v>
      </c>
      <c r="L145" s="100">
        <v>70.5</v>
      </c>
      <c r="M145" s="100">
        <v>70.5</v>
      </c>
      <c r="N145" s="100">
        <v>70.5</v>
      </c>
      <c r="O145" s="100">
        <v>70.5</v>
      </c>
      <c r="P145" s="100">
        <v>70.2</v>
      </c>
      <c r="Q145" s="100">
        <v>70.2</v>
      </c>
      <c r="R145" s="100">
        <v>70.099999999999994</v>
      </c>
      <c r="S145" s="100">
        <v>70.099999999999994</v>
      </c>
      <c r="T145" s="100">
        <v>70.099999999999994</v>
      </c>
      <c r="U145" s="100">
        <v>70.2</v>
      </c>
      <c r="V145" s="100">
        <v>70.2</v>
      </c>
      <c r="W145" s="100">
        <v>70.3</v>
      </c>
      <c r="X145" s="100">
        <v>70.5</v>
      </c>
      <c r="Y145" s="100">
        <v>70.5</v>
      </c>
      <c r="Z145" s="100">
        <v>70.7</v>
      </c>
      <c r="AA145" s="100">
        <v>70.900000000000006</v>
      </c>
      <c r="AB145" s="100">
        <v>71.099999999999994</v>
      </c>
      <c r="AC145" s="100">
        <v>71.2</v>
      </c>
      <c r="AD145" s="100">
        <v>71.099999999999994</v>
      </c>
      <c r="AE145" s="100">
        <v>71.099999999999994</v>
      </c>
      <c r="AF145" s="100">
        <v>71.3</v>
      </c>
      <c r="AG145" s="100">
        <v>71.400000000000006</v>
      </c>
      <c r="AH145" s="100">
        <v>71.400000000000006</v>
      </c>
      <c r="AI145" s="100">
        <v>71.2</v>
      </c>
      <c r="AJ145" s="100">
        <v>71.2</v>
      </c>
      <c r="AK145" s="100">
        <v>71.2</v>
      </c>
      <c r="AL145" s="100">
        <v>71.2</v>
      </c>
      <c r="AM145" s="100">
        <v>71.3</v>
      </c>
      <c r="AN145" s="100">
        <v>71.5</v>
      </c>
      <c r="AO145" s="100">
        <v>71.5</v>
      </c>
      <c r="AP145" s="100">
        <v>71.7</v>
      </c>
      <c r="AQ145" s="100">
        <v>71.900000000000006</v>
      </c>
      <c r="AR145" s="100">
        <v>72</v>
      </c>
      <c r="AS145" s="100">
        <v>72</v>
      </c>
      <c r="AT145" s="100">
        <v>72.099999999999994</v>
      </c>
      <c r="AU145" s="100">
        <v>72.400000000000006</v>
      </c>
      <c r="AV145" s="100">
        <v>72.5</v>
      </c>
      <c r="AW145" s="100">
        <v>72.7</v>
      </c>
      <c r="AX145" s="100">
        <v>72.900000000000006</v>
      </c>
      <c r="AY145" s="100">
        <v>72.8</v>
      </c>
      <c r="AZ145" s="100">
        <v>72.8</v>
      </c>
      <c r="BA145" s="100">
        <v>73</v>
      </c>
      <c r="BB145" s="100">
        <v>73</v>
      </c>
      <c r="BC145" s="100">
        <v>73</v>
      </c>
      <c r="BD145" s="100">
        <v>73</v>
      </c>
      <c r="BE145" s="100">
        <v>73.2</v>
      </c>
      <c r="BF145" s="100">
        <v>73.3</v>
      </c>
      <c r="BG145" s="100">
        <v>73.400000000000006</v>
      </c>
      <c r="BH145" s="100">
        <v>73.400000000000006</v>
      </c>
      <c r="BI145" s="100">
        <v>73.400000000000006</v>
      </c>
      <c r="BJ145" s="100">
        <v>73.3</v>
      </c>
      <c r="BK145" s="100">
        <v>73.400000000000006</v>
      </c>
      <c r="BL145" s="100">
        <v>73.5</v>
      </c>
      <c r="BM145" s="100">
        <v>73.599999999999994</v>
      </c>
      <c r="BN145" s="100">
        <v>73.8</v>
      </c>
      <c r="BO145" s="100">
        <v>74</v>
      </c>
      <c r="BP145" s="100">
        <v>74</v>
      </c>
      <c r="BQ145" s="100">
        <v>74.099999999999994</v>
      </c>
      <c r="BR145" s="100">
        <v>74.099999999999994</v>
      </c>
      <c r="BS145" s="100">
        <v>74.099999999999994</v>
      </c>
      <c r="BT145" s="100">
        <v>74.099999999999994</v>
      </c>
      <c r="BU145" s="100">
        <v>74.2</v>
      </c>
      <c r="BV145" s="100">
        <v>74.400000000000006</v>
      </c>
      <c r="BW145" s="100">
        <v>74.400000000000006</v>
      </c>
      <c r="BX145" s="100">
        <v>74.5</v>
      </c>
      <c r="BY145" s="100">
        <v>74.5</v>
      </c>
      <c r="BZ145" s="100">
        <v>74.400000000000006</v>
      </c>
      <c r="CA145" s="100">
        <v>74.400000000000006</v>
      </c>
      <c r="CB145" s="100">
        <v>74.400000000000006</v>
      </c>
      <c r="CC145" s="100">
        <v>74.599999999999994</v>
      </c>
      <c r="CD145" s="100">
        <v>74.5</v>
      </c>
      <c r="CE145" s="100">
        <v>74.599999999999994</v>
      </c>
      <c r="CF145" s="100">
        <v>74.8</v>
      </c>
      <c r="CG145" s="100">
        <v>74.8</v>
      </c>
      <c r="CH145" s="100">
        <v>74.900000000000006</v>
      </c>
      <c r="CI145" s="100">
        <v>75.099999999999994</v>
      </c>
      <c r="CJ145" s="100">
        <v>75.3</v>
      </c>
      <c r="CK145" s="100">
        <v>75.099999999999994</v>
      </c>
      <c r="CL145" s="100">
        <v>75</v>
      </c>
      <c r="CM145" s="100">
        <v>75.099999999999994</v>
      </c>
      <c r="CN145" s="100">
        <v>75.3</v>
      </c>
      <c r="CO145" s="100">
        <v>75.2</v>
      </c>
      <c r="CP145" s="100">
        <v>75.3</v>
      </c>
      <c r="CQ145" s="100">
        <v>75.400000000000006</v>
      </c>
      <c r="CR145" s="100">
        <v>75.599999999999994</v>
      </c>
      <c r="CS145" s="100">
        <v>75.599999999999994</v>
      </c>
      <c r="CT145" s="100">
        <v>75.599999999999994</v>
      </c>
      <c r="CU145" s="100">
        <v>75.5</v>
      </c>
      <c r="CV145" s="100">
        <v>75.5</v>
      </c>
      <c r="CW145" s="100">
        <v>75.599999999999994</v>
      </c>
      <c r="CX145" s="100">
        <v>75.599999999999994</v>
      </c>
      <c r="CY145" s="100">
        <v>75.7</v>
      </c>
      <c r="CZ145" s="100">
        <v>75.8</v>
      </c>
      <c r="DA145" s="100">
        <v>75.8</v>
      </c>
      <c r="DB145" s="100">
        <v>76.099999999999994</v>
      </c>
      <c r="DC145" s="100">
        <v>76.099999999999994</v>
      </c>
      <c r="DD145" s="100">
        <v>76.099999999999994</v>
      </c>
      <c r="DE145" s="100">
        <v>76.099999999999994</v>
      </c>
      <c r="DF145" s="100">
        <v>75.8</v>
      </c>
      <c r="DG145" s="100">
        <v>76.099999999999994</v>
      </c>
      <c r="DH145" s="100">
        <v>76</v>
      </c>
      <c r="DI145" s="100">
        <v>75.900000000000006</v>
      </c>
      <c r="DJ145" s="100">
        <v>76</v>
      </c>
      <c r="DK145" s="100">
        <v>76.2</v>
      </c>
      <c r="DL145" s="100">
        <v>76.3</v>
      </c>
      <c r="DM145" s="100">
        <v>76.5</v>
      </c>
      <c r="DN145" s="100">
        <v>76.5</v>
      </c>
      <c r="DO145" s="100">
        <v>76.599999999999994</v>
      </c>
      <c r="DP145" s="105">
        <v>76.313000928204573</v>
      </c>
      <c r="DQ145" s="105">
        <v>75.959805579063001</v>
      </c>
      <c r="DR145" s="100">
        <v>75.841800029272491</v>
      </c>
      <c r="DS145" s="103">
        <v>75.748394873159526</v>
      </c>
      <c r="DT145" s="100">
        <v>75.625159512623981</v>
      </c>
      <c r="DU145" s="100">
        <v>75.37042605160768</v>
      </c>
      <c r="DV145" s="100">
        <v>75.032893557475006</v>
      </c>
      <c r="DW145" s="100">
        <v>74.935643921654574</v>
      </c>
      <c r="DX145" s="100">
        <v>74.948703090707326</v>
      </c>
      <c r="DY145" s="100">
        <v>74.653900168755683</v>
      </c>
      <c r="DZ145" s="100">
        <v>74.610039835289143</v>
      </c>
      <c r="EA145" s="100">
        <v>74.720603037952714</v>
      </c>
      <c r="EB145" s="100">
        <v>74.724822795561209</v>
      </c>
      <c r="EC145" s="100">
        <v>74.739527457943169</v>
      </c>
      <c r="ED145" s="100">
        <v>74.804888625445315</v>
      </c>
      <c r="EE145" s="102">
        <v>75.072312566809956</v>
      </c>
      <c r="EF145" s="105"/>
      <c r="EG145" s="105"/>
      <c r="EH145" s="105"/>
      <c r="EI145" s="105"/>
      <c r="EJ145" s="105"/>
      <c r="EK145" s="105"/>
      <c r="EL145" s="105"/>
      <c r="EM145" s="105"/>
      <c r="EN145" s="105"/>
      <c r="EO145" s="105"/>
      <c r="EP145" s="105"/>
      <c r="EQ145" s="107"/>
      <c r="ER145" s="107"/>
      <c r="ES145" s="107"/>
      <c r="ET145" s="107"/>
      <c r="EU145" s="107"/>
      <c r="EV145" s="107"/>
      <c r="EW145" s="107"/>
      <c r="EX145" s="107"/>
      <c r="EY145" s="107"/>
      <c r="EZ145" s="107"/>
      <c r="FA145" s="107"/>
      <c r="FB145" s="107"/>
      <c r="FC145" s="107"/>
      <c r="FD145" s="107"/>
      <c r="FE145" s="107"/>
      <c r="FF145" s="107"/>
      <c r="FG145" s="107"/>
      <c r="FH145" s="107"/>
      <c r="FI145" s="107"/>
      <c r="FJ145" s="107"/>
      <c r="FK145" s="107"/>
      <c r="FL145" s="107"/>
      <c r="FM145" s="107"/>
      <c r="FN145" s="107"/>
      <c r="FO145" s="107"/>
      <c r="FP145" s="107"/>
      <c r="FQ145" s="107"/>
      <c r="FR145" s="107"/>
      <c r="FS145" s="107"/>
      <c r="FT145" s="107"/>
      <c r="FU145" s="107"/>
      <c r="FV145" s="107"/>
      <c r="FW145" s="107"/>
      <c r="FX145" s="107"/>
      <c r="FY145" s="107"/>
      <c r="FZ145" s="107"/>
      <c r="GA145" s="107"/>
      <c r="GB145" s="107"/>
      <c r="GC145" s="107"/>
      <c r="GD145" s="107"/>
      <c r="GE145" s="107"/>
      <c r="GF145" s="107"/>
      <c r="GG145" s="160"/>
    </row>
    <row r="146" spans="2:189" x14ac:dyDescent="0.2">
      <c r="B146" s="97">
        <v>44440</v>
      </c>
      <c r="C146" s="100">
        <v>70.400000000000006</v>
      </c>
      <c r="D146" s="100">
        <v>70.599999999999994</v>
      </c>
      <c r="E146" s="100">
        <v>70.599999999999994</v>
      </c>
      <c r="F146" s="100">
        <v>70.7</v>
      </c>
      <c r="G146" s="100">
        <v>70.5</v>
      </c>
      <c r="H146" s="100">
        <v>70.3</v>
      </c>
      <c r="I146" s="100">
        <v>70.400000000000006</v>
      </c>
      <c r="J146" s="100">
        <v>70.5</v>
      </c>
      <c r="K146" s="100">
        <v>70.599999999999994</v>
      </c>
      <c r="L146" s="100">
        <v>70.5</v>
      </c>
      <c r="M146" s="100">
        <v>70.5</v>
      </c>
      <c r="N146" s="100">
        <v>70.5</v>
      </c>
      <c r="O146" s="100">
        <v>70.5</v>
      </c>
      <c r="P146" s="100">
        <v>70.2</v>
      </c>
      <c r="Q146" s="100">
        <v>70.2</v>
      </c>
      <c r="R146" s="100">
        <v>70.099999999999994</v>
      </c>
      <c r="S146" s="100">
        <v>70.099999999999994</v>
      </c>
      <c r="T146" s="100">
        <v>70.099999999999994</v>
      </c>
      <c r="U146" s="100">
        <v>70.2</v>
      </c>
      <c r="V146" s="100">
        <v>70.2</v>
      </c>
      <c r="W146" s="100">
        <v>70.3</v>
      </c>
      <c r="X146" s="100">
        <v>70.5</v>
      </c>
      <c r="Y146" s="100">
        <v>70.5</v>
      </c>
      <c r="Z146" s="100">
        <v>70.7</v>
      </c>
      <c r="AA146" s="100">
        <v>70.900000000000006</v>
      </c>
      <c r="AB146" s="100">
        <v>71.099999999999994</v>
      </c>
      <c r="AC146" s="100">
        <v>71.2</v>
      </c>
      <c r="AD146" s="100">
        <v>71.099999999999994</v>
      </c>
      <c r="AE146" s="100">
        <v>71.099999999999994</v>
      </c>
      <c r="AF146" s="100">
        <v>71.3</v>
      </c>
      <c r="AG146" s="100">
        <v>71.400000000000006</v>
      </c>
      <c r="AH146" s="100">
        <v>71.400000000000006</v>
      </c>
      <c r="AI146" s="100">
        <v>71.2</v>
      </c>
      <c r="AJ146" s="100">
        <v>71.2</v>
      </c>
      <c r="AK146" s="100">
        <v>71.2</v>
      </c>
      <c r="AL146" s="100">
        <v>71.2</v>
      </c>
      <c r="AM146" s="100">
        <v>71.3</v>
      </c>
      <c r="AN146" s="100">
        <v>71.5</v>
      </c>
      <c r="AO146" s="100">
        <v>71.5</v>
      </c>
      <c r="AP146" s="100">
        <v>71.7</v>
      </c>
      <c r="AQ146" s="100">
        <v>71.900000000000006</v>
      </c>
      <c r="AR146" s="100">
        <v>72</v>
      </c>
      <c r="AS146" s="100">
        <v>72</v>
      </c>
      <c r="AT146" s="100">
        <v>72.099999999999994</v>
      </c>
      <c r="AU146" s="100">
        <v>72.400000000000006</v>
      </c>
      <c r="AV146" s="100">
        <v>72.5</v>
      </c>
      <c r="AW146" s="100">
        <v>72.7</v>
      </c>
      <c r="AX146" s="100">
        <v>72.900000000000006</v>
      </c>
      <c r="AY146" s="100">
        <v>72.8</v>
      </c>
      <c r="AZ146" s="100">
        <v>72.8</v>
      </c>
      <c r="BA146" s="100">
        <v>73</v>
      </c>
      <c r="BB146" s="100">
        <v>73</v>
      </c>
      <c r="BC146" s="100">
        <v>73</v>
      </c>
      <c r="BD146" s="100">
        <v>73</v>
      </c>
      <c r="BE146" s="100">
        <v>73.2</v>
      </c>
      <c r="BF146" s="100">
        <v>73.3</v>
      </c>
      <c r="BG146" s="100">
        <v>73.400000000000006</v>
      </c>
      <c r="BH146" s="100">
        <v>73.400000000000006</v>
      </c>
      <c r="BI146" s="100">
        <v>73.400000000000006</v>
      </c>
      <c r="BJ146" s="100">
        <v>73.3</v>
      </c>
      <c r="BK146" s="100">
        <v>73.400000000000006</v>
      </c>
      <c r="BL146" s="100">
        <v>73.5</v>
      </c>
      <c r="BM146" s="100">
        <v>73.599999999999994</v>
      </c>
      <c r="BN146" s="100">
        <v>73.8</v>
      </c>
      <c r="BO146" s="100">
        <v>74</v>
      </c>
      <c r="BP146" s="100">
        <v>74</v>
      </c>
      <c r="BQ146" s="100">
        <v>74.099999999999994</v>
      </c>
      <c r="BR146" s="100">
        <v>74.099999999999994</v>
      </c>
      <c r="BS146" s="100">
        <v>74.099999999999994</v>
      </c>
      <c r="BT146" s="100">
        <v>74.099999999999994</v>
      </c>
      <c r="BU146" s="100">
        <v>74.2</v>
      </c>
      <c r="BV146" s="100">
        <v>74.400000000000006</v>
      </c>
      <c r="BW146" s="100">
        <v>74.400000000000006</v>
      </c>
      <c r="BX146" s="100">
        <v>74.5</v>
      </c>
      <c r="BY146" s="100">
        <v>74.5</v>
      </c>
      <c r="BZ146" s="100">
        <v>74.400000000000006</v>
      </c>
      <c r="CA146" s="100">
        <v>74.400000000000006</v>
      </c>
      <c r="CB146" s="100">
        <v>74.400000000000006</v>
      </c>
      <c r="CC146" s="100">
        <v>74.599999999999994</v>
      </c>
      <c r="CD146" s="100">
        <v>74.5</v>
      </c>
      <c r="CE146" s="100">
        <v>74.599999999999994</v>
      </c>
      <c r="CF146" s="100">
        <v>74.8</v>
      </c>
      <c r="CG146" s="100">
        <v>74.8</v>
      </c>
      <c r="CH146" s="100">
        <v>74.900000000000006</v>
      </c>
      <c r="CI146" s="100">
        <v>75.099999999999994</v>
      </c>
      <c r="CJ146" s="100">
        <v>75.3</v>
      </c>
      <c r="CK146" s="100">
        <v>75.099999999999994</v>
      </c>
      <c r="CL146" s="100">
        <v>75</v>
      </c>
      <c r="CM146" s="100">
        <v>75.099999999999994</v>
      </c>
      <c r="CN146" s="100">
        <v>75.3</v>
      </c>
      <c r="CO146" s="100">
        <v>75.2</v>
      </c>
      <c r="CP146" s="100">
        <v>75.3</v>
      </c>
      <c r="CQ146" s="100">
        <v>75.400000000000006</v>
      </c>
      <c r="CR146" s="100">
        <v>75.599999999999994</v>
      </c>
      <c r="CS146" s="100">
        <v>75.599999999999994</v>
      </c>
      <c r="CT146" s="100">
        <v>75.599999999999994</v>
      </c>
      <c r="CU146" s="100">
        <v>75.5</v>
      </c>
      <c r="CV146" s="100">
        <v>75.5</v>
      </c>
      <c r="CW146" s="100">
        <v>75.599999999999994</v>
      </c>
      <c r="CX146" s="100">
        <v>75.599999999999994</v>
      </c>
      <c r="CY146" s="100">
        <v>75.7</v>
      </c>
      <c r="CZ146" s="100">
        <v>75.8</v>
      </c>
      <c r="DA146" s="100">
        <v>75.8</v>
      </c>
      <c r="DB146" s="100">
        <v>76.099999999999994</v>
      </c>
      <c r="DC146" s="100">
        <v>76.099999999999994</v>
      </c>
      <c r="DD146" s="100">
        <v>76.099999999999994</v>
      </c>
      <c r="DE146" s="100">
        <v>76.099999999999994</v>
      </c>
      <c r="DF146" s="100">
        <v>75.8</v>
      </c>
      <c r="DG146" s="100">
        <v>76.099999999999994</v>
      </c>
      <c r="DH146" s="100">
        <v>76</v>
      </c>
      <c r="DI146" s="100">
        <v>75.900000000000006</v>
      </c>
      <c r="DJ146" s="100">
        <v>76</v>
      </c>
      <c r="DK146" s="100">
        <v>76.2</v>
      </c>
      <c r="DL146" s="100">
        <v>76.3</v>
      </c>
      <c r="DM146" s="100">
        <v>76.5</v>
      </c>
      <c r="DN146" s="100">
        <v>76.5</v>
      </c>
      <c r="DO146" s="100">
        <v>76.599999999999994</v>
      </c>
      <c r="DP146" s="105">
        <v>76.313000928204573</v>
      </c>
      <c r="DQ146" s="105">
        <v>75.959805579063001</v>
      </c>
      <c r="DR146" s="100">
        <v>75.841800029272491</v>
      </c>
      <c r="DS146" s="100">
        <v>75.748394873159526</v>
      </c>
      <c r="DT146" s="103">
        <v>75.625159512623981</v>
      </c>
      <c r="DU146" s="100">
        <v>75.37042605160768</v>
      </c>
      <c r="DV146" s="100">
        <v>75.032893557475006</v>
      </c>
      <c r="DW146" s="100">
        <v>74.935643921654574</v>
      </c>
      <c r="DX146" s="100">
        <v>74.948703090707326</v>
      </c>
      <c r="DY146" s="100">
        <v>74.653900168755683</v>
      </c>
      <c r="DZ146" s="100">
        <v>74.610039835289143</v>
      </c>
      <c r="EA146" s="100">
        <v>74.720603037952714</v>
      </c>
      <c r="EB146" s="100">
        <v>74.724822795561209</v>
      </c>
      <c r="EC146" s="100">
        <v>74.739527457943169</v>
      </c>
      <c r="ED146" s="100">
        <v>74.804888625445315</v>
      </c>
      <c r="EE146" s="100">
        <v>75.072312566809956</v>
      </c>
      <c r="EF146" s="102">
        <v>75.221202935474935</v>
      </c>
      <c r="EG146" s="100"/>
      <c r="EH146" s="100"/>
      <c r="EI146" s="100"/>
      <c r="EJ146" s="100"/>
      <c r="EK146" s="100"/>
      <c r="EL146" s="100"/>
      <c r="EM146" s="100"/>
      <c r="EN146" s="100"/>
      <c r="EO146" s="100"/>
      <c r="EP146" s="100"/>
      <c r="EQ146" s="106"/>
      <c r="ER146" s="106"/>
      <c r="ES146" s="106"/>
      <c r="ET146" s="106"/>
      <c r="EU146" s="106"/>
      <c r="EV146" s="106"/>
      <c r="EW146" s="106"/>
      <c r="EX146" s="106"/>
      <c r="EY146" s="106"/>
      <c r="EZ146" s="106"/>
      <c r="FA146" s="106"/>
      <c r="FB146" s="106"/>
      <c r="FC146" s="106"/>
      <c r="FD146" s="106"/>
      <c r="FE146" s="106"/>
      <c r="FF146" s="106"/>
      <c r="FG146" s="106"/>
      <c r="FH146" s="106"/>
      <c r="FI146" s="106"/>
      <c r="FJ146" s="106"/>
      <c r="FK146" s="106"/>
      <c r="FL146" s="106"/>
      <c r="FM146" s="106"/>
      <c r="FN146" s="106"/>
      <c r="FO146" s="106"/>
      <c r="FP146" s="106"/>
      <c r="FQ146" s="106"/>
      <c r="FR146" s="106"/>
      <c r="FS146" s="106"/>
      <c r="FT146" s="106"/>
      <c r="FU146" s="106"/>
      <c r="FV146" s="106"/>
      <c r="FW146" s="106"/>
      <c r="FX146" s="106"/>
      <c r="FY146" s="106"/>
      <c r="FZ146" s="106"/>
      <c r="GA146" s="106"/>
      <c r="GB146" s="106"/>
      <c r="GC146" s="106"/>
      <c r="GD146" s="106"/>
      <c r="GE146" s="106"/>
      <c r="GF146" s="106"/>
      <c r="GG146" s="159"/>
    </row>
    <row r="147" spans="2:189" hidden="1" x14ac:dyDescent="0.2">
      <c r="B147" s="97">
        <v>44470</v>
      </c>
      <c r="C147" s="100">
        <v>70.400000000000006</v>
      </c>
      <c r="D147" s="100">
        <v>70.599999999999994</v>
      </c>
      <c r="E147" s="100">
        <v>70.599999999999994</v>
      </c>
      <c r="F147" s="100">
        <v>70.7</v>
      </c>
      <c r="G147" s="100">
        <v>70.5</v>
      </c>
      <c r="H147" s="100">
        <v>70.3</v>
      </c>
      <c r="I147" s="100">
        <v>70.400000000000006</v>
      </c>
      <c r="J147" s="100">
        <v>70.5</v>
      </c>
      <c r="K147" s="100">
        <v>70.599999999999994</v>
      </c>
      <c r="L147" s="100">
        <v>70.5</v>
      </c>
      <c r="M147" s="100">
        <v>70.5</v>
      </c>
      <c r="N147" s="100">
        <v>70.5</v>
      </c>
      <c r="O147" s="100">
        <v>70.5</v>
      </c>
      <c r="P147" s="100">
        <v>70.2</v>
      </c>
      <c r="Q147" s="100">
        <v>70.2</v>
      </c>
      <c r="R147" s="100">
        <v>70.099999999999994</v>
      </c>
      <c r="S147" s="100">
        <v>70.099999999999994</v>
      </c>
      <c r="T147" s="100">
        <v>70.099999999999994</v>
      </c>
      <c r="U147" s="100">
        <v>70.2</v>
      </c>
      <c r="V147" s="100">
        <v>70.2</v>
      </c>
      <c r="W147" s="100">
        <v>70.3</v>
      </c>
      <c r="X147" s="100">
        <v>70.5</v>
      </c>
      <c r="Y147" s="100">
        <v>70.5</v>
      </c>
      <c r="Z147" s="100">
        <v>70.7</v>
      </c>
      <c r="AA147" s="100">
        <v>70.900000000000006</v>
      </c>
      <c r="AB147" s="100">
        <v>71.099999999999994</v>
      </c>
      <c r="AC147" s="100">
        <v>71.2</v>
      </c>
      <c r="AD147" s="100">
        <v>71.099999999999994</v>
      </c>
      <c r="AE147" s="100">
        <v>71.099999999999994</v>
      </c>
      <c r="AF147" s="100">
        <v>71.3</v>
      </c>
      <c r="AG147" s="100">
        <v>71.400000000000006</v>
      </c>
      <c r="AH147" s="100">
        <v>71.400000000000006</v>
      </c>
      <c r="AI147" s="100">
        <v>71.2</v>
      </c>
      <c r="AJ147" s="100">
        <v>71.2</v>
      </c>
      <c r="AK147" s="100">
        <v>71.2</v>
      </c>
      <c r="AL147" s="100">
        <v>71.2</v>
      </c>
      <c r="AM147" s="100">
        <v>71.3</v>
      </c>
      <c r="AN147" s="100">
        <v>71.5</v>
      </c>
      <c r="AO147" s="100">
        <v>71.5</v>
      </c>
      <c r="AP147" s="100">
        <v>71.7</v>
      </c>
      <c r="AQ147" s="100">
        <v>71.900000000000006</v>
      </c>
      <c r="AR147" s="100">
        <v>72</v>
      </c>
      <c r="AS147" s="100">
        <v>72</v>
      </c>
      <c r="AT147" s="100">
        <v>72.099999999999994</v>
      </c>
      <c r="AU147" s="100">
        <v>72.400000000000006</v>
      </c>
      <c r="AV147" s="100">
        <v>72.5</v>
      </c>
      <c r="AW147" s="100">
        <v>72.7</v>
      </c>
      <c r="AX147" s="100">
        <v>72.900000000000006</v>
      </c>
      <c r="AY147" s="100">
        <v>72.8</v>
      </c>
      <c r="AZ147" s="100">
        <v>72.8</v>
      </c>
      <c r="BA147" s="100">
        <v>73</v>
      </c>
      <c r="BB147" s="100">
        <v>73</v>
      </c>
      <c r="BC147" s="100">
        <v>73</v>
      </c>
      <c r="BD147" s="100">
        <v>73</v>
      </c>
      <c r="BE147" s="100">
        <v>73.2</v>
      </c>
      <c r="BF147" s="100">
        <v>73.3</v>
      </c>
      <c r="BG147" s="100">
        <v>73.400000000000006</v>
      </c>
      <c r="BH147" s="100">
        <v>73.400000000000006</v>
      </c>
      <c r="BI147" s="100">
        <v>73.400000000000006</v>
      </c>
      <c r="BJ147" s="100">
        <v>73.3</v>
      </c>
      <c r="BK147" s="100">
        <v>73.400000000000006</v>
      </c>
      <c r="BL147" s="100">
        <v>73.5</v>
      </c>
      <c r="BM147" s="100">
        <v>73.599999999999994</v>
      </c>
      <c r="BN147" s="100">
        <v>73.8</v>
      </c>
      <c r="BO147" s="100">
        <v>74</v>
      </c>
      <c r="BP147" s="100">
        <v>74</v>
      </c>
      <c r="BQ147" s="100">
        <v>74.099999999999994</v>
      </c>
      <c r="BR147" s="100">
        <v>74.099999999999994</v>
      </c>
      <c r="BS147" s="100">
        <v>74.099999999999994</v>
      </c>
      <c r="BT147" s="100">
        <v>74.099999999999994</v>
      </c>
      <c r="BU147" s="100">
        <v>74.2</v>
      </c>
      <c r="BV147" s="100">
        <v>74.400000000000006</v>
      </c>
      <c r="BW147" s="100">
        <v>74.400000000000006</v>
      </c>
      <c r="BX147" s="100">
        <v>74.5</v>
      </c>
      <c r="BY147" s="100">
        <v>74.5</v>
      </c>
      <c r="BZ147" s="100">
        <v>74.400000000000006</v>
      </c>
      <c r="CA147" s="100">
        <v>74.400000000000006</v>
      </c>
      <c r="CB147" s="100">
        <v>74.400000000000006</v>
      </c>
      <c r="CC147" s="100">
        <v>74.599999999999994</v>
      </c>
      <c r="CD147" s="100">
        <v>74.5</v>
      </c>
      <c r="CE147" s="100">
        <v>74.599999999999994</v>
      </c>
      <c r="CF147" s="100">
        <v>74.8</v>
      </c>
      <c r="CG147" s="100">
        <v>74.8</v>
      </c>
      <c r="CH147" s="100">
        <v>74.900000000000006</v>
      </c>
      <c r="CI147" s="100">
        <v>75.099999999999994</v>
      </c>
      <c r="CJ147" s="100">
        <v>75.3</v>
      </c>
      <c r="CK147" s="100">
        <v>75.099999999999994</v>
      </c>
      <c r="CL147" s="100">
        <v>75</v>
      </c>
      <c r="CM147" s="100">
        <v>75.099999999999994</v>
      </c>
      <c r="CN147" s="100">
        <v>75.3</v>
      </c>
      <c r="CO147" s="100">
        <v>75.2</v>
      </c>
      <c r="CP147" s="100">
        <v>75.3</v>
      </c>
      <c r="CQ147" s="100">
        <v>75.400000000000006</v>
      </c>
      <c r="CR147" s="100">
        <v>75.599999999999994</v>
      </c>
      <c r="CS147" s="100">
        <v>75.599999999999994</v>
      </c>
      <c r="CT147" s="100">
        <v>75.599999999999994</v>
      </c>
      <c r="CU147" s="100">
        <v>75.5</v>
      </c>
      <c r="CV147" s="100">
        <v>75.5</v>
      </c>
      <c r="CW147" s="100">
        <v>75.599999999999994</v>
      </c>
      <c r="CX147" s="100">
        <v>75.599999999999994</v>
      </c>
      <c r="CY147" s="100">
        <v>75.7</v>
      </c>
      <c r="CZ147" s="100">
        <v>75.8</v>
      </c>
      <c r="DA147" s="100">
        <v>75.8</v>
      </c>
      <c r="DB147" s="100">
        <v>76.099999999999994</v>
      </c>
      <c r="DC147" s="100">
        <v>76.099999999999994</v>
      </c>
      <c r="DD147" s="100">
        <v>76.099999999999994</v>
      </c>
      <c r="DE147" s="100">
        <v>76.099999999999994</v>
      </c>
      <c r="DF147" s="100">
        <v>75.8</v>
      </c>
      <c r="DG147" s="100">
        <v>76.099999999999994</v>
      </c>
      <c r="DH147" s="100">
        <v>76</v>
      </c>
      <c r="DI147" s="100">
        <v>75.900000000000006</v>
      </c>
      <c r="DJ147" s="100">
        <v>76</v>
      </c>
      <c r="DK147" s="100">
        <v>76.2</v>
      </c>
      <c r="DL147" s="100">
        <v>76.3</v>
      </c>
      <c r="DM147" s="100">
        <v>76.5</v>
      </c>
      <c r="DN147" s="100">
        <v>76.5</v>
      </c>
      <c r="DO147" s="100">
        <v>76.599999999999994</v>
      </c>
      <c r="DP147" s="105">
        <v>76.313000928204573</v>
      </c>
      <c r="DQ147" s="105">
        <v>75.959805579063001</v>
      </c>
      <c r="DR147" s="100">
        <v>75.841800029272491</v>
      </c>
      <c r="DS147" s="100">
        <v>75.748394873159526</v>
      </c>
      <c r="DT147" s="100">
        <v>75.625159512623981</v>
      </c>
      <c r="DU147" s="103">
        <v>75.37042605160768</v>
      </c>
      <c r="DV147" s="100">
        <v>75.032893557475006</v>
      </c>
      <c r="DW147" s="100">
        <v>74.935643921654574</v>
      </c>
      <c r="DX147" s="100">
        <v>74.948703090707326</v>
      </c>
      <c r="DY147" s="100">
        <v>74.653900168755683</v>
      </c>
      <c r="DZ147" s="100">
        <v>74.610039835289143</v>
      </c>
      <c r="EA147" s="100">
        <v>74.720603037952714</v>
      </c>
      <c r="EB147" s="100">
        <v>74.724822795561209</v>
      </c>
      <c r="EC147" s="100">
        <v>74.739527457943169</v>
      </c>
      <c r="ED147" s="100">
        <v>74.804888625445315</v>
      </c>
      <c r="EE147" s="100">
        <v>75.072312566809956</v>
      </c>
      <c r="EF147" s="100">
        <v>75.221202935474935</v>
      </c>
      <c r="EG147" s="102">
        <v>75.304370541135796</v>
      </c>
      <c r="EH147" s="100"/>
      <c r="EI147" s="100"/>
      <c r="EJ147" s="100"/>
      <c r="EK147" s="100"/>
      <c r="EL147" s="100"/>
      <c r="EM147" s="100"/>
      <c r="EN147" s="100"/>
      <c r="EO147" s="100"/>
      <c r="EP147" s="100"/>
      <c r="EQ147" s="106"/>
      <c r="ER147" s="106"/>
      <c r="ES147" s="106"/>
      <c r="ET147" s="106"/>
      <c r="EU147" s="106"/>
      <c r="EV147" s="106"/>
      <c r="EW147" s="106"/>
      <c r="EX147" s="106"/>
      <c r="EY147" s="106"/>
      <c r="EZ147" s="106"/>
      <c r="FA147" s="106"/>
      <c r="FB147" s="106"/>
      <c r="FC147" s="106"/>
      <c r="FD147" s="106"/>
      <c r="FE147" s="106"/>
      <c r="FF147" s="106"/>
      <c r="FG147" s="106"/>
      <c r="FH147" s="106"/>
      <c r="FI147" s="106"/>
      <c r="FJ147" s="106"/>
      <c r="FK147" s="106"/>
      <c r="FL147" s="106"/>
      <c r="FM147" s="106"/>
      <c r="FN147" s="106"/>
      <c r="FO147" s="106"/>
      <c r="FP147" s="106"/>
      <c r="FQ147" s="106"/>
      <c r="FR147" s="106"/>
      <c r="FS147" s="106"/>
      <c r="FT147" s="106"/>
      <c r="FU147" s="106"/>
      <c r="FV147" s="106"/>
      <c r="FW147" s="106"/>
      <c r="FX147" s="106"/>
      <c r="FY147" s="106"/>
      <c r="FZ147" s="106"/>
      <c r="GA147" s="106"/>
      <c r="GB147" s="106"/>
      <c r="GC147" s="106"/>
      <c r="GD147" s="106"/>
      <c r="GE147" s="106"/>
      <c r="GF147" s="106"/>
      <c r="GG147" s="159"/>
    </row>
    <row r="148" spans="2:189" hidden="1" x14ac:dyDescent="0.2">
      <c r="B148" s="97">
        <v>44501</v>
      </c>
      <c r="C148" s="100">
        <v>70.400000000000006</v>
      </c>
      <c r="D148" s="100">
        <v>70.599999999999994</v>
      </c>
      <c r="E148" s="100">
        <v>70.599999999999994</v>
      </c>
      <c r="F148" s="100">
        <v>70.7</v>
      </c>
      <c r="G148" s="100">
        <v>70.5</v>
      </c>
      <c r="H148" s="100">
        <v>70.3</v>
      </c>
      <c r="I148" s="100">
        <v>70.400000000000006</v>
      </c>
      <c r="J148" s="100">
        <v>70.5</v>
      </c>
      <c r="K148" s="100">
        <v>70.599999999999994</v>
      </c>
      <c r="L148" s="100">
        <v>70.5</v>
      </c>
      <c r="M148" s="100">
        <v>70.5</v>
      </c>
      <c r="N148" s="100">
        <v>70.5</v>
      </c>
      <c r="O148" s="100">
        <v>70.5</v>
      </c>
      <c r="P148" s="100">
        <v>70.2</v>
      </c>
      <c r="Q148" s="100">
        <v>70.2</v>
      </c>
      <c r="R148" s="100">
        <v>70.099999999999994</v>
      </c>
      <c r="S148" s="100">
        <v>70.099999999999994</v>
      </c>
      <c r="T148" s="100">
        <v>70.099999999999994</v>
      </c>
      <c r="U148" s="100">
        <v>70.2</v>
      </c>
      <c r="V148" s="100">
        <v>70.2</v>
      </c>
      <c r="W148" s="100">
        <v>70.3</v>
      </c>
      <c r="X148" s="100">
        <v>70.5</v>
      </c>
      <c r="Y148" s="100">
        <v>70.5</v>
      </c>
      <c r="Z148" s="100">
        <v>70.7</v>
      </c>
      <c r="AA148" s="100">
        <v>70.900000000000006</v>
      </c>
      <c r="AB148" s="100">
        <v>71.099999999999994</v>
      </c>
      <c r="AC148" s="100">
        <v>71.2</v>
      </c>
      <c r="AD148" s="100">
        <v>71.099999999999994</v>
      </c>
      <c r="AE148" s="100">
        <v>71.099999999999994</v>
      </c>
      <c r="AF148" s="100">
        <v>71.3</v>
      </c>
      <c r="AG148" s="100">
        <v>71.400000000000006</v>
      </c>
      <c r="AH148" s="100">
        <v>71.400000000000006</v>
      </c>
      <c r="AI148" s="100">
        <v>71.2</v>
      </c>
      <c r="AJ148" s="100">
        <v>71.2</v>
      </c>
      <c r="AK148" s="100">
        <v>71.2</v>
      </c>
      <c r="AL148" s="100">
        <v>71.2</v>
      </c>
      <c r="AM148" s="100">
        <v>71.3</v>
      </c>
      <c r="AN148" s="100">
        <v>71.5</v>
      </c>
      <c r="AO148" s="100">
        <v>71.5</v>
      </c>
      <c r="AP148" s="100">
        <v>71.7</v>
      </c>
      <c r="AQ148" s="100">
        <v>71.900000000000006</v>
      </c>
      <c r="AR148" s="100">
        <v>72</v>
      </c>
      <c r="AS148" s="100">
        <v>72</v>
      </c>
      <c r="AT148" s="100">
        <v>72.099999999999994</v>
      </c>
      <c r="AU148" s="100">
        <v>72.400000000000006</v>
      </c>
      <c r="AV148" s="100">
        <v>72.5</v>
      </c>
      <c r="AW148" s="100">
        <v>72.7</v>
      </c>
      <c r="AX148" s="100">
        <v>72.900000000000006</v>
      </c>
      <c r="AY148" s="100">
        <v>72.8</v>
      </c>
      <c r="AZ148" s="100">
        <v>72.8</v>
      </c>
      <c r="BA148" s="100">
        <v>73</v>
      </c>
      <c r="BB148" s="100">
        <v>73</v>
      </c>
      <c r="BC148" s="100">
        <v>73</v>
      </c>
      <c r="BD148" s="100">
        <v>73</v>
      </c>
      <c r="BE148" s="100">
        <v>73.2</v>
      </c>
      <c r="BF148" s="100">
        <v>73.3</v>
      </c>
      <c r="BG148" s="100">
        <v>73.400000000000006</v>
      </c>
      <c r="BH148" s="100">
        <v>73.400000000000006</v>
      </c>
      <c r="BI148" s="100">
        <v>73.400000000000006</v>
      </c>
      <c r="BJ148" s="100">
        <v>73.3</v>
      </c>
      <c r="BK148" s="100">
        <v>73.400000000000006</v>
      </c>
      <c r="BL148" s="100">
        <v>73.5</v>
      </c>
      <c r="BM148" s="100">
        <v>73.599999999999994</v>
      </c>
      <c r="BN148" s="100">
        <v>73.8</v>
      </c>
      <c r="BO148" s="100">
        <v>74</v>
      </c>
      <c r="BP148" s="100">
        <v>74</v>
      </c>
      <c r="BQ148" s="100">
        <v>74.099999999999994</v>
      </c>
      <c r="BR148" s="100">
        <v>74.099999999999994</v>
      </c>
      <c r="BS148" s="100">
        <v>74.099999999999994</v>
      </c>
      <c r="BT148" s="100">
        <v>74.099999999999994</v>
      </c>
      <c r="BU148" s="100">
        <v>74.2</v>
      </c>
      <c r="BV148" s="100">
        <v>74.400000000000006</v>
      </c>
      <c r="BW148" s="100">
        <v>74.400000000000006</v>
      </c>
      <c r="BX148" s="100">
        <v>74.5</v>
      </c>
      <c r="BY148" s="100">
        <v>74.5</v>
      </c>
      <c r="BZ148" s="100">
        <v>74.400000000000006</v>
      </c>
      <c r="CA148" s="100">
        <v>74.400000000000006</v>
      </c>
      <c r="CB148" s="100">
        <v>74.400000000000006</v>
      </c>
      <c r="CC148" s="100">
        <v>74.599999999999994</v>
      </c>
      <c r="CD148" s="100">
        <v>74.5</v>
      </c>
      <c r="CE148" s="100">
        <v>74.599999999999994</v>
      </c>
      <c r="CF148" s="100">
        <v>74.8</v>
      </c>
      <c r="CG148" s="100">
        <v>74.8</v>
      </c>
      <c r="CH148" s="100">
        <v>74.900000000000006</v>
      </c>
      <c r="CI148" s="100">
        <v>75.099999999999994</v>
      </c>
      <c r="CJ148" s="100">
        <v>75.3</v>
      </c>
      <c r="CK148" s="100">
        <v>75.099999999999994</v>
      </c>
      <c r="CL148" s="100">
        <v>75</v>
      </c>
      <c r="CM148" s="100">
        <v>75.099999999999994</v>
      </c>
      <c r="CN148" s="100">
        <v>75.3</v>
      </c>
      <c r="CO148" s="100">
        <v>75.2</v>
      </c>
      <c r="CP148" s="100">
        <v>75.3</v>
      </c>
      <c r="CQ148" s="100">
        <v>75.400000000000006</v>
      </c>
      <c r="CR148" s="100">
        <v>75.599999999999994</v>
      </c>
      <c r="CS148" s="100">
        <v>75.599999999999994</v>
      </c>
      <c r="CT148" s="100">
        <v>75.599999999999994</v>
      </c>
      <c r="CU148" s="100">
        <v>75.5</v>
      </c>
      <c r="CV148" s="100">
        <v>75.5</v>
      </c>
      <c r="CW148" s="100">
        <v>75.599999999999994</v>
      </c>
      <c r="CX148" s="100">
        <v>75.599999999999994</v>
      </c>
      <c r="CY148" s="100">
        <v>75.7</v>
      </c>
      <c r="CZ148" s="100">
        <v>75.8</v>
      </c>
      <c r="DA148" s="100">
        <v>75.8</v>
      </c>
      <c r="DB148" s="100">
        <v>76.099999999999994</v>
      </c>
      <c r="DC148" s="100">
        <v>76.099999999999994</v>
      </c>
      <c r="DD148" s="100">
        <v>76.099999999999994</v>
      </c>
      <c r="DE148" s="100">
        <v>76.099999999999994</v>
      </c>
      <c r="DF148" s="100">
        <v>75.8</v>
      </c>
      <c r="DG148" s="100">
        <v>76.099999999999994</v>
      </c>
      <c r="DH148" s="100">
        <v>76</v>
      </c>
      <c r="DI148" s="100">
        <v>75.900000000000006</v>
      </c>
      <c r="DJ148" s="100">
        <v>76</v>
      </c>
      <c r="DK148" s="100">
        <v>76.2</v>
      </c>
      <c r="DL148" s="100">
        <v>76.3</v>
      </c>
      <c r="DM148" s="100">
        <v>76.5</v>
      </c>
      <c r="DN148" s="100">
        <v>76.5</v>
      </c>
      <c r="DO148" s="100">
        <v>76.599999999999994</v>
      </c>
      <c r="DP148" s="105">
        <v>76.313000928204573</v>
      </c>
      <c r="DQ148" s="105">
        <v>75.959805579063001</v>
      </c>
      <c r="DR148" s="100">
        <v>75.841800029272491</v>
      </c>
      <c r="DS148" s="100">
        <v>75.748394873159526</v>
      </c>
      <c r="DT148" s="100">
        <v>75.625159512623981</v>
      </c>
      <c r="DU148" s="100">
        <v>75.37042605160768</v>
      </c>
      <c r="DV148" s="103">
        <v>75.032893557475006</v>
      </c>
      <c r="DW148" s="100">
        <v>74.935643921654574</v>
      </c>
      <c r="DX148" s="100">
        <v>74.948703090707326</v>
      </c>
      <c r="DY148" s="100">
        <v>74.653900168755683</v>
      </c>
      <c r="DZ148" s="100">
        <v>74.610039835289143</v>
      </c>
      <c r="EA148" s="100">
        <v>74.720603037952714</v>
      </c>
      <c r="EB148" s="100">
        <v>74.724822795561209</v>
      </c>
      <c r="EC148" s="100">
        <v>74.739527457943169</v>
      </c>
      <c r="ED148" s="100">
        <v>74.804888625445315</v>
      </c>
      <c r="EE148" s="100">
        <v>75.072312566809956</v>
      </c>
      <c r="EF148" s="100">
        <v>75.221202935474935</v>
      </c>
      <c r="EG148" s="100">
        <v>75.304370541135796</v>
      </c>
      <c r="EH148" s="102">
        <v>75.426778815565996</v>
      </c>
      <c r="EI148" s="100"/>
      <c r="EJ148" s="100"/>
      <c r="EK148" s="100"/>
      <c r="EL148" s="100"/>
      <c r="EM148" s="100"/>
      <c r="EN148" s="100"/>
      <c r="EO148" s="100"/>
      <c r="EP148" s="100"/>
      <c r="EQ148" s="106"/>
      <c r="ER148" s="106"/>
      <c r="ES148" s="106"/>
      <c r="ET148" s="106"/>
      <c r="EU148" s="106"/>
      <c r="EV148" s="106"/>
      <c r="EW148" s="106"/>
      <c r="EX148" s="106"/>
      <c r="EY148" s="106"/>
      <c r="EZ148" s="106"/>
      <c r="FA148" s="106"/>
      <c r="FB148" s="106"/>
      <c r="FC148" s="106"/>
      <c r="FD148" s="106"/>
      <c r="FE148" s="106"/>
      <c r="FF148" s="106"/>
      <c r="FG148" s="106"/>
      <c r="FH148" s="106"/>
      <c r="FI148" s="106"/>
      <c r="FJ148" s="106"/>
      <c r="FK148" s="106"/>
      <c r="FL148" s="106"/>
      <c r="FM148" s="106"/>
      <c r="FN148" s="106"/>
      <c r="FO148" s="106"/>
      <c r="FP148" s="106"/>
      <c r="FQ148" s="106"/>
      <c r="FR148" s="106"/>
      <c r="FS148" s="106"/>
      <c r="FT148" s="106"/>
      <c r="FU148" s="106"/>
      <c r="FV148" s="106"/>
      <c r="FW148" s="106"/>
      <c r="FX148" s="106"/>
      <c r="FY148" s="106"/>
      <c r="FZ148" s="106"/>
      <c r="GA148" s="106"/>
      <c r="GB148" s="106"/>
      <c r="GC148" s="106"/>
      <c r="GD148" s="106"/>
      <c r="GE148" s="106"/>
      <c r="GF148" s="106"/>
      <c r="GG148" s="159"/>
    </row>
    <row r="149" spans="2:189" hidden="1" x14ac:dyDescent="0.2">
      <c r="B149" s="97">
        <v>44531</v>
      </c>
      <c r="C149" s="100">
        <v>70.400000000000006</v>
      </c>
      <c r="D149" s="100">
        <v>70.599999999999994</v>
      </c>
      <c r="E149" s="100">
        <v>70.599999999999994</v>
      </c>
      <c r="F149" s="100">
        <v>70.7</v>
      </c>
      <c r="G149" s="100">
        <v>70.5</v>
      </c>
      <c r="H149" s="100">
        <v>70.3</v>
      </c>
      <c r="I149" s="100">
        <v>70.400000000000006</v>
      </c>
      <c r="J149" s="100">
        <v>70.5</v>
      </c>
      <c r="K149" s="100">
        <v>70.599999999999994</v>
      </c>
      <c r="L149" s="100">
        <v>70.5</v>
      </c>
      <c r="M149" s="100">
        <v>70.5</v>
      </c>
      <c r="N149" s="100">
        <v>70.5</v>
      </c>
      <c r="O149" s="100">
        <v>70.5</v>
      </c>
      <c r="P149" s="100">
        <v>70.2</v>
      </c>
      <c r="Q149" s="100">
        <v>70.2</v>
      </c>
      <c r="R149" s="100">
        <v>70.099999999999994</v>
      </c>
      <c r="S149" s="100">
        <v>70.099999999999994</v>
      </c>
      <c r="T149" s="100">
        <v>70.099999999999994</v>
      </c>
      <c r="U149" s="100">
        <v>70.2</v>
      </c>
      <c r="V149" s="100">
        <v>70.2</v>
      </c>
      <c r="W149" s="100">
        <v>70.3</v>
      </c>
      <c r="X149" s="100">
        <v>70.5</v>
      </c>
      <c r="Y149" s="100">
        <v>70.5</v>
      </c>
      <c r="Z149" s="100">
        <v>70.7</v>
      </c>
      <c r="AA149" s="100">
        <v>70.900000000000006</v>
      </c>
      <c r="AB149" s="100">
        <v>71.099999999999994</v>
      </c>
      <c r="AC149" s="100">
        <v>71.2</v>
      </c>
      <c r="AD149" s="100">
        <v>71.099999999999994</v>
      </c>
      <c r="AE149" s="100">
        <v>71.099999999999994</v>
      </c>
      <c r="AF149" s="100">
        <v>71.3</v>
      </c>
      <c r="AG149" s="100">
        <v>71.400000000000006</v>
      </c>
      <c r="AH149" s="100">
        <v>71.400000000000006</v>
      </c>
      <c r="AI149" s="100">
        <v>71.2</v>
      </c>
      <c r="AJ149" s="100">
        <v>71.2</v>
      </c>
      <c r="AK149" s="100">
        <v>71.2</v>
      </c>
      <c r="AL149" s="100">
        <v>71.2</v>
      </c>
      <c r="AM149" s="100">
        <v>71.3</v>
      </c>
      <c r="AN149" s="100">
        <v>71.5</v>
      </c>
      <c r="AO149" s="100">
        <v>71.5</v>
      </c>
      <c r="AP149" s="100">
        <v>71.7</v>
      </c>
      <c r="AQ149" s="100">
        <v>71.900000000000006</v>
      </c>
      <c r="AR149" s="100">
        <v>72</v>
      </c>
      <c r="AS149" s="100">
        <v>72</v>
      </c>
      <c r="AT149" s="100">
        <v>72.099999999999994</v>
      </c>
      <c r="AU149" s="100">
        <v>72.400000000000006</v>
      </c>
      <c r="AV149" s="100">
        <v>72.5</v>
      </c>
      <c r="AW149" s="100">
        <v>72.7</v>
      </c>
      <c r="AX149" s="100">
        <v>72.900000000000006</v>
      </c>
      <c r="AY149" s="100">
        <v>72.8</v>
      </c>
      <c r="AZ149" s="100">
        <v>72.8</v>
      </c>
      <c r="BA149" s="100">
        <v>73</v>
      </c>
      <c r="BB149" s="100">
        <v>73</v>
      </c>
      <c r="BC149" s="100">
        <v>73</v>
      </c>
      <c r="BD149" s="100">
        <v>73</v>
      </c>
      <c r="BE149" s="100">
        <v>73.2</v>
      </c>
      <c r="BF149" s="100">
        <v>73.3</v>
      </c>
      <c r="BG149" s="100">
        <v>73.400000000000006</v>
      </c>
      <c r="BH149" s="100">
        <v>73.400000000000006</v>
      </c>
      <c r="BI149" s="100">
        <v>73.400000000000006</v>
      </c>
      <c r="BJ149" s="100">
        <v>73.3</v>
      </c>
      <c r="BK149" s="100">
        <v>73.400000000000006</v>
      </c>
      <c r="BL149" s="100">
        <v>73.5</v>
      </c>
      <c r="BM149" s="100">
        <v>73.599999999999994</v>
      </c>
      <c r="BN149" s="100">
        <v>73.8</v>
      </c>
      <c r="BO149" s="100">
        <v>74</v>
      </c>
      <c r="BP149" s="100">
        <v>74</v>
      </c>
      <c r="BQ149" s="100">
        <v>74.099999999999994</v>
      </c>
      <c r="BR149" s="100">
        <v>74.099999999999994</v>
      </c>
      <c r="BS149" s="100">
        <v>74.099999999999994</v>
      </c>
      <c r="BT149" s="100">
        <v>74.099999999999994</v>
      </c>
      <c r="BU149" s="100">
        <v>74.2</v>
      </c>
      <c r="BV149" s="100">
        <v>74.400000000000006</v>
      </c>
      <c r="BW149" s="100">
        <v>74.400000000000006</v>
      </c>
      <c r="BX149" s="100">
        <v>74.5</v>
      </c>
      <c r="BY149" s="100">
        <v>74.5</v>
      </c>
      <c r="BZ149" s="100">
        <v>74.400000000000006</v>
      </c>
      <c r="CA149" s="100">
        <v>74.400000000000006</v>
      </c>
      <c r="CB149" s="100">
        <v>74.400000000000006</v>
      </c>
      <c r="CC149" s="100">
        <v>74.599999999999994</v>
      </c>
      <c r="CD149" s="100">
        <v>74.5</v>
      </c>
      <c r="CE149" s="100">
        <v>74.599999999999994</v>
      </c>
      <c r="CF149" s="100">
        <v>74.8</v>
      </c>
      <c r="CG149" s="100">
        <v>74.8</v>
      </c>
      <c r="CH149" s="100">
        <v>74.900000000000006</v>
      </c>
      <c r="CI149" s="100">
        <v>75.099999999999994</v>
      </c>
      <c r="CJ149" s="100">
        <v>75.3</v>
      </c>
      <c r="CK149" s="100">
        <v>75.099999999999994</v>
      </c>
      <c r="CL149" s="100">
        <v>75</v>
      </c>
      <c r="CM149" s="100">
        <v>75.099999999999994</v>
      </c>
      <c r="CN149" s="100">
        <v>75.3</v>
      </c>
      <c r="CO149" s="100">
        <v>75.2</v>
      </c>
      <c r="CP149" s="100">
        <v>75.3</v>
      </c>
      <c r="CQ149" s="100">
        <v>75.400000000000006</v>
      </c>
      <c r="CR149" s="100">
        <v>75.599999999999994</v>
      </c>
      <c r="CS149" s="100">
        <v>75.599999999999994</v>
      </c>
      <c r="CT149" s="100">
        <v>75.599999999999994</v>
      </c>
      <c r="CU149" s="100">
        <v>75.5</v>
      </c>
      <c r="CV149" s="100">
        <v>75.5</v>
      </c>
      <c r="CW149" s="100">
        <v>75.599999999999994</v>
      </c>
      <c r="CX149" s="100">
        <v>75.599999999999994</v>
      </c>
      <c r="CY149" s="100">
        <v>75.7</v>
      </c>
      <c r="CZ149" s="100">
        <v>75.8</v>
      </c>
      <c r="DA149" s="100">
        <v>75.8</v>
      </c>
      <c r="DB149" s="100">
        <v>76.099999999999994</v>
      </c>
      <c r="DC149" s="100">
        <v>76.099999999999994</v>
      </c>
      <c r="DD149" s="100">
        <v>76.099999999999994</v>
      </c>
      <c r="DE149" s="100">
        <v>76.099999999999994</v>
      </c>
      <c r="DF149" s="100">
        <v>75.8</v>
      </c>
      <c r="DG149" s="100">
        <v>76.099999999999994</v>
      </c>
      <c r="DH149" s="100">
        <v>76</v>
      </c>
      <c r="DI149" s="100">
        <v>75.900000000000006</v>
      </c>
      <c r="DJ149" s="100">
        <v>76</v>
      </c>
      <c r="DK149" s="100">
        <v>76.2</v>
      </c>
      <c r="DL149" s="100">
        <v>76.3</v>
      </c>
      <c r="DM149" s="100">
        <v>76.5</v>
      </c>
      <c r="DN149" s="100">
        <v>76.5</v>
      </c>
      <c r="DO149" s="100">
        <v>76.599999999999994</v>
      </c>
      <c r="DP149" s="105">
        <v>76.313000928204573</v>
      </c>
      <c r="DQ149" s="105">
        <v>75.959805579063001</v>
      </c>
      <c r="DR149" s="100">
        <v>75.841800029272491</v>
      </c>
      <c r="DS149" s="100">
        <v>75.748394873159526</v>
      </c>
      <c r="DT149" s="100">
        <v>75.625159512623981</v>
      </c>
      <c r="DU149" s="100">
        <v>75.37042605160768</v>
      </c>
      <c r="DV149" s="100">
        <v>75.032893557475006</v>
      </c>
      <c r="DW149" s="103">
        <v>74.935643921654574</v>
      </c>
      <c r="DX149" s="100">
        <v>74.948703090707326</v>
      </c>
      <c r="DY149" s="100">
        <v>74.653900168755683</v>
      </c>
      <c r="DZ149" s="100">
        <v>74.610039835289143</v>
      </c>
      <c r="EA149" s="100">
        <v>74.720603037952714</v>
      </c>
      <c r="EB149" s="100">
        <v>74.724822795561209</v>
      </c>
      <c r="EC149" s="100">
        <v>74.739527457943169</v>
      </c>
      <c r="ED149" s="100">
        <v>74.804888625445315</v>
      </c>
      <c r="EE149" s="100">
        <v>75.072312566809956</v>
      </c>
      <c r="EF149" s="100">
        <v>75.221202935474935</v>
      </c>
      <c r="EG149" s="100">
        <v>75.304370541135796</v>
      </c>
      <c r="EH149" s="100">
        <v>75.426778815565953</v>
      </c>
      <c r="EI149" s="102">
        <v>75.461811609719291</v>
      </c>
      <c r="EJ149" s="100"/>
      <c r="EK149" s="100"/>
      <c r="EL149" s="100"/>
      <c r="EM149" s="100"/>
      <c r="EN149" s="100"/>
      <c r="EO149" s="100"/>
      <c r="EP149" s="100"/>
      <c r="EQ149" s="106"/>
      <c r="ER149" s="106"/>
      <c r="ES149" s="106"/>
      <c r="ET149" s="106"/>
      <c r="EU149" s="106"/>
      <c r="EV149" s="106"/>
      <c r="EW149" s="106"/>
      <c r="EX149" s="106"/>
      <c r="EY149" s="106"/>
      <c r="EZ149" s="106"/>
      <c r="FA149" s="106"/>
      <c r="FB149" s="106"/>
      <c r="FC149" s="106"/>
      <c r="FD149" s="106"/>
      <c r="FE149" s="106"/>
      <c r="FF149" s="106"/>
      <c r="FG149" s="106"/>
      <c r="FH149" s="106"/>
      <c r="FI149" s="106"/>
      <c r="FJ149" s="106"/>
      <c r="FK149" s="106"/>
      <c r="FL149" s="106"/>
      <c r="FM149" s="106"/>
      <c r="FN149" s="106"/>
      <c r="FO149" s="106"/>
      <c r="FP149" s="106"/>
      <c r="FQ149" s="106"/>
      <c r="FR149" s="106"/>
      <c r="FS149" s="106"/>
      <c r="FT149" s="106"/>
      <c r="FU149" s="106"/>
      <c r="FV149" s="106"/>
      <c r="FW149" s="106"/>
      <c r="FX149" s="106"/>
      <c r="FY149" s="106"/>
      <c r="FZ149" s="106"/>
      <c r="GA149" s="106"/>
      <c r="GB149" s="106"/>
      <c r="GC149" s="106"/>
      <c r="GD149" s="106"/>
      <c r="GE149" s="106"/>
      <c r="GF149" s="106"/>
      <c r="GG149" s="159"/>
    </row>
    <row r="150" spans="2:189" x14ac:dyDescent="0.2">
      <c r="B150" s="97">
        <v>44562</v>
      </c>
      <c r="C150" s="100">
        <v>70.400000000000006</v>
      </c>
      <c r="D150" s="100">
        <v>70.599999999999994</v>
      </c>
      <c r="E150" s="100">
        <v>70.599999999999994</v>
      </c>
      <c r="F150" s="100">
        <v>70.7</v>
      </c>
      <c r="G150" s="100">
        <v>70.5</v>
      </c>
      <c r="H150" s="100">
        <v>70.3</v>
      </c>
      <c r="I150" s="100">
        <v>70.400000000000006</v>
      </c>
      <c r="J150" s="100">
        <v>70.5</v>
      </c>
      <c r="K150" s="100">
        <v>70.599999999999994</v>
      </c>
      <c r="L150" s="100">
        <v>70.5</v>
      </c>
      <c r="M150" s="100">
        <v>70.5</v>
      </c>
      <c r="N150" s="100">
        <v>70.5</v>
      </c>
      <c r="O150" s="100">
        <v>70.5</v>
      </c>
      <c r="P150" s="100">
        <v>70.2</v>
      </c>
      <c r="Q150" s="100">
        <v>70.2</v>
      </c>
      <c r="R150" s="100">
        <v>70.099999999999994</v>
      </c>
      <c r="S150" s="100">
        <v>70.099999999999994</v>
      </c>
      <c r="T150" s="100">
        <v>70.099999999999994</v>
      </c>
      <c r="U150" s="100">
        <v>70.2</v>
      </c>
      <c r="V150" s="100">
        <v>70.2</v>
      </c>
      <c r="W150" s="100">
        <v>70.3</v>
      </c>
      <c r="X150" s="100">
        <v>70.5</v>
      </c>
      <c r="Y150" s="100">
        <v>70.5</v>
      </c>
      <c r="Z150" s="100">
        <v>70.7</v>
      </c>
      <c r="AA150" s="100">
        <v>70.900000000000006</v>
      </c>
      <c r="AB150" s="100">
        <v>71.099999999999994</v>
      </c>
      <c r="AC150" s="100">
        <v>71.2</v>
      </c>
      <c r="AD150" s="100">
        <v>71.099999999999994</v>
      </c>
      <c r="AE150" s="100">
        <v>71.099999999999994</v>
      </c>
      <c r="AF150" s="100">
        <v>71.3</v>
      </c>
      <c r="AG150" s="100">
        <v>71.400000000000006</v>
      </c>
      <c r="AH150" s="100">
        <v>71.400000000000006</v>
      </c>
      <c r="AI150" s="100">
        <v>71.2</v>
      </c>
      <c r="AJ150" s="100">
        <v>71.2</v>
      </c>
      <c r="AK150" s="100">
        <v>71.2</v>
      </c>
      <c r="AL150" s="100">
        <v>71.2</v>
      </c>
      <c r="AM150" s="100">
        <v>71.3</v>
      </c>
      <c r="AN150" s="100">
        <v>71.5</v>
      </c>
      <c r="AO150" s="100">
        <v>71.5</v>
      </c>
      <c r="AP150" s="100">
        <v>71.7</v>
      </c>
      <c r="AQ150" s="100">
        <v>71.900000000000006</v>
      </c>
      <c r="AR150" s="100">
        <v>72</v>
      </c>
      <c r="AS150" s="100">
        <v>72</v>
      </c>
      <c r="AT150" s="100">
        <v>72.099999999999994</v>
      </c>
      <c r="AU150" s="100">
        <v>72.400000000000006</v>
      </c>
      <c r="AV150" s="100">
        <v>72.5</v>
      </c>
      <c r="AW150" s="100">
        <v>72.7</v>
      </c>
      <c r="AX150" s="100">
        <v>72.900000000000006</v>
      </c>
      <c r="AY150" s="100">
        <v>72.8</v>
      </c>
      <c r="AZ150" s="100">
        <v>72.8</v>
      </c>
      <c r="BA150" s="100">
        <v>73</v>
      </c>
      <c r="BB150" s="100">
        <v>73</v>
      </c>
      <c r="BC150" s="100">
        <v>73</v>
      </c>
      <c r="BD150" s="100">
        <v>73</v>
      </c>
      <c r="BE150" s="100">
        <v>73.2</v>
      </c>
      <c r="BF150" s="100">
        <v>73.3</v>
      </c>
      <c r="BG150" s="100">
        <v>73.400000000000006</v>
      </c>
      <c r="BH150" s="100">
        <v>73.400000000000006</v>
      </c>
      <c r="BI150" s="100">
        <v>73.400000000000006</v>
      </c>
      <c r="BJ150" s="100">
        <v>73.3</v>
      </c>
      <c r="BK150" s="100">
        <v>73.400000000000006</v>
      </c>
      <c r="BL150" s="100">
        <v>73.5</v>
      </c>
      <c r="BM150" s="100">
        <v>73.599999999999994</v>
      </c>
      <c r="BN150" s="100">
        <v>73.8</v>
      </c>
      <c r="BO150" s="100">
        <v>74</v>
      </c>
      <c r="BP150" s="100">
        <v>74</v>
      </c>
      <c r="BQ150" s="100">
        <v>74.099999999999994</v>
      </c>
      <c r="BR150" s="100">
        <v>74.099999999999994</v>
      </c>
      <c r="BS150" s="100">
        <v>74.099999999999994</v>
      </c>
      <c r="BT150" s="100">
        <v>74.099999999999994</v>
      </c>
      <c r="BU150" s="100">
        <v>74.2</v>
      </c>
      <c r="BV150" s="100">
        <v>74.400000000000006</v>
      </c>
      <c r="BW150" s="100">
        <v>74.400000000000006</v>
      </c>
      <c r="BX150" s="100">
        <v>74.5</v>
      </c>
      <c r="BY150" s="100">
        <v>74.5</v>
      </c>
      <c r="BZ150" s="100">
        <v>74.400000000000006</v>
      </c>
      <c r="CA150" s="100">
        <v>74.400000000000006</v>
      </c>
      <c r="CB150" s="100">
        <v>74.400000000000006</v>
      </c>
      <c r="CC150" s="100">
        <v>74.599999999999994</v>
      </c>
      <c r="CD150" s="100">
        <v>74.5</v>
      </c>
      <c r="CE150" s="100">
        <v>74.599999999999994</v>
      </c>
      <c r="CF150" s="100">
        <v>74.8</v>
      </c>
      <c r="CG150" s="100">
        <v>74.8</v>
      </c>
      <c r="CH150" s="100">
        <v>74.900000000000006</v>
      </c>
      <c r="CI150" s="100">
        <v>75.099999999999994</v>
      </c>
      <c r="CJ150" s="100">
        <v>75.3</v>
      </c>
      <c r="CK150" s="100">
        <v>75.099999999999994</v>
      </c>
      <c r="CL150" s="100">
        <v>75</v>
      </c>
      <c r="CM150" s="100">
        <v>75.099999999999994</v>
      </c>
      <c r="CN150" s="100">
        <v>75.3</v>
      </c>
      <c r="CO150" s="100">
        <v>75.2</v>
      </c>
      <c r="CP150" s="100">
        <v>75.3</v>
      </c>
      <c r="CQ150" s="100">
        <v>75.400000000000006</v>
      </c>
      <c r="CR150" s="100">
        <v>75.599999999999994</v>
      </c>
      <c r="CS150" s="100">
        <v>75.599999999999994</v>
      </c>
      <c r="CT150" s="100">
        <v>75.599999999999994</v>
      </c>
      <c r="CU150" s="100">
        <v>75.5</v>
      </c>
      <c r="CV150" s="100">
        <v>75.5</v>
      </c>
      <c r="CW150" s="100">
        <v>75.599999999999994</v>
      </c>
      <c r="CX150" s="100">
        <v>75.599999999999994</v>
      </c>
      <c r="CY150" s="100">
        <v>75.7</v>
      </c>
      <c r="CZ150" s="100">
        <v>75.8</v>
      </c>
      <c r="DA150" s="100">
        <v>75.8</v>
      </c>
      <c r="DB150" s="100">
        <v>76.099999999999994</v>
      </c>
      <c r="DC150" s="100">
        <v>76.099999999999994</v>
      </c>
      <c r="DD150" s="100">
        <v>76.099999999999994</v>
      </c>
      <c r="DE150" s="100">
        <v>76.099999999999994</v>
      </c>
      <c r="DF150" s="100">
        <v>75.8</v>
      </c>
      <c r="DG150" s="100">
        <v>76.099999999999994</v>
      </c>
      <c r="DH150" s="100">
        <v>76</v>
      </c>
      <c r="DI150" s="100">
        <v>75.900000000000006</v>
      </c>
      <c r="DJ150" s="100">
        <v>76</v>
      </c>
      <c r="DK150" s="100">
        <v>76.2</v>
      </c>
      <c r="DL150" s="100">
        <v>76.3</v>
      </c>
      <c r="DM150" s="100">
        <v>76.5</v>
      </c>
      <c r="DN150" s="100">
        <v>76.5</v>
      </c>
      <c r="DO150" s="100">
        <v>76.599999999999994</v>
      </c>
      <c r="DP150" s="105">
        <v>76.313000928204573</v>
      </c>
      <c r="DQ150" s="105">
        <v>75.959805579063001</v>
      </c>
      <c r="DR150" s="100">
        <v>75.841800029272491</v>
      </c>
      <c r="DS150" s="100">
        <v>75.748394873159526</v>
      </c>
      <c r="DT150" s="100">
        <v>75.625159512623981</v>
      </c>
      <c r="DU150" s="100">
        <v>75.37042605160768</v>
      </c>
      <c r="DV150" s="100">
        <v>75.032893557475006</v>
      </c>
      <c r="DW150" s="100">
        <v>74.935643921654574</v>
      </c>
      <c r="DX150" s="103">
        <v>74.948703090707326</v>
      </c>
      <c r="DY150" s="100">
        <v>74.653900168755683</v>
      </c>
      <c r="DZ150" s="100">
        <v>74.610039835289143</v>
      </c>
      <c r="EA150" s="100">
        <v>74.720603037952714</v>
      </c>
      <c r="EB150" s="100">
        <v>74.724822795561209</v>
      </c>
      <c r="EC150" s="100">
        <v>74.739527457943169</v>
      </c>
      <c r="ED150" s="100">
        <v>74.804888625445315</v>
      </c>
      <c r="EE150" s="100">
        <v>75.072312566809956</v>
      </c>
      <c r="EF150" s="100">
        <v>75.221202935474935</v>
      </c>
      <c r="EG150" s="100">
        <v>75.304370541135796</v>
      </c>
      <c r="EH150" s="100">
        <v>75.426778815565953</v>
      </c>
      <c r="EI150" s="100">
        <v>75.461811609719291</v>
      </c>
      <c r="EJ150" s="102">
        <v>75.5</v>
      </c>
      <c r="EK150" s="100"/>
      <c r="EL150" s="100"/>
      <c r="EM150" s="100"/>
      <c r="EN150" s="100"/>
      <c r="EO150" s="100"/>
      <c r="EP150" s="100"/>
      <c r="EQ150" s="106"/>
      <c r="ER150" s="106"/>
      <c r="ES150" s="106"/>
      <c r="ET150" s="106"/>
      <c r="EU150" s="106"/>
      <c r="EV150" s="106"/>
      <c r="EW150" s="106"/>
      <c r="EX150" s="106"/>
      <c r="EY150" s="106"/>
      <c r="EZ150" s="106"/>
      <c r="FA150" s="106"/>
      <c r="FB150" s="106"/>
      <c r="FC150" s="106"/>
      <c r="FD150" s="106"/>
      <c r="FE150" s="106"/>
      <c r="FF150" s="106"/>
      <c r="FG150" s="106"/>
      <c r="FH150" s="106"/>
      <c r="FI150" s="106"/>
      <c r="FJ150" s="106"/>
      <c r="FK150" s="106"/>
      <c r="FL150" s="106"/>
      <c r="FM150" s="106"/>
      <c r="FN150" s="106"/>
      <c r="FO150" s="106"/>
      <c r="FP150" s="106"/>
      <c r="FQ150" s="106"/>
      <c r="FR150" s="106"/>
      <c r="FS150" s="106"/>
      <c r="FT150" s="106"/>
      <c r="FU150" s="106"/>
      <c r="FV150" s="106"/>
      <c r="FW150" s="106"/>
      <c r="FX150" s="106"/>
      <c r="FY150" s="106"/>
      <c r="FZ150" s="106"/>
      <c r="GA150" s="106"/>
      <c r="GB150" s="106"/>
      <c r="GC150" s="106"/>
      <c r="GD150" s="106"/>
      <c r="GE150" s="106"/>
      <c r="GF150" s="106"/>
      <c r="GG150" s="159"/>
    </row>
    <row r="151" spans="2:189" x14ac:dyDescent="0.2">
      <c r="B151" s="97">
        <v>44593</v>
      </c>
      <c r="C151" s="100">
        <v>70.400000000000006</v>
      </c>
      <c r="D151" s="100">
        <v>70.599999999999994</v>
      </c>
      <c r="E151" s="100">
        <v>70.599999999999994</v>
      </c>
      <c r="F151" s="100">
        <v>70.7</v>
      </c>
      <c r="G151" s="100">
        <v>70.5</v>
      </c>
      <c r="H151" s="100">
        <v>70.3</v>
      </c>
      <c r="I151" s="100">
        <v>70.400000000000006</v>
      </c>
      <c r="J151" s="100">
        <v>70.5</v>
      </c>
      <c r="K151" s="100">
        <v>70.599999999999994</v>
      </c>
      <c r="L151" s="100">
        <v>70.5</v>
      </c>
      <c r="M151" s="100">
        <v>70.5</v>
      </c>
      <c r="N151" s="100">
        <v>70.5</v>
      </c>
      <c r="O151" s="100">
        <v>70.5</v>
      </c>
      <c r="P151" s="100">
        <v>70.2</v>
      </c>
      <c r="Q151" s="100">
        <v>70.2</v>
      </c>
      <c r="R151" s="100">
        <v>70.099999999999994</v>
      </c>
      <c r="S151" s="100">
        <v>70.099999999999994</v>
      </c>
      <c r="T151" s="100">
        <v>70.099999999999994</v>
      </c>
      <c r="U151" s="100">
        <v>70.2</v>
      </c>
      <c r="V151" s="100">
        <v>70.2</v>
      </c>
      <c r="W151" s="100">
        <v>70.3</v>
      </c>
      <c r="X151" s="100">
        <v>70.5</v>
      </c>
      <c r="Y151" s="100">
        <v>70.5</v>
      </c>
      <c r="Z151" s="100">
        <v>70.7</v>
      </c>
      <c r="AA151" s="100">
        <v>70.900000000000006</v>
      </c>
      <c r="AB151" s="100">
        <v>71.099999999999994</v>
      </c>
      <c r="AC151" s="100">
        <v>71.2</v>
      </c>
      <c r="AD151" s="100">
        <v>71.099999999999994</v>
      </c>
      <c r="AE151" s="100">
        <v>71.099999999999994</v>
      </c>
      <c r="AF151" s="100">
        <v>71.3</v>
      </c>
      <c r="AG151" s="100">
        <v>71.400000000000006</v>
      </c>
      <c r="AH151" s="100">
        <v>71.400000000000006</v>
      </c>
      <c r="AI151" s="100">
        <v>71.2</v>
      </c>
      <c r="AJ151" s="100">
        <v>71.2</v>
      </c>
      <c r="AK151" s="100">
        <v>71.2</v>
      </c>
      <c r="AL151" s="100">
        <v>71.2</v>
      </c>
      <c r="AM151" s="100">
        <v>71.3</v>
      </c>
      <c r="AN151" s="100">
        <v>71.5</v>
      </c>
      <c r="AO151" s="100">
        <v>71.5</v>
      </c>
      <c r="AP151" s="100">
        <v>71.7</v>
      </c>
      <c r="AQ151" s="100">
        <v>71.900000000000006</v>
      </c>
      <c r="AR151" s="100">
        <v>72</v>
      </c>
      <c r="AS151" s="100">
        <v>72</v>
      </c>
      <c r="AT151" s="100">
        <v>72.099999999999994</v>
      </c>
      <c r="AU151" s="100">
        <v>72.400000000000006</v>
      </c>
      <c r="AV151" s="100">
        <v>72.5</v>
      </c>
      <c r="AW151" s="100">
        <v>72.7</v>
      </c>
      <c r="AX151" s="100">
        <v>72.900000000000006</v>
      </c>
      <c r="AY151" s="100">
        <v>72.8</v>
      </c>
      <c r="AZ151" s="100">
        <v>72.8</v>
      </c>
      <c r="BA151" s="100">
        <v>73</v>
      </c>
      <c r="BB151" s="100">
        <v>73</v>
      </c>
      <c r="BC151" s="100">
        <v>73</v>
      </c>
      <c r="BD151" s="100">
        <v>73</v>
      </c>
      <c r="BE151" s="100">
        <v>73.2</v>
      </c>
      <c r="BF151" s="100">
        <v>73.3</v>
      </c>
      <c r="BG151" s="100">
        <v>73.400000000000006</v>
      </c>
      <c r="BH151" s="100">
        <v>73.400000000000006</v>
      </c>
      <c r="BI151" s="100">
        <v>73.400000000000006</v>
      </c>
      <c r="BJ151" s="100">
        <v>73.3</v>
      </c>
      <c r="BK151" s="100">
        <v>73.400000000000006</v>
      </c>
      <c r="BL151" s="100">
        <v>73.5</v>
      </c>
      <c r="BM151" s="100">
        <v>73.599999999999994</v>
      </c>
      <c r="BN151" s="100">
        <v>73.8</v>
      </c>
      <c r="BO151" s="100">
        <v>74</v>
      </c>
      <c r="BP151" s="100">
        <v>74</v>
      </c>
      <c r="BQ151" s="100">
        <v>74.099999999999994</v>
      </c>
      <c r="BR151" s="100">
        <v>74.099999999999994</v>
      </c>
      <c r="BS151" s="100">
        <v>74.099999999999994</v>
      </c>
      <c r="BT151" s="100">
        <v>74.099999999999994</v>
      </c>
      <c r="BU151" s="100">
        <v>74.2</v>
      </c>
      <c r="BV151" s="100">
        <v>74.400000000000006</v>
      </c>
      <c r="BW151" s="100">
        <v>74.400000000000006</v>
      </c>
      <c r="BX151" s="100">
        <v>74.5</v>
      </c>
      <c r="BY151" s="100">
        <v>74.5</v>
      </c>
      <c r="BZ151" s="100">
        <v>74.400000000000006</v>
      </c>
      <c r="CA151" s="100">
        <v>74.400000000000006</v>
      </c>
      <c r="CB151" s="100">
        <v>74.400000000000006</v>
      </c>
      <c r="CC151" s="100">
        <v>74.599999999999994</v>
      </c>
      <c r="CD151" s="100">
        <v>74.5</v>
      </c>
      <c r="CE151" s="100">
        <v>74.599999999999994</v>
      </c>
      <c r="CF151" s="100">
        <v>74.8</v>
      </c>
      <c r="CG151" s="100">
        <v>74.8</v>
      </c>
      <c r="CH151" s="100">
        <v>74.900000000000006</v>
      </c>
      <c r="CI151" s="100">
        <v>75.099999999999994</v>
      </c>
      <c r="CJ151" s="100">
        <v>75.3</v>
      </c>
      <c r="CK151" s="100">
        <v>75.099999999999994</v>
      </c>
      <c r="CL151" s="100">
        <v>75</v>
      </c>
      <c r="CM151" s="100">
        <v>75.099999999999994</v>
      </c>
      <c r="CN151" s="100">
        <v>75.3</v>
      </c>
      <c r="CO151" s="100">
        <v>75.2</v>
      </c>
      <c r="CP151" s="100">
        <v>75.3</v>
      </c>
      <c r="CQ151" s="100">
        <v>75.400000000000006</v>
      </c>
      <c r="CR151" s="100">
        <v>75.599999999999994</v>
      </c>
      <c r="CS151" s="100">
        <v>75.599999999999994</v>
      </c>
      <c r="CT151" s="100">
        <v>75.599999999999994</v>
      </c>
      <c r="CU151" s="100">
        <v>75.5</v>
      </c>
      <c r="CV151" s="100">
        <v>75.5</v>
      </c>
      <c r="CW151" s="100">
        <v>75.599999999999994</v>
      </c>
      <c r="CX151" s="100">
        <v>75.599999999999994</v>
      </c>
      <c r="CY151" s="100">
        <v>75.7</v>
      </c>
      <c r="CZ151" s="100">
        <v>75.8</v>
      </c>
      <c r="DA151" s="100">
        <v>75.8</v>
      </c>
      <c r="DB151" s="100">
        <v>76.099999999999994</v>
      </c>
      <c r="DC151" s="100">
        <v>76.099999999999994</v>
      </c>
      <c r="DD151" s="100">
        <v>76.099999999999994</v>
      </c>
      <c r="DE151" s="100">
        <v>76.099999999999994</v>
      </c>
      <c r="DF151" s="100">
        <v>75.8</v>
      </c>
      <c r="DG151" s="100">
        <v>76.099999999999994</v>
      </c>
      <c r="DH151" s="100">
        <v>76</v>
      </c>
      <c r="DI151" s="100">
        <v>75.900000000000006</v>
      </c>
      <c r="DJ151" s="100">
        <v>76</v>
      </c>
      <c r="DK151" s="100">
        <v>76.2</v>
      </c>
      <c r="DL151" s="100">
        <v>76.3</v>
      </c>
      <c r="DM151" s="100">
        <v>76.5</v>
      </c>
      <c r="DN151" s="100">
        <v>76.5</v>
      </c>
      <c r="DO151" s="100">
        <v>76.599999999999994</v>
      </c>
      <c r="DP151" s="105">
        <v>76.313000928204573</v>
      </c>
      <c r="DQ151" s="105">
        <v>75.959805579063001</v>
      </c>
      <c r="DR151" s="100">
        <v>75.841800029272491</v>
      </c>
      <c r="DS151" s="100">
        <v>75.748394873159526</v>
      </c>
      <c r="DT151" s="100">
        <v>75.625159512623981</v>
      </c>
      <c r="DU151" s="100">
        <v>75.37042605160768</v>
      </c>
      <c r="DV151" s="100">
        <v>75.032893557475006</v>
      </c>
      <c r="DW151" s="100">
        <v>74.935643921654574</v>
      </c>
      <c r="DX151" s="100">
        <v>74.948703090707326</v>
      </c>
      <c r="DY151" s="103">
        <v>74.653900168755683</v>
      </c>
      <c r="DZ151" s="100">
        <v>74.610039835289143</v>
      </c>
      <c r="EA151" s="100">
        <v>74.720603037952714</v>
      </c>
      <c r="EB151" s="100">
        <v>74.724822795561209</v>
      </c>
      <c r="EC151" s="100">
        <v>74.739527457943169</v>
      </c>
      <c r="ED151" s="100">
        <v>74.804888625445315</v>
      </c>
      <c r="EE151" s="100">
        <v>75.072312566809956</v>
      </c>
      <c r="EF151" s="100">
        <v>75.221202935474935</v>
      </c>
      <c r="EG151" s="100">
        <v>75.304370541135796</v>
      </c>
      <c r="EH151" s="100">
        <v>75.426778815565953</v>
      </c>
      <c r="EI151" s="100">
        <v>75.461811609719291</v>
      </c>
      <c r="EJ151" s="100">
        <v>75.5</v>
      </c>
      <c r="EK151" s="102">
        <v>75.5</v>
      </c>
      <c r="EL151" s="100"/>
      <c r="EM151" s="100"/>
      <c r="EN151" s="100"/>
      <c r="EO151" s="100"/>
      <c r="EP151" s="100"/>
      <c r="EQ151" s="106"/>
      <c r="ER151" s="106"/>
      <c r="ES151" s="106"/>
      <c r="ET151" s="106"/>
      <c r="EU151" s="106"/>
      <c r="EV151" s="106"/>
      <c r="EW151" s="106"/>
      <c r="EX151" s="106"/>
      <c r="EY151" s="106"/>
      <c r="EZ151" s="106"/>
      <c r="FA151" s="106"/>
      <c r="FB151" s="106"/>
      <c r="FC151" s="106"/>
      <c r="FD151" s="106"/>
      <c r="FE151" s="106"/>
      <c r="FF151" s="106"/>
      <c r="FG151" s="106"/>
      <c r="FH151" s="106"/>
      <c r="FI151" s="106"/>
      <c r="FJ151" s="106"/>
      <c r="FK151" s="106"/>
      <c r="FL151" s="106"/>
      <c r="FM151" s="106"/>
      <c r="FN151" s="106"/>
      <c r="FO151" s="106"/>
      <c r="FP151" s="106"/>
      <c r="FQ151" s="106"/>
      <c r="FR151" s="106"/>
      <c r="FS151" s="106"/>
      <c r="FT151" s="106"/>
      <c r="FU151" s="106"/>
      <c r="FV151" s="106"/>
      <c r="FW151" s="106"/>
      <c r="FX151" s="106"/>
      <c r="FY151" s="106"/>
      <c r="FZ151" s="106"/>
      <c r="GA151" s="106"/>
      <c r="GB151" s="106"/>
      <c r="GC151" s="106"/>
      <c r="GD151" s="106"/>
      <c r="GE151" s="106"/>
      <c r="GF151" s="106"/>
      <c r="GG151" s="159"/>
    </row>
    <row r="152" spans="2:189" x14ac:dyDescent="0.2">
      <c r="B152" s="97">
        <v>44621</v>
      </c>
      <c r="C152" s="100">
        <v>70.400000000000006</v>
      </c>
      <c r="D152" s="100">
        <v>70.599999999999994</v>
      </c>
      <c r="E152" s="100">
        <v>70.599999999999994</v>
      </c>
      <c r="F152" s="100">
        <v>70.7</v>
      </c>
      <c r="G152" s="100">
        <v>70.5</v>
      </c>
      <c r="H152" s="100">
        <v>70.3</v>
      </c>
      <c r="I152" s="100">
        <v>70.400000000000006</v>
      </c>
      <c r="J152" s="100">
        <v>70.5</v>
      </c>
      <c r="K152" s="100">
        <v>70.599999999999994</v>
      </c>
      <c r="L152" s="100">
        <v>70.5</v>
      </c>
      <c r="M152" s="100">
        <v>70.5</v>
      </c>
      <c r="N152" s="100">
        <v>70.5</v>
      </c>
      <c r="O152" s="100">
        <v>70.5</v>
      </c>
      <c r="P152" s="100">
        <v>70.2</v>
      </c>
      <c r="Q152" s="100">
        <v>70.2</v>
      </c>
      <c r="R152" s="100">
        <v>70.099999999999994</v>
      </c>
      <c r="S152" s="100">
        <v>70.099999999999994</v>
      </c>
      <c r="T152" s="100">
        <v>70.099999999999994</v>
      </c>
      <c r="U152" s="100">
        <v>70.2</v>
      </c>
      <c r="V152" s="100">
        <v>70.2</v>
      </c>
      <c r="W152" s="100">
        <v>70.3</v>
      </c>
      <c r="X152" s="100">
        <v>70.5</v>
      </c>
      <c r="Y152" s="100">
        <v>70.5</v>
      </c>
      <c r="Z152" s="100">
        <v>70.7</v>
      </c>
      <c r="AA152" s="100">
        <v>70.900000000000006</v>
      </c>
      <c r="AB152" s="100">
        <v>71.099999999999994</v>
      </c>
      <c r="AC152" s="100">
        <v>71.2</v>
      </c>
      <c r="AD152" s="100">
        <v>71.099999999999994</v>
      </c>
      <c r="AE152" s="100">
        <v>71.099999999999994</v>
      </c>
      <c r="AF152" s="100">
        <v>71.3</v>
      </c>
      <c r="AG152" s="100">
        <v>71.400000000000006</v>
      </c>
      <c r="AH152" s="100">
        <v>71.400000000000006</v>
      </c>
      <c r="AI152" s="100">
        <v>71.2</v>
      </c>
      <c r="AJ152" s="100">
        <v>71.2</v>
      </c>
      <c r="AK152" s="100">
        <v>71.2</v>
      </c>
      <c r="AL152" s="100">
        <v>71.2</v>
      </c>
      <c r="AM152" s="100">
        <v>71.3</v>
      </c>
      <c r="AN152" s="100">
        <v>71.5</v>
      </c>
      <c r="AO152" s="100">
        <v>71.5</v>
      </c>
      <c r="AP152" s="100">
        <v>71.7</v>
      </c>
      <c r="AQ152" s="100">
        <v>71.900000000000006</v>
      </c>
      <c r="AR152" s="100">
        <v>72</v>
      </c>
      <c r="AS152" s="100">
        <v>72</v>
      </c>
      <c r="AT152" s="100">
        <v>72.099999999999994</v>
      </c>
      <c r="AU152" s="100">
        <v>72.400000000000006</v>
      </c>
      <c r="AV152" s="100">
        <v>72.5</v>
      </c>
      <c r="AW152" s="100">
        <v>72.7</v>
      </c>
      <c r="AX152" s="100">
        <v>72.900000000000006</v>
      </c>
      <c r="AY152" s="100">
        <v>72.8</v>
      </c>
      <c r="AZ152" s="100">
        <v>72.8</v>
      </c>
      <c r="BA152" s="100">
        <v>73</v>
      </c>
      <c r="BB152" s="100">
        <v>73</v>
      </c>
      <c r="BC152" s="100">
        <v>73</v>
      </c>
      <c r="BD152" s="100">
        <v>73</v>
      </c>
      <c r="BE152" s="100">
        <v>73.2</v>
      </c>
      <c r="BF152" s="100">
        <v>73.3</v>
      </c>
      <c r="BG152" s="100">
        <v>73.400000000000006</v>
      </c>
      <c r="BH152" s="100">
        <v>73.400000000000006</v>
      </c>
      <c r="BI152" s="100">
        <v>73.400000000000006</v>
      </c>
      <c r="BJ152" s="100">
        <v>73.3</v>
      </c>
      <c r="BK152" s="100">
        <v>73.400000000000006</v>
      </c>
      <c r="BL152" s="100">
        <v>73.5</v>
      </c>
      <c r="BM152" s="100">
        <v>73.599999999999994</v>
      </c>
      <c r="BN152" s="100">
        <v>73.8</v>
      </c>
      <c r="BO152" s="100">
        <v>74</v>
      </c>
      <c r="BP152" s="100">
        <v>74</v>
      </c>
      <c r="BQ152" s="100">
        <v>74.099999999999994</v>
      </c>
      <c r="BR152" s="100">
        <v>74.099999999999994</v>
      </c>
      <c r="BS152" s="100">
        <v>74.099999999999994</v>
      </c>
      <c r="BT152" s="100">
        <v>74.099999999999994</v>
      </c>
      <c r="BU152" s="100">
        <v>74.2</v>
      </c>
      <c r="BV152" s="100">
        <v>74.400000000000006</v>
      </c>
      <c r="BW152" s="100">
        <v>74.400000000000006</v>
      </c>
      <c r="BX152" s="100">
        <v>74.5</v>
      </c>
      <c r="BY152" s="100">
        <v>74.5</v>
      </c>
      <c r="BZ152" s="100">
        <v>74.400000000000006</v>
      </c>
      <c r="CA152" s="100">
        <v>74.400000000000006</v>
      </c>
      <c r="CB152" s="100">
        <v>74.400000000000006</v>
      </c>
      <c r="CC152" s="100">
        <v>74.599999999999994</v>
      </c>
      <c r="CD152" s="100">
        <v>74.5</v>
      </c>
      <c r="CE152" s="100">
        <v>74.599999999999994</v>
      </c>
      <c r="CF152" s="100">
        <v>74.8</v>
      </c>
      <c r="CG152" s="100">
        <v>74.8</v>
      </c>
      <c r="CH152" s="100">
        <v>74.900000000000006</v>
      </c>
      <c r="CI152" s="100">
        <v>75.099999999999994</v>
      </c>
      <c r="CJ152" s="100">
        <v>75.3</v>
      </c>
      <c r="CK152" s="100">
        <v>75.099999999999994</v>
      </c>
      <c r="CL152" s="100">
        <v>75</v>
      </c>
      <c r="CM152" s="100">
        <v>75.099999999999994</v>
      </c>
      <c r="CN152" s="100">
        <v>75.3</v>
      </c>
      <c r="CO152" s="100">
        <v>75.2</v>
      </c>
      <c r="CP152" s="100">
        <v>75.3</v>
      </c>
      <c r="CQ152" s="100">
        <v>75.400000000000006</v>
      </c>
      <c r="CR152" s="100">
        <v>75.599999999999994</v>
      </c>
      <c r="CS152" s="100">
        <v>75.599999999999994</v>
      </c>
      <c r="CT152" s="100">
        <v>75.599999999999994</v>
      </c>
      <c r="CU152" s="100">
        <v>75.5</v>
      </c>
      <c r="CV152" s="100">
        <v>75.5</v>
      </c>
      <c r="CW152" s="100">
        <v>75.599999999999994</v>
      </c>
      <c r="CX152" s="100">
        <v>75.599999999999994</v>
      </c>
      <c r="CY152" s="100">
        <v>75.7</v>
      </c>
      <c r="CZ152" s="100">
        <v>75.8</v>
      </c>
      <c r="DA152" s="100">
        <v>75.8</v>
      </c>
      <c r="DB152" s="100">
        <v>76.099999999999994</v>
      </c>
      <c r="DC152" s="100">
        <v>76.099999999999994</v>
      </c>
      <c r="DD152" s="100">
        <v>76.099999999999994</v>
      </c>
      <c r="DE152" s="100">
        <v>76.099999999999994</v>
      </c>
      <c r="DF152" s="100">
        <v>75.8</v>
      </c>
      <c r="DG152" s="100">
        <v>76.099999999999994</v>
      </c>
      <c r="DH152" s="100">
        <v>76</v>
      </c>
      <c r="DI152" s="100">
        <v>75.900000000000006</v>
      </c>
      <c r="DJ152" s="100">
        <v>76</v>
      </c>
      <c r="DK152" s="100">
        <v>76.2</v>
      </c>
      <c r="DL152" s="100">
        <v>76.3</v>
      </c>
      <c r="DM152" s="100">
        <v>76.5</v>
      </c>
      <c r="DN152" s="100">
        <v>76.5</v>
      </c>
      <c r="DO152" s="100">
        <v>76.599999999999994</v>
      </c>
      <c r="DP152" s="105">
        <v>76.313000928204573</v>
      </c>
      <c r="DQ152" s="105">
        <v>75.959805579063001</v>
      </c>
      <c r="DR152" s="100">
        <v>75.841800029272491</v>
      </c>
      <c r="DS152" s="100">
        <v>75.748394873159526</v>
      </c>
      <c r="DT152" s="100">
        <v>75.625159512623981</v>
      </c>
      <c r="DU152" s="100">
        <v>75.37042605160768</v>
      </c>
      <c r="DV152" s="100">
        <v>75.032893557475006</v>
      </c>
      <c r="DW152" s="100">
        <v>74.935643921654574</v>
      </c>
      <c r="DX152" s="100">
        <v>74.948703090707326</v>
      </c>
      <c r="DY152" s="100">
        <v>74.653900168755683</v>
      </c>
      <c r="DZ152" s="103">
        <v>74.610039835289143</v>
      </c>
      <c r="EA152" s="100">
        <v>74.720603037952714</v>
      </c>
      <c r="EB152" s="100">
        <v>74.724822795561209</v>
      </c>
      <c r="EC152" s="100">
        <v>74.739527457943169</v>
      </c>
      <c r="ED152" s="100">
        <v>74.804888625445315</v>
      </c>
      <c r="EE152" s="100">
        <v>75.072312566809956</v>
      </c>
      <c r="EF152" s="100">
        <v>75.221202935474935</v>
      </c>
      <c r="EG152" s="100">
        <v>75.304370541135796</v>
      </c>
      <c r="EH152" s="100">
        <v>75.426778815565953</v>
      </c>
      <c r="EI152" s="100">
        <v>75.461811609719291</v>
      </c>
      <c r="EJ152" s="100">
        <v>75.5</v>
      </c>
      <c r="EK152" s="100">
        <v>75.5</v>
      </c>
      <c r="EL152" s="102">
        <v>75.599999999999994</v>
      </c>
      <c r="EM152" s="100"/>
      <c r="EN152" s="100"/>
      <c r="EO152" s="100"/>
      <c r="EP152" s="100"/>
      <c r="EQ152" s="106"/>
      <c r="ER152" s="106"/>
      <c r="ES152" s="106"/>
      <c r="ET152" s="106"/>
      <c r="EU152" s="106"/>
      <c r="EV152" s="106"/>
      <c r="EW152" s="106"/>
      <c r="EX152" s="106"/>
      <c r="EY152" s="106"/>
      <c r="EZ152" s="106"/>
      <c r="FA152" s="106"/>
      <c r="FB152" s="106"/>
      <c r="FC152" s="106"/>
      <c r="FD152" s="106"/>
      <c r="FE152" s="106"/>
      <c r="FF152" s="106"/>
      <c r="FG152" s="106"/>
      <c r="FH152" s="106"/>
      <c r="FI152" s="106"/>
      <c r="FJ152" s="106"/>
      <c r="FK152" s="106"/>
      <c r="FL152" s="106"/>
      <c r="FM152" s="106"/>
      <c r="FN152" s="106"/>
      <c r="FO152" s="106"/>
      <c r="FP152" s="106"/>
      <c r="FQ152" s="106"/>
      <c r="FR152" s="106"/>
      <c r="FS152" s="106"/>
      <c r="FT152" s="106"/>
      <c r="FU152" s="106"/>
      <c r="FV152" s="106"/>
      <c r="FW152" s="106"/>
      <c r="FX152" s="106"/>
      <c r="FY152" s="106"/>
      <c r="FZ152" s="106"/>
      <c r="GA152" s="106"/>
      <c r="GB152" s="106"/>
      <c r="GC152" s="106"/>
      <c r="GD152" s="106"/>
      <c r="GE152" s="106"/>
      <c r="GF152" s="106"/>
      <c r="GG152" s="159"/>
    </row>
    <row r="153" spans="2:189" x14ac:dyDescent="0.2">
      <c r="B153" s="97">
        <v>44652</v>
      </c>
      <c r="C153" s="100">
        <v>70.400000000000006</v>
      </c>
      <c r="D153" s="100">
        <v>70.599999999999994</v>
      </c>
      <c r="E153" s="100">
        <v>70.599999999999994</v>
      </c>
      <c r="F153" s="100">
        <v>70.7</v>
      </c>
      <c r="G153" s="100">
        <v>70.5</v>
      </c>
      <c r="H153" s="100">
        <v>70.3</v>
      </c>
      <c r="I153" s="100">
        <v>70.400000000000006</v>
      </c>
      <c r="J153" s="100">
        <v>70.5</v>
      </c>
      <c r="K153" s="100">
        <v>70.599999999999994</v>
      </c>
      <c r="L153" s="100">
        <v>70.5</v>
      </c>
      <c r="M153" s="100">
        <v>70.5</v>
      </c>
      <c r="N153" s="100">
        <v>70.5</v>
      </c>
      <c r="O153" s="100">
        <v>70.5</v>
      </c>
      <c r="P153" s="100">
        <v>70.2</v>
      </c>
      <c r="Q153" s="100">
        <v>70.2</v>
      </c>
      <c r="R153" s="100">
        <v>70.099999999999994</v>
      </c>
      <c r="S153" s="100">
        <v>70.099999999999994</v>
      </c>
      <c r="T153" s="100">
        <v>70.099999999999994</v>
      </c>
      <c r="U153" s="100">
        <v>70.2</v>
      </c>
      <c r="V153" s="100">
        <v>70.2</v>
      </c>
      <c r="W153" s="100">
        <v>70.3</v>
      </c>
      <c r="X153" s="100">
        <v>70.5</v>
      </c>
      <c r="Y153" s="100">
        <v>70.5</v>
      </c>
      <c r="Z153" s="100">
        <v>70.7</v>
      </c>
      <c r="AA153" s="100">
        <v>70.900000000000006</v>
      </c>
      <c r="AB153" s="100">
        <v>71.099999999999994</v>
      </c>
      <c r="AC153" s="100">
        <v>71.2</v>
      </c>
      <c r="AD153" s="100">
        <v>71.099999999999994</v>
      </c>
      <c r="AE153" s="100">
        <v>71.099999999999994</v>
      </c>
      <c r="AF153" s="100">
        <v>71.3</v>
      </c>
      <c r="AG153" s="100">
        <v>71.400000000000006</v>
      </c>
      <c r="AH153" s="100">
        <v>71.400000000000006</v>
      </c>
      <c r="AI153" s="100">
        <v>71.2</v>
      </c>
      <c r="AJ153" s="100">
        <v>71.2</v>
      </c>
      <c r="AK153" s="100">
        <v>71.2</v>
      </c>
      <c r="AL153" s="100">
        <v>71.2</v>
      </c>
      <c r="AM153" s="100">
        <v>71.3</v>
      </c>
      <c r="AN153" s="100">
        <v>71.5</v>
      </c>
      <c r="AO153" s="100">
        <v>71.5</v>
      </c>
      <c r="AP153" s="100">
        <v>71.7</v>
      </c>
      <c r="AQ153" s="100">
        <v>71.900000000000006</v>
      </c>
      <c r="AR153" s="100">
        <v>72</v>
      </c>
      <c r="AS153" s="100">
        <v>72</v>
      </c>
      <c r="AT153" s="100">
        <v>72.099999999999994</v>
      </c>
      <c r="AU153" s="100">
        <v>72.400000000000006</v>
      </c>
      <c r="AV153" s="100">
        <v>72.5</v>
      </c>
      <c r="AW153" s="100">
        <v>72.7</v>
      </c>
      <c r="AX153" s="100">
        <v>72.900000000000006</v>
      </c>
      <c r="AY153" s="100">
        <v>72.8</v>
      </c>
      <c r="AZ153" s="100">
        <v>72.8</v>
      </c>
      <c r="BA153" s="100">
        <v>73</v>
      </c>
      <c r="BB153" s="100">
        <v>73</v>
      </c>
      <c r="BC153" s="100">
        <v>73</v>
      </c>
      <c r="BD153" s="100">
        <v>73</v>
      </c>
      <c r="BE153" s="100">
        <v>73.2</v>
      </c>
      <c r="BF153" s="100">
        <v>73.3</v>
      </c>
      <c r="BG153" s="100">
        <v>73.400000000000006</v>
      </c>
      <c r="BH153" s="100">
        <v>73.400000000000006</v>
      </c>
      <c r="BI153" s="100">
        <v>73.400000000000006</v>
      </c>
      <c r="BJ153" s="100">
        <v>73.3</v>
      </c>
      <c r="BK153" s="100">
        <v>73.400000000000006</v>
      </c>
      <c r="BL153" s="100">
        <v>73.5</v>
      </c>
      <c r="BM153" s="100">
        <v>73.599999999999994</v>
      </c>
      <c r="BN153" s="100">
        <v>73.8</v>
      </c>
      <c r="BO153" s="100">
        <v>74</v>
      </c>
      <c r="BP153" s="100">
        <v>74</v>
      </c>
      <c r="BQ153" s="100">
        <v>74.099999999999994</v>
      </c>
      <c r="BR153" s="100">
        <v>74.099999999999994</v>
      </c>
      <c r="BS153" s="100">
        <v>74.099999999999994</v>
      </c>
      <c r="BT153" s="100">
        <v>74.099999999999994</v>
      </c>
      <c r="BU153" s="100">
        <v>74.2</v>
      </c>
      <c r="BV153" s="100">
        <v>74.400000000000006</v>
      </c>
      <c r="BW153" s="100">
        <v>74.400000000000006</v>
      </c>
      <c r="BX153" s="100">
        <v>74.5</v>
      </c>
      <c r="BY153" s="100">
        <v>74.5</v>
      </c>
      <c r="BZ153" s="100">
        <v>74.400000000000006</v>
      </c>
      <c r="CA153" s="100">
        <v>74.400000000000006</v>
      </c>
      <c r="CB153" s="100">
        <v>74.400000000000006</v>
      </c>
      <c r="CC153" s="100">
        <v>74.599999999999994</v>
      </c>
      <c r="CD153" s="100">
        <v>74.5</v>
      </c>
      <c r="CE153" s="100">
        <v>74.599999999999994</v>
      </c>
      <c r="CF153" s="100">
        <v>74.8</v>
      </c>
      <c r="CG153" s="100">
        <v>74.8</v>
      </c>
      <c r="CH153" s="100">
        <v>74.900000000000006</v>
      </c>
      <c r="CI153" s="100">
        <v>75.099999999999994</v>
      </c>
      <c r="CJ153" s="100">
        <v>75.3</v>
      </c>
      <c r="CK153" s="100">
        <v>75.099999999999994</v>
      </c>
      <c r="CL153" s="100">
        <v>75</v>
      </c>
      <c r="CM153" s="100">
        <v>75.099999999999994</v>
      </c>
      <c r="CN153" s="100">
        <v>75.3</v>
      </c>
      <c r="CO153" s="100">
        <v>75.2</v>
      </c>
      <c r="CP153" s="100">
        <v>75.3</v>
      </c>
      <c r="CQ153" s="100">
        <v>75.400000000000006</v>
      </c>
      <c r="CR153" s="100">
        <v>75.599999999999994</v>
      </c>
      <c r="CS153" s="100">
        <v>75.599999999999994</v>
      </c>
      <c r="CT153" s="100">
        <v>75.599999999999994</v>
      </c>
      <c r="CU153" s="100">
        <v>75.5</v>
      </c>
      <c r="CV153" s="100">
        <v>75.5</v>
      </c>
      <c r="CW153" s="100">
        <v>75.599999999999994</v>
      </c>
      <c r="CX153" s="100">
        <v>75.599999999999994</v>
      </c>
      <c r="CY153" s="100">
        <v>75.7</v>
      </c>
      <c r="CZ153" s="100">
        <v>75.8</v>
      </c>
      <c r="DA153" s="100">
        <v>75.8</v>
      </c>
      <c r="DB153" s="100">
        <v>76.099999999999994</v>
      </c>
      <c r="DC153" s="100">
        <v>76.099999999999994</v>
      </c>
      <c r="DD153" s="100">
        <v>76.099999999999994</v>
      </c>
      <c r="DE153" s="100">
        <v>76.099999999999994</v>
      </c>
      <c r="DF153" s="100">
        <v>75.8</v>
      </c>
      <c r="DG153" s="100">
        <v>76.099999999999994</v>
      </c>
      <c r="DH153" s="100">
        <v>76</v>
      </c>
      <c r="DI153" s="100">
        <v>75.900000000000006</v>
      </c>
      <c r="DJ153" s="100">
        <v>76</v>
      </c>
      <c r="DK153" s="100">
        <v>76.2</v>
      </c>
      <c r="DL153" s="100">
        <v>76.3</v>
      </c>
      <c r="DM153" s="100">
        <v>76.5</v>
      </c>
      <c r="DN153" s="100">
        <v>76.5</v>
      </c>
      <c r="DO153" s="100">
        <v>76.599999999999994</v>
      </c>
      <c r="DP153" s="105">
        <v>76.313000928204573</v>
      </c>
      <c r="DQ153" s="105">
        <v>75.959805579063001</v>
      </c>
      <c r="DR153" s="100">
        <v>75.841800029272491</v>
      </c>
      <c r="DS153" s="100">
        <v>75.748394873159526</v>
      </c>
      <c r="DT153" s="100">
        <v>75.625159512623981</v>
      </c>
      <c r="DU153" s="100">
        <v>75.37042605160768</v>
      </c>
      <c r="DV153" s="100">
        <v>75.032893557475006</v>
      </c>
      <c r="DW153" s="100">
        <v>74.935643921654574</v>
      </c>
      <c r="DX153" s="100">
        <v>74.948703090707326</v>
      </c>
      <c r="DY153" s="100">
        <v>74.653900168755683</v>
      </c>
      <c r="DZ153" s="100">
        <v>74.610039835289143</v>
      </c>
      <c r="EA153" s="103">
        <v>74.720603037952714</v>
      </c>
      <c r="EB153" s="100">
        <v>74.724822795561209</v>
      </c>
      <c r="EC153" s="100">
        <v>74.739527457943169</v>
      </c>
      <c r="ED153" s="100">
        <v>74.804888625445315</v>
      </c>
      <c r="EE153" s="100">
        <v>75.072312566809956</v>
      </c>
      <c r="EF153" s="100">
        <v>75.221202935474935</v>
      </c>
      <c r="EG153" s="100">
        <v>75.304370541135796</v>
      </c>
      <c r="EH153" s="100">
        <v>75.426778815565953</v>
      </c>
      <c r="EI153" s="100">
        <v>75.461811609719291</v>
      </c>
      <c r="EJ153" s="100">
        <v>75.5</v>
      </c>
      <c r="EK153" s="100">
        <v>75.5</v>
      </c>
      <c r="EL153" s="100">
        <v>75.599999999999994</v>
      </c>
      <c r="EM153" s="102">
        <v>75.485512365979233</v>
      </c>
      <c r="EN153" s="100"/>
      <c r="EO153" s="100"/>
      <c r="EP153" s="100"/>
      <c r="EQ153" s="106"/>
      <c r="ER153" s="106"/>
      <c r="ES153" s="106"/>
      <c r="ET153" s="106"/>
      <c r="EU153" s="106"/>
      <c r="EV153" s="106"/>
      <c r="EW153" s="106"/>
      <c r="EX153" s="106"/>
      <c r="EY153" s="106"/>
      <c r="EZ153" s="106"/>
      <c r="FA153" s="106"/>
      <c r="FB153" s="106"/>
      <c r="FC153" s="106"/>
      <c r="FD153" s="106"/>
      <c r="FE153" s="106"/>
      <c r="FF153" s="106"/>
      <c r="FG153" s="106"/>
      <c r="FH153" s="106"/>
      <c r="FI153" s="106"/>
      <c r="FJ153" s="106"/>
      <c r="FK153" s="106"/>
      <c r="FL153" s="106"/>
      <c r="FM153" s="106"/>
      <c r="FN153" s="106"/>
      <c r="FO153" s="106"/>
      <c r="FP153" s="106"/>
      <c r="FQ153" s="106"/>
      <c r="FR153" s="106"/>
      <c r="FS153" s="106"/>
      <c r="FT153" s="106"/>
      <c r="FU153" s="106"/>
      <c r="FV153" s="106"/>
      <c r="FW153" s="106"/>
      <c r="FX153" s="106"/>
      <c r="FY153" s="106"/>
      <c r="FZ153" s="106"/>
      <c r="GA153" s="106"/>
      <c r="GB153" s="106"/>
      <c r="GC153" s="106"/>
      <c r="GD153" s="106"/>
      <c r="GE153" s="106"/>
      <c r="GF153" s="106"/>
      <c r="GG153" s="159"/>
    </row>
    <row r="154" spans="2:189" x14ac:dyDescent="0.2">
      <c r="B154" s="97">
        <v>44682</v>
      </c>
      <c r="C154" s="100">
        <v>70.400000000000006</v>
      </c>
      <c r="D154" s="100">
        <v>70.599999999999994</v>
      </c>
      <c r="E154" s="100">
        <v>70.599999999999994</v>
      </c>
      <c r="F154" s="100">
        <v>70.7</v>
      </c>
      <c r="G154" s="100">
        <v>70.5</v>
      </c>
      <c r="H154" s="100">
        <v>70.3</v>
      </c>
      <c r="I154" s="100">
        <v>70.400000000000006</v>
      </c>
      <c r="J154" s="100">
        <v>70.5</v>
      </c>
      <c r="K154" s="100">
        <v>70.599999999999994</v>
      </c>
      <c r="L154" s="100">
        <v>70.5</v>
      </c>
      <c r="M154" s="100">
        <v>70.5</v>
      </c>
      <c r="N154" s="100">
        <v>70.5</v>
      </c>
      <c r="O154" s="100">
        <v>70.5</v>
      </c>
      <c r="P154" s="100">
        <v>70.2</v>
      </c>
      <c r="Q154" s="100">
        <v>70.2</v>
      </c>
      <c r="R154" s="100">
        <v>70.099999999999994</v>
      </c>
      <c r="S154" s="100">
        <v>70.099999999999994</v>
      </c>
      <c r="T154" s="100">
        <v>70.099999999999994</v>
      </c>
      <c r="U154" s="100">
        <v>70.2</v>
      </c>
      <c r="V154" s="100">
        <v>70.2</v>
      </c>
      <c r="W154" s="100">
        <v>70.3</v>
      </c>
      <c r="X154" s="100">
        <v>70.5</v>
      </c>
      <c r="Y154" s="100">
        <v>70.5</v>
      </c>
      <c r="Z154" s="100">
        <v>70.7</v>
      </c>
      <c r="AA154" s="100">
        <v>70.900000000000006</v>
      </c>
      <c r="AB154" s="100">
        <v>71.099999999999994</v>
      </c>
      <c r="AC154" s="100">
        <v>71.2</v>
      </c>
      <c r="AD154" s="100">
        <v>71.099999999999994</v>
      </c>
      <c r="AE154" s="100">
        <v>71.099999999999994</v>
      </c>
      <c r="AF154" s="100">
        <v>71.3</v>
      </c>
      <c r="AG154" s="100">
        <v>71.400000000000006</v>
      </c>
      <c r="AH154" s="100">
        <v>71.400000000000006</v>
      </c>
      <c r="AI154" s="100">
        <v>71.2</v>
      </c>
      <c r="AJ154" s="100">
        <v>71.2</v>
      </c>
      <c r="AK154" s="100">
        <v>71.2</v>
      </c>
      <c r="AL154" s="100">
        <v>71.2</v>
      </c>
      <c r="AM154" s="100">
        <v>71.3</v>
      </c>
      <c r="AN154" s="100">
        <v>71.5</v>
      </c>
      <c r="AO154" s="100">
        <v>71.5</v>
      </c>
      <c r="AP154" s="100">
        <v>71.7</v>
      </c>
      <c r="AQ154" s="100">
        <v>71.900000000000006</v>
      </c>
      <c r="AR154" s="100">
        <v>72</v>
      </c>
      <c r="AS154" s="100">
        <v>72</v>
      </c>
      <c r="AT154" s="100">
        <v>72.099999999999994</v>
      </c>
      <c r="AU154" s="100">
        <v>72.400000000000006</v>
      </c>
      <c r="AV154" s="100">
        <v>72.5</v>
      </c>
      <c r="AW154" s="100">
        <v>72.7</v>
      </c>
      <c r="AX154" s="100">
        <v>72.900000000000006</v>
      </c>
      <c r="AY154" s="100">
        <v>72.8</v>
      </c>
      <c r="AZ154" s="100">
        <v>72.8</v>
      </c>
      <c r="BA154" s="100">
        <v>73</v>
      </c>
      <c r="BB154" s="100">
        <v>73</v>
      </c>
      <c r="BC154" s="100">
        <v>73</v>
      </c>
      <c r="BD154" s="100">
        <v>73</v>
      </c>
      <c r="BE154" s="100">
        <v>73.2</v>
      </c>
      <c r="BF154" s="100">
        <v>73.3</v>
      </c>
      <c r="BG154" s="100">
        <v>73.400000000000006</v>
      </c>
      <c r="BH154" s="100">
        <v>73.400000000000006</v>
      </c>
      <c r="BI154" s="100">
        <v>73.400000000000006</v>
      </c>
      <c r="BJ154" s="100">
        <v>73.3</v>
      </c>
      <c r="BK154" s="100">
        <v>73.400000000000006</v>
      </c>
      <c r="BL154" s="100">
        <v>73.5</v>
      </c>
      <c r="BM154" s="100">
        <v>73.599999999999994</v>
      </c>
      <c r="BN154" s="100">
        <v>73.8</v>
      </c>
      <c r="BO154" s="100">
        <v>74</v>
      </c>
      <c r="BP154" s="100">
        <v>74</v>
      </c>
      <c r="BQ154" s="100">
        <v>74.099999999999994</v>
      </c>
      <c r="BR154" s="100">
        <v>74.099999999999994</v>
      </c>
      <c r="BS154" s="100">
        <v>74.099999999999994</v>
      </c>
      <c r="BT154" s="100">
        <v>74.099999999999994</v>
      </c>
      <c r="BU154" s="100">
        <v>74.2</v>
      </c>
      <c r="BV154" s="100">
        <v>74.400000000000006</v>
      </c>
      <c r="BW154" s="100">
        <v>74.400000000000006</v>
      </c>
      <c r="BX154" s="100">
        <v>74.5</v>
      </c>
      <c r="BY154" s="100">
        <v>74.5</v>
      </c>
      <c r="BZ154" s="100">
        <v>74.400000000000006</v>
      </c>
      <c r="CA154" s="100">
        <v>74.400000000000006</v>
      </c>
      <c r="CB154" s="100">
        <v>74.400000000000006</v>
      </c>
      <c r="CC154" s="100">
        <v>74.599999999999994</v>
      </c>
      <c r="CD154" s="100">
        <v>74.5</v>
      </c>
      <c r="CE154" s="100">
        <v>74.599999999999994</v>
      </c>
      <c r="CF154" s="100">
        <v>74.8</v>
      </c>
      <c r="CG154" s="100">
        <v>74.8</v>
      </c>
      <c r="CH154" s="100">
        <v>74.900000000000006</v>
      </c>
      <c r="CI154" s="100">
        <v>75.099999999999994</v>
      </c>
      <c r="CJ154" s="100">
        <v>75.3</v>
      </c>
      <c r="CK154" s="100">
        <v>75.099999999999994</v>
      </c>
      <c r="CL154" s="100">
        <v>75</v>
      </c>
      <c r="CM154" s="100">
        <v>75.099999999999994</v>
      </c>
      <c r="CN154" s="100">
        <v>75.3</v>
      </c>
      <c r="CO154" s="100">
        <v>75.2</v>
      </c>
      <c r="CP154" s="100">
        <v>75.3</v>
      </c>
      <c r="CQ154" s="100">
        <v>75.400000000000006</v>
      </c>
      <c r="CR154" s="100">
        <v>75.599999999999994</v>
      </c>
      <c r="CS154" s="100">
        <v>75.599999999999994</v>
      </c>
      <c r="CT154" s="100">
        <v>75.599999999999994</v>
      </c>
      <c r="CU154" s="100">
        <v>75.5</v>
      </c>
      <c r="CV154" s="100">
        <v>75.5</v>
      </c>
      <c r="CW154" s="100">
        <v>75.599999999999994</v>
      </c>
      <c r="CX154" s="100">
        <v>75.599999999999994</v>
      </c>
      <c r="CY154" s="100">
        <v>75.7</v>
      </c>
      <c r="CZ154" s="100">
        <v>75.8</v>
      </c>
      <c r="DA154" s="100">
        <v>75.8</v>
      </c>
      <c r="DB154" s="100">
        <v>76.099999999999994</v>
      </c>
      <c r="DC154" s="100">
        <v>76.099999999999994</v>
      </c>
      <c r="DD154" s="100">
        <v>76.099999999999994</v>
      </c>
      <c r="DE154" s="100">
        <v>76.099999999999994</v>
      </c>
      <c r="DF154" s="100">
        <v>75.8</v>
      </c>
      <c r="DG154" s="100">
        <v>76.099999999999994</v>
      </c>
      <c r="DH154" s="100">
        <v>76</v>
      </c>
      <c r="DI154" s="100">
        <v>75.900000000000006</v>
      </c>
      <c r="DJ154" s="100">
        <v>76</v>
      </c>
      <c r="DK154" s="100">
        <v>76.2</v>
      </c>
      <c r="DL154" s="100">
        <v>76.3</v>
      </c>
      <c r="DM154" s="100">
        <v>76.5</v>
      </c>
      <c r="DN154" s="100">
        <v>76.5</v>
      </c>
      <c r="DO154" s="100">
        <v>76.599999999999994</v>
      </c>
      <c r="DP154" s="105">
        <v>76.313000928204573</v>
      </c>
      <c r="DQ154" s="105">
        <v>75.959805579063001</v>
      </c>
      <c r="DR154" s="100">
        <v>75.841800029272491</v>
      </c>
      <c r="DS154" s="100">
        <v>75.748394873159526</v>
      </c>
      <c r="DT154" s="100">
        <v>75.625159512623981</v>
      </c>
      <c r="DU154" s="100">
        <v>75.37042605160768</v>
      </c>
      <c r="DV154" s="100">
        <v>75.032893557475006</v>
      </c>
      <c r="DW154" s="100">
        <v>74.935643921654574</v>
      </c>
      <c r="DX154" s="100">
        <v>74.948703090707326</v>
      </c>
      <c r="DY154" s="100">
        <v>74.653900168755683</v>
      </c>
      <c r="DZ154" s="100">
        <v>74.610039835289143</v>
      </c>
      <c r="EA154" s="100">
        <v>74.720603037952714</v>
      </c>
      <c r="EB154" s="103">
        <v>74.724822795561209</v>
      </c>
      <c r="EC154" s="100">
        <v>74.739527457943169</v>
      </c>
      <c r="ED154" s="100">
        <v>74.804888625445315</v>
      </c>
      <c r="EE154" s="100">
        <v>75.072312566809956</v>
      </c>
      <c r="EF154" s="100">
        <v>75.221202935474935</v>
      </c>
      <c r="EG154" s="100">
        <v>75.304370541135796</v>
      </c>
      <c r="EH154" s="100">
        <v>75.426778815565953</v>
      </c>
      <c r="EI154" s="100">
        <v>75.461811609719291</v>
      </c>
      <c r="EJ154" s="100">
        <v>75.5</v>
      </c>
      <c r="EK154" s="100">
        <v>75.5</v>
      </c>
      <c r="EL154" s="100">
        <v>75.599999999999994</v>
      </c>
      <c r="EM154" s="100">
        <v>75.485512365979233</v>
      </c>
      <c r="EN154" s="102">
        <v>75.658527259672439</v>
      </c>
      <c r="EO154" s="100"/>
      <c r="EP154" s="100"/>
      <c r="EQ154" s="106"/>
      <c r="ER154" s="106"/>
      <c r="ES154" s="106"/>
      <c r="ET154" s="106"/>
      <c r="EU154" s="106"/>
      <c r="EV154" s="106"/>
      <c r="EW154" s="106"/>
      <c r="EX154" s="106"/>
      <c r="EY154" s="106"/>
      <c r="EZ154" s="106"/>
      <c r="FA154" s="106"/>
      <c r="FB154" s="106"/>
      <c r="FC154" s="106"/>
      <c r="FD154" s="106"/>
      <c r="FE154" s="106"/>
      <c r="FF154" s="106"/>
      <c r="FG154" s="106"/>
      <c r="FH154" s="106"/>
      <c r="FI154" s="106"/>
      <c r="FJ154" s="106"/>
      <c r="FK154" s="106"/>
      <c r="FL154" s="106"/>
      <c r="FM154" s="106"/>
      <c r="FN154" s="106"/>
      <c r="FO154" s="106"/>
      <c r="FP154" s="106"/>
      <c r="FQ154" s="106"/>
      <c r="FR154" s="106"/>
      <c r="FS154" s="106"/>
      <c r="FT154" s="106"/>
      <c r="FU154" s="106"/>
      <c r="FV154" s="106"/>
      <c r="FW154" s="106"/>
      <c r="FX154" s="106"/>
      <c r="FY154" s="106"/>
      <c r="FZ154" s="106"/>
      <c r="GA154" s="106"/>
      <c r="GB154" s="106"/>
      <c r="GC154" s="106"/>
      <c r="GD154" s="106"/>
      <c r="GE154" s="106"/>
      <c r="GF154" s="106"/>
      <c r="GG154" s="159"/>
    </row>
    <row r="155" spans="2:189" x14ac:dyDescent="0.2">
      <c r="B155" s="97">
        <v>44713</v>
      </c>
      <c r="C155" s="100">
        <v>70.400000000000006</v>
      </c>
      <c r="D155" s="100">
        <v>70.599999999999994</v>
      </c>
      <c r="E155" s="100">
        <v>70.599999999999994</v>
      </c>
      <c r="F155" s="100">
        <v>70.7</v>
      </c>
      <c r="G155" s="100">
        <v>70.5</v>
      </c>
      <c r="H155" s="100">
        <v>70.3</v>
      </c>
      <c r="I155" s="100">
        <v>70.400000000000006</v>
      </c>
      <c r="J155" s="100">
        <v>70.5</v>
      </c>
      <c r="K155" s="100">
        <v>70.599999999999994</v>
      </c>
      <c r="L155" s="100">
        <v>70.5</v>
      </c>
      <c r="M155" s="100">
        <v>70.5</v>
      </c>
      <c r="N155" s="100">
        <v>70.5</v>
      </c>
      <c r="O155" s="100">
        <v>70.5</v>
      </c>
      <c r="P155" s="100">
        <v>70.2</v>
      </c>
      <c r="Q155" s="100">
        <v>70.2</v>
      </c>
      <c r="R155" s="100">
        <v>70.099999999999994</v>
      </c>
      <c r="S155" s="100">
        <v>70.099999999999994</v>
      </c>
      <c r="T155" s="100">
        <v>70.099999999999994</v>
      </c>
      <c r="U155" s="100">
        <v>70.2</v>
      </c>
      <c r="V155" s="100">
        <v>70.2</v>
      </c>
      <c r="W155" s="100">
        <v>70.3</v>
      </c>
      <c r="X155" s="100">
        <v>70.5</v>
      </c>
      <c r="Y155" s="100">
        <v>70.5</v>
      </c>
      <c r="Z155" s="100">
        <v>70.7</v>
      </c>
      <c r="AA155" s="100">
        <v>70.900000000000006</v>
      </c>
      <c r="AB155" s="100">
        <v>71.099999999999994</v>
      </c>
      <c r="AC155" s="100">
        <v>71.2</v>
      </c>
      <c r="AD155" s="100">
        <v>71.099999999999994</v>
      </c>
      <c r="AE155" s="100">
        <v>71.099999999999994</v>
      </c>
      <c r="AF155" s="100">
        <v>71.3</v>
      </c>
      <c r="AG155" s="100">
        <v>71.400000000000006</v>
      </c>
      <c r="AH155" s="100">
        <v>71.400000000000006</v>
      </c>
      <c r="AI155" s="100">
        <v>71.2</v>
      </c>
      <c r="AJ155" s="100">
        <v>71.2</v>
      </c>
      <c r="AK155" s="100">
        <v>71.2</v>
      </c>
      <c r="AL155" s="100">
        <v>71.2</v>
      </c>
      <c r="AM155" s="100">
        <v>71.3</v>
      </c>
      <c r="AN155" s="100">
        <v>71.5</v>
      </c>
      <c r="AO155" s="100">
        <v>71.5</v>
      </c>
      <c r="AP155" s="100">
        <v>71.7</v>
      </c>
      <c r="AQ155" s="100">
        <v>71.900000000000006</v>
      </c>
      <c r="AR155" s="100">
        <v>72</v>
      </c>
      <c r="AS155" s="100">
        <v>72</v>
      </c>
      <c r="AT155" s="100">
        <v>72.099999999999994</v>
      </c>
      <c r="AU155" s="100">
        <v>72.400000000000006</v>
      </c>
      <c r="AV155" s="100">
        <v>72.5</v>
      </c>
      <c r="AW155" s="100">
        <v>72.7</v>
      </c>
      <c r="AX155" s="100">
        <v>72.900000000000006</v>
      </c>
      <c r="AY155" s="100">
        <v>72.8</v>
      </c>
      <c r="AZ155" s="100">
        <v>72.8</v>
      </c>
      <c r="BA155" s="100">
        <v>73</v>
      </c>
      <c r="BB155" s="100">
        <v>73</v>
      </c>
      <c r="BC155" s="100">
        <v>73</v>
      </c>
      <c r="BD155" s="100">
        <v>73</v>
      </c>
      <c r="BE155" s="100">
        <v>73.2</v>
      </c>
      <c r="BF155" s="100">
        <v>73.3</v>
      </c>
      <c r="BG155" s="100">
        <v>73.400000000000006</v>
      </c>
      <c r="BH155" s="100">
        <v>73.400000000000006</v>
      </c>
      <c r="BI155" s="100">
        <v>73.400000000000006</v>
      </c>
      <c r="BJ155" s="100">
        <v>73.3</v>
      </c>
      <c r="BK155" s="100">
        <v>73.400000000000006</v>
      </c>
      <c r="BL155" s="100">
        <v>73.5</v>
      </c>
      <c r="BM155" s="100">
        <v>73.599999999999994</v>
      </c>
      <c r="BN155" s="100">
        <v>73.8</v>
      </c>
      <c r="BO155" s="100">
        <v>74</v>
      </c>
      <c r="BP155" s="100">
        <v>74</v>
      </c>
      <c r="BQ155" s="100">
        <v>74.099999999999994</v>
      </c>
      <c r="BR155" s="100">
        <v>74.099999999999994</v>
      </c>
      <c r="BS155" s="100">
        <v>74.099999999999994</v>
      </c>
      <c r="BT155" s="100">
        <v>74.099999999999994</v>
      </c>
      <c r="BU155" s="100">
        <v>74.2</v>
      </c>
      <c r="BV155" s="100">
        <v>74.400000000000006</v>
      </c>
      <c r="BW155" s="100">
        <v>74.400000000000006</v>
      </c>
      <c r="BX155" s="100">
        <v>74.5</v>
      </c>
      <c r="BY155" s="100">
        <v>74.5</v>
      </c>
      <c r="BZ155" s="100">
        <v>74.400000000000006</v>
      </c>
      <c r="CA155" s="100">
        <v>74.400000000000006</v>
      </c>
      <c r="CB155" s="100">
        <v>74.400000000000006</v>
      </c>
      <c r="CC155" s="100">
        <v>74.599999999999994</v>
      </c>
      <c r="CD155" s="100">
        <v>74.5</v>
      </c>
      <c r="CE155" s="100">
        <v>74.599999999999994</v>
      </c>
      <c r="CF155" s="100">
        <v>74.8</v>
      </c>
      <c r="CG155" s="100">
        <v>74.8</v>
      </c>
      <c r="CH155" s="100">
        <v>74.900000000000006</v>
      </c>
      <c r="CI155" s="100">
        <v>75.099999999999994</v>
      </c>
      <c r="CJ155" s="100">
        <v>75.3</v>
      </c>
      <c r="CK155" s="100">
        <v>75.099999999999994</v>
      </c>
      <c r="CL155" s="100">
        <v>75</v>
      </c>
      <c r="CM155" s="100">
        <v>75.099999999999994</v>
      </c>
      <c r="CN155" s="100">
        <v>75.3</v>
      </c>
      <c r="CO155" s="100">
        <v>75.2</v>
      </c>
      <c r="CP155" s="100">
        <v>75.3</v>
      </c>
      <c r="CQ155" s="100">
        <v>75.400000000000006</v>
      </c>
      <c r="CR155" s="100">
        <v>75.599999999999994</v>
      </c>
      <c r="CS155" s="100">
        <v>75.599999999999994</v>
      </c>
      <c r="CT155" s="100">
        <v>75.599999999999994</v>
      </c>
      <c r="CU155" s="100">
        <v>75.5</v>
      </c>
      <c r="CV155" s="100">
        <v>75.5</v>
      </c>
      <c r="CW155" s="100">
        <v>75.599999999999994</v>
      </c>
      <c r="CX155" s="100">
        <v>75.599999999999994</v>
      </c>
      <c r="CY155" s="100">
        <v>75.7</v>
      </c>
      <c r="CZ155" s="100">
        <v>75.8</v>
      </c>
      <c r="DA155" s="100">
        <v>75.8</v>
      </c>
      <c r="DB155" s="100">
        <v>76.099999999999994</v>
      </c>
      <c r="DC155" s="100">
        <v>76.099999999999994</v>
      </c>
      <c r="DD155" s="100">
        <v>76.099999999999994</v>
      </c>
      <c r="DE155" s="100">
        <v>76.099999999999994</v>
      </c>
      <c r="DF155" s="100">
        <v>75.8</v>
      </c>
      <c r="DG155" s="100">
        <v>76.099999999999994</v>
      </c>
      <c r="DH155" s="100">
        <v>76</v>
      </c>
      <c r="DI155" s="100">
        <v>75.900000000000006</v>
      </c>
      <c r="DJ155" s="100">
        <v>76</v>
      </c>
      <c r="DK155" s="100">
        <v>76.2</v>
      </c>
      <c r="DL155" s="100">
        <v>76.3</v>
      </c>
      <c r="DM155" s="100">
        <v>76.5</v>
      </c>
      <c r="DN155" s="100">
        <v>76.5</v>
      </c>
      <c r="DO155" s="100">
        <v>76.599999999999994</v>
      </c>
      <c r="DP155" s="105">
        <v>76.325932414160349</v>
      </c>
      <c r="DQ155" s="105">
        <v>75.985802524822176</v>
      </c>
      <c r="DR155" s="100">
        <v>75.871619741414179</v>
      </c>
      <c r="DS155" s="100">
        <v>75.71015313532908</v>
      </c>
      <c r="DT155" s="100">
        <v>75.573832251490998</v>
      </c>
      <c r="DU155" s="100">
        <v>75.298733008664982</v>
      </c>
      <c r="DV155" s="100">
        <v>74.924362790406121</v>
      </c>
      <c r="DW155" s="100">
        <v>74.845142873397961</v>
      </c>
      <c r="DX155" s="100">
        <v>74.863546378001359</v>
      </c>
      <c r="DY155" s="100">
        <v>74.577055833772562</v>
      </c>
      <c r="DZ155" s="100">
        <v>74.559479716750005</v>
      </c>
      <c r="EA155" s="100">
        <v>74.690755017186817</v>
      </c>
      <c r="EB155" s="100">
        <v>74.667813063485482</v>
      </c>
      <c r="EC155" s="103">
        <v>74.692215176965391</v>
      </c>
      <c r="ED155" s="100">
        <v>74.750852404419049</v>
      </c>
      <c r="EE155" s="100">
        <v>75.019872463169762</v>
      </c>
      <c r="EF155" s="100">
        <v>75.142336390490669</v>
      </c>
      <c r="EG155" s="100">
        <v>75.242012313790454</v>
      </c>
      <c r="EH155" s="100">
        <v>75.336737738508361</v>
      </c>
      <c r="EI155" s="100">
        <v>75.385207923827323</v>
      </c>
      <c r="EJ155" s="100">
        <v>75.417536609317878</v>
      </c>
      <c r="EK155" s="100">
        <v>75.469458847652803</v>
      </c>
      <c r="EL155" s="100">
        <v>75.431988378732541</v>
      </c>
      <c r="EM155" s="100">
        <v>75.465305750384204</v>
      </c>
      <c r="EN155" s="100">
        <v>75.626683571744096</v>
      </c>
      <c r="EO155" s="102">
        <v>75.648992817013806</v>
      </c>
      <c r="EP155" s="100"/>
      <c r="EQ155" s="106"/>
      <c r="ER155" s="106"/>
      <c r="ES155" s="106"/>
      <c r="ET155" s="106"/>
      <c r="EU155" s="106"/>
      <c r="EV155" s="106"/>
      <c r="EW155" s="106"/>
      <c r="EX155" s="106"/>
      <c r="EY155" s="106"/>
      <c r="EZ155" s="106"/>
      <c r="FA155" s="106"/>
      <c r="FB155" s="106"/>
      <c r="FC155" s="106"/>
      <c r="FD155" s="106"/>
      <c r="FE155" s="106"/>
      <c r="FF155" s="106"/>
      <c r="FG155" s="106"/>
      <c r="FH155" s="106"/>
      <c r="FI155" s="106"/>
      <c r="FJ155" s="106"/>
      <c r="FK155" s="106"/>
      <c r="FL155" s="106"/>
      <c r="FM155" s="106"/>
      <c r="FN155" s="106"/>
      <c r="FO155" s="106"/>
      <c r="FP155" s="106"/>
      <c r="FQ155" s="106"/>
      <c r="FR155" s="106"/>
      <c r="FS155" s="106"/>
      <c r="FT155" s="106"/>
      <c r="FU155" s="106"/>
      <c r="FV155" s="106"/>
      <c r="FW155" s="106"/>
      <c r="FX155" s="106"/>
      <c r="FY155" s="106"/>
      <c r="FZ155" s="106"/>
      <c r="GA155" s="106"/>
      <c r="GB155" s="106"/>
      <c r="GC155" s="106"/>
      <c r="GD155" s="106"/>
      <c r="GE155" s="106"/>
      <c r="GF155" s="106"/>
      <c r="GG155" s="159"/>
    </row>
    <row r="156" spans="2:189" x14ac:dyDescent="0.2">
      <c r="B156" s="97">
        <v>44743</v>
      </c>
      <c r="C156" s="100">
        <v>70.400000000000006</v>
      </c>
      <c r="D156" s="100">
        <v>70.599999999999994</v>
      </c>
      <c r="E156" s="100">
        <v>70.599999999999994</v>
      </c>
      <c r="F156" s="100">
        <v>70.7</v>
      </c>
      <c r="G156" s="100">
        <v>70.5</v>
      </c>
      <c r="H156" s="100">
        <v>70.3</v>
      </c>
      <c r="I156" s="100">
        <v>70.400000000000006</v>
      </c>
      <c r="J156" s="100">
        <v>70.5</v>
      </c>
      <c r="K156" s="100">
        <v>70.599999999999994</v>
      </c>
      <c r="L156" s="100">
        <v>70.5</v>
      </c>
      <c r="M156" s="100">
        <v>70.5</v>
      </c>
      <c r="N156" s="100">
        <v>70.5</v>
      </c>
      <c r="O156" s="100">
        <v>70.5</v>
      </c>
      <c r="P156" s="100">
        <v>70.2</v>
      </c>
      <c r="Q156" s="100">
        <v>70.2</v>
      </c>
      <c r="R156" s="100">
        <v>70.099999999999994</v>
      </c>
      <c r="S156" s="100">
        <v>70.099999999999994</v>
      </c>
      <c r="T156" s="100">
        <v>70.099999999999994</v>
      </c>
      <c r="U156" s="100">
        <v>70.2</v>
      </c>
      <c r="V156" s="100">
        <v>70.2</v>
      </c>
      <c r="W156" s="100">
        <v>70.3</v>
      </c>
      <c r="X156" s="100">
        <v>70.5</v>
      </c>
      <c r="Y156" s="100">
        <v>70.5</v>
      </c>
      <c r="Z156" s="100">
        <v>70.7</v>
      </c>
      <c r="AA156" s="100">
        <v>70.900000000000006</v>
      </c>
      <c r="AB156" s="100">
        <v>71.099999999999994</v>
      </c>
      <c r="AC156" s="100">
        <v>71.2</v>
      </c>
      <c r="AD156" s="100">
        <v>71.099999999999994</v>
      </c>
      <c r="AE156" s="100">
        <v>71.099999999999994</v>
      </c>
      <c r="AF156" s="100">
        <v>71.3</v>
      </c>
      <c r="AG156" s="100">
        <v>71.400000000000006</v>
      </c>
      <c r="AH156" s="100">
        <v>71.400000000000006</v>
      </c>
      <c r="AI156" s="100">
        <v>71.2</v>
      </c>
      <c r="AJ156" s="100">
        <v>71.2</v>
      </c>
      <c r="AK156" s="100">
        <v>71.2</v>
      </c>
      <c r="AL156" s="100">
        <v>71.2</v>
      </c>
      <c r="AM156" s="100">
        <v>71.3</v>
      </c>
      <c r="AN156" s="100">
        <v>71.5</v>
      </c>
      <c r="AO156" s="100">
        <v>71.5</v>
      </c>
      <c r="AP156" s="100">
        <v>71.7</v>
      </c>
      <c r="AQ156" s="100">
        <v>71.900000000000006</v>
      </c>
      <c r="AR156" s="100">
        <v>72</v>
      </c>
      <c r="AS156" s="100">
        <v>72</v>
      </c>
      <c r="AT156" s="100">
        <v>72.099999999999994</v>
      </c>
      <c r="AU156" s="100">
        <v>72.400000000000006</v>
      </c>
      <c r="AV156" s="100">
        <v>72.5</v>
      </c>
      <c r="AW156" s="100">
        <v>72.7</v>
      </c>
      <c r="AX156" s="100">
        <v>72.900000000000006</v>
      </c>
      <c r="AY156" s="100">
        <v>72.8</v>
      </c>
      <c r="AZ156" s="100">
        <v>72.8</v>
      </c>
      <c r="BA156" s="100">
        <v>73</v>
      </c>
      <c r="BB156" s="100">
        <v>73</v>
      </c>
      <c r="BC156" s="100">
        <v>73</v>
      </c>
      <c r="BD156" s="100">
        <v>73</v>
      </c>
      <c r="BE156" s="100">
        <v>73.2</v>
      </c>
      <c r="BF156" s="100">
        <v>73.3</v>
      </c>
      <c r="BG156" s="100">
        <v>73.400000000000006</v>
      </c>
      <c r="BH156" s="100">
        <v>73.400000000000006</v>
      </c>
      <c r="BI156" s="100">
        <v>73.400000000000006</v>
      </c>
      <c r="BJ156" s="100">
        <v>73.3</v>
      </c>
      <c r="BK156" s="100">
        <v>73.400000000000006</v>
      </c>
      <c r="BL156" s="100">
        <v>73.5</v>
      </c>
      <c r="BM156" s="100">
        <v>73.599999999999994</v>
      </c>
      <c r="BN156" s="100">
        <v>73.8</v>
      </c>
      <c r="BO156" s="100">
        <v>74</v>
      </c>
      <c r="BP156" s="100">
        <v>74</v>
      </c>
      <c r="BQ156" s="100">
        <v>74.099999999999994</v>
      </c>
      <c r="BR156" s="100">
        <v>74.099999999999994</v>
      </c>
      <c r="BS156" s="100">
        <v>74.099999999999994</v>
      </c>
      <c r="BT156" s="100">
        <v>74.099999999999994</v>
      </c>
      <c r="BU156" s="100">
        <v>74.2</v>
      </c>
      <c r="BV156" s="100">
        <v>74.400000000000006</v>
      </c>
      <c r="BW156" s="100">
        <v>74.400000000000006</v>
      </c>
      <c r="BX156" s="100">
        <v>74.5</v>
      </c>
      <c r="BY156" s="100">
        <v>74.5</v>
      </c>
      <c r="BZ156" s="100">
        <v>74.400000000000006</v>
      </c>
      <c r="CA156" s="100">
        <v>74.400000000000006</v>
      </c>
      <c r="CB156" s="100">
        <v>74.400000000000006</v>
      </c>
      <c r="CC156" s="100">
        <v>74.599999999999994</v>
      </c>
      <c r="CD156" s="100">
        <v>74.5</v>
      </c>
      <c r="CE156" s="100">
        <v>74.599999999999994</v>
      </c>
      <c r="CF156" s="100">
        <v>74.8</v>
      </c>
      <c r="CG156" s="100">
        <v>74.8</v>
      </c>
      <c r="CH156" s="100">
        <v>74.900000000000006</v>
      </c>
      <c r="CI156" s="100">
        <v>75.099999999999994</v>
      </c>
      <c r="CJ156" s="100">
        <v>75.3</v>
      </c>
      <c r="CK156" s="100">
        <v>75.099999999999994</v>
      </c>
      <c r="CL156" s="100">
        <v>75</v>
      </c>
      <c r="CM156" s="100">
        <v>75.099999999999994</v>
      </c>
      <c r="CN156" s="100">
        <v>75.3</v>
      </c>
      <c r="CO156" s="100">
        <v>75.2</v>
      </c>
      <c r="CP156" s="100">
        <v>75.3</v>
      </c>
      <c r="CQ156" s="100">
        <v>75.400000000000006</v>
      </c>
      <c r="CR156" s="100">
        <v>75.599999999999994</v>
      </c>
      <c r="CS156" s="100">
        <v>75.599999999999994</v>
      </c>
      <c r="CT156" s="100">
        <v>75.599999999999994</v>
      </c>
      <c r="CU156" s="100">
        <v>75.5</v>
      </c>
      <c r="CV156" s="100">
        <v>75.5</v>
      </c>
      <c r="CW156" s="100">
        <v>75.599999999999994</v>
      </c>
      <c r="CX156" s="100">
        <v>75.599999999999994</v>
      </c>
      <c r="CY156" s="100">
        <v>75.7</v>
      </c>
      <c r="CZ156" s="100">
        <v>75.8</v>
      </c>
      <c r="DA156" s="100">
        <v>75.8</v>
      </c>
      <c r="DB156" s="100">
        <v>76.099999999999994</v>
      </c>
      <c r="DC156" s="100">
        <v>76.099999999999994</v>
      </c>
      <c r="DD156" s="100">
        <v>76.099999999999994</v>
      </c>
      <c r="DE156" s="100">
        <v>76.099999999999994</v>
      </c>
      <c r="DF156" s="100">
        <v>75.8</v>
      </c>
      <c r="DG156" s="100">
        <v>76.099999999999994</v>
      </c>
      <c r="DH156" s="100">
        <v>76</v>
      </c>
      <c r="DI156" s="100">
        <v>75.900000000000006</v>
      </c>
      <c r="DJ156" s="100">
        <v>76</v>
      </c>
      <c r="DK156" s="100">
        <v>76.2</v>
      </c>
      <c r="DL156" s="100">
        <v>76.3</v>
      </c>
      <c r="DM156" s="100">
        <v>76.5</v>
      </c>
      <c r="DN156" s="100">
        <v>76.5</v>
      </c>
      <c r="DO156" s="100">
        <v>76.599999999999994</v>
      </c>
      <c r="DP156" s="105">
        <v>76.325932414160349</v>
      </c>
      <c r="DQ156" s="105">
        <v>75.985802524822176</v>
      </c>
      <c r="DR156" s="100">
        <v>75.871619741414179</v>
      </c>
      <c r="DS156" s="100">
        <v>75.71015313532908</v>
      </c>
      <c r="DT156" s="100">
        <v>75.573832251490998</v>
      </c>
      <c r="DU156" s="100">
        <v>75.298733008664982</v>
      </c>
      <c r="DV156" s="100">
        <v>74.924362790406121</v>
      </c>
      <c r="DW156" s="100">
        <v>74.845142873397961</v>
      </c>
      <c r="DX156" s="100">
        <v>74.863546378001359</v>
      </c>
      <c r="DY156" s="100">
        <v>74.577055833772562</v>
      </c>
      <c r="DZ156" s="100">
        <v>74.559479716750005</v>
      </c>
      <c r="EA156" s="100">
        <v>74.690755017186817</v>
      </c>
      <c r="EB156" s="100">
        <v>74.667813063485482</v>
      </c>
      <c r="EC156" s="100">
        <v>74.692215176965391</v>
      </c>
      <c r="ED156" s="103">
        <v>74.750852404419049</v>
      </c>
      <c r="EE156" s="100">
        <v>75.019872463169762</v>
      </c>
      <c r="EF156" s="100">
        <v>75.142336390490669</v>
      </c>
      <c r="EG156" s="100">
        <v>75.242012313790454</v>
      </c>
      <c r="EH156" s="100">
        <v>75.336737738508361</v>
      </c>
      <c r="EI156" s="100">
        <v>75.385207923827323</v>
      </c>
      <c r="EJ156" s="100">
        <v>75.417536609317878</v>
      </c>
      <c r="EK156" s="100">
        <v>75.469458847652803</v>
      </c>
      <c r="EL156" s="100">
        <v>75.431988378732541</v>
      </c>
      <c r="EM156" s="100">
        <v>75.465305750384204</v>
      </c>
      <c r="EN156" s="100">
        <v>75.626683571744096</v>
      </c>
      <c r="EO156" s="100">
        <v>75.648992817013806</v>
      </c>
      <c r="EP156" s="102">
        <v>75.866474785436594</v>
      </c>
      <c r="EQ156" s="106"/>
      <c r="ER156" s="106"/>
      <c r="ES156" s="106"/>
      <c r="ET156" s="106"/>
      <c r="EU156" s="106"/>
      <c r="EV156" s="106"/>
      <c r="EW156" s="106"/>
      <c r="EX156" s="106"/>
      <c r="EY156" s="106"/>
      <c r="EZ156" s="106"/>
      <c r="FA156" s="106"/>
      <c r="FB156" s="106"/>
      <c r="FC156" s="106"/>
      <c r="FD156" s="106"/>
      <c r="FE156" s="106"/>
      <c r="FF156" s="106"/>
      <c r="FG156" s="106"/>
      <c r="FH156" s="106"/>
      <c r="FI156" s="106"/>
      <c r="FJ156" s="106"/>
      <c r="FK156" s="106"/>
      <c r="FL156" s="106"/>
      <c r="FM156" s="106"/>
      <c r="FN156" s="106"/>
      <c r="FO156" s="106"/>
      <c r="FP156" s="106"/>
      <c r="FQ156" s="106"/>
      <c r="FR156" s="106"/>
      <c r="FS156" s="106"/>
      <c r="FT156" s="106"/>
      <c r="FU156" s="106"/>
      <c r="FV156" s="106"/>
      <c r="FW156" s="106"/>
      <c r="FX156" s="106"/>
      <c r="FY156" s="106"/>
      <c r="FZ156" s="106"/>
      <c r="GA156" s="106"/>
      <c r="GB156" s="106"/>
      <c r="GC156" s="106"/>
      <c r="GD156" s="106"/>
      <c r="GE156" s="106"/>
      <c r="GF156" s="106"/>
      <c r="GG156" s="159"/>
    </row>
    <row r="157" spans="2:189" x14ac:dyDescent="0.2">
      <c r="B157" s="97">
        <v>44774</v>
      </c>
      <c r="C157" s="108">
        <v>70.422667390858052</v>
      </c>
      <c r="D157" s="108">
        <v>70.621486151623998</v>
      </c>
      <c r="E157" s="108">
        <v>70.638593680386805</v>
      </c>
      <c r="F157" s="108">
        <v>70.705399556203304</v>
      </c>
      <c r="G157" s="108">
        <v>70.49040918716814</v>
      </c>
      <c r="H157" s="108">
        <v>70.338702077892592</v>
      </c>
      <c r="I157" s="108">
        <v>70.38984940855012</v>
      </c>
      <c r="J157" s="108">
        <v>70.468865143978903</v>
      </c>
      <c r="K157" s="108">
        <v>70.586396738483302</v>
      </c>
      <c r="L157" s="108">
        <v>70.546146885197274</v>
      </c>
      <c r="M157" s="108">
        <v>70.481744775577454</v>
      </c>
      <c r="N157" s="108">
        <v>70.512158476249269</v>
      </c>
      <c r="O157" s="108">
        <v>70.450461862802683</v>
      </c>
      <c r="P157" s="108">
        <v>70.219556850312301</v>
      </c>
      <c r="Q157" s="108">
        <v>70.195306715571732</v>
      </c>
      <c r="R157" s="108">
        <v>70.105348660979573</v>
      </c>
      <c r="S157" s="108">
        <v>70.144074376248923</v>
      </c>
      <c r="T157" s="108">
        <v>70.144813109534212</v>
      </c>
      <c r="U157" s="108">
        <v>70.218305063382488</v>
      </c>
      <c r="V157" s="108">
        <v>70.240002581088262</v>
      </c>
      <c r="W157" s="108">
        <v>70.312824694108684</v>
      </c>
      <c r="X157" s="108">
        <v>70.466908437029261</v>
      </c>
      <c r="Y157" s="108">
        <v>70.528032645060904</v>
      </c>
      <c r="Z157" s="108">
        <v>70.660482564584754</v>
      </c>
      <c r="AA157" s="108">
        <v>70.907727218569562</v>
      </c>
      <c r="AB157" s="108">
        <v>71.063670306100562</v>
      </c>
      <c r="AC157" s="108">
        <v>71.16351321020521</v>
      </c>
      <c r="AD157" s="108">
        <v>71.130510226274396</v>
      </c>
      <c r="AE157" s="108">
        <v>71.071939314644254</v>
      </c>
      <c r="AF157" s="108">
        <v>71.289809711930104</v>
      </c>
      <c r="AG157" s="108">
        <v>71.40401564888154</v>
      </c>
      <c r="AH157" s="108">
        <v>71.356502636517575</v>
      </c>
      <c r="AI157" s="108">
        <v>71.162744715389337</v>
      </c>
      <c r="AJ157" s="108">
        <v>71.179859363740675</v>
      </c>
      <c r="AK157" s="108">
        <v>71.239468598881814</v>
      </c>
      <c r="AL157" s="108">
        <v>71.205000688730593</v>
      </c>
      <c r="AM157" s="108">
        <v>71.332062916712175</v>
      </c>
      <c r="AN157" s="108">
        <v>71.484681930894922</v>
      </c>
      <c r="AO157" s="108">
        <v>71.508853155448634</v>
      </c>
      <c r="AP157" s="108">
        <v>71.653957210542771</v>
      </c>
      <c r="AQ157" s="108">
        <v>71.875019602271337</v>
      </c>
      <c r="AR157" s="108">
        <v>72.033535192115977</v>
      </c>
      <c r="AS157" s="108">
        <v>71.994411557875594</v>
      </c>
      <c r="AT157" s="108">
        <v>72.103619822741209</v>
      </c>
      <c r="AU157" s="108">
        <v>72.373361495260269</v>
      </c>
      <c r="AV157" s="108">
        <v>72.460496327161621</v>
      </c>
      <c r="AW157" s="108">
        <v>72.690273516991283</v>
      </c>
      <c r="AX157" s="108">
        <v>72.903248078745861</v>
      </c>
      <c r="AY157" s="108">
        <v>72.829660805236969</v>
      </c>
      <c r="AZ157" s="108">
        <v>72.784448809878214</v>
      </c>
      <c r="BA157" s="108">
        <v>72.974149721892815</v>
      </c>
      <c r="BB157" s="108">
        <v>73.042962030063478</v>
      </c>
      <c r="BC157" s="108">
        <v>73.007306550446984</v>
      </c>
      <c r="BD157" s="108">
        <v>72.992602335240875</v>
      </c>
      <c r="BE157" s="108">
        <v>73.203320885361236</v>
      </c>
      <c r="BF157" s="108">
        <v>73.298052085146779</v>
      </c>
      <c r="BG157" s="108">
        <v>73.433321686286519</v>
      </c>
      <c r="BH157" s="108">
        <v>73.437136785496378</v>
      </c>
      <c r="BI157" s="108">
        <v>73.43424036704198</v>
      </c>
      <c r="BJ157" s="108">
        <v>73.308626880849502</v>
      </c>
      <c r="BK157" s="108">
        <v>73.382800260568189</v>
      </c>
      <c r="BL157" s="108">
        <v>73.481098121628236</v>
      </c>
      <c r="BM157" s="108">
        <v>73.558538749562075</v>
      </c>
      <c r="BN157" s="108">
        <v>73.77567206998765</v>
      </c>
      <c r="BO157" s="108">
        <v>73.980010097194622</v>
      </c>
      <c r="BP157" s="108">
        <v>74.048601004314747</v>
      </c>
      <c r="BQ157" s="108">
        <v>74.112436358665619</v>
      </c>
      <c r="BR157" s="108">
        <v>74.089185185564972</v>
      </c>
      <c r="BS157" s="108">
        <v>74.140244568942791</v>
      </c>
      <c r="BT157" s="108">
        <v>74.134710271412644</v>
      </c>
      <c r="BU157" s="108">
        <v>74.191477732027906</v>
      </c>
      <c r="BV157" s="108">
        <v>74.356930385780416</v>
      </c>
      <c r="BW157" s="108">
        <v>74.417431872164698</v>
      </c>
      <c r="BX157" s="108">
        <v>74.504598907218096</v>
      </c>
      <c r="BY157" s="108">
        <v>74.485658991028515</v>
      </c>
      <c r="BZ157" s="108">
        <v>74.446603214355733</v>
      </c>
      <c r="CA157" s="108">
        <v>74.433040437660509</v>
      </c>
      <c r="CB157" s="108">
        <v>74.447406320549746</v>
      </c>
      <c r="CC157" s="108">
        <v>74.566118862529777</v>
      </c>
      <c r="CD157" s="108">
        <v>74.536392949236401</v>
      </c>
      <c r="CE157" s="108">
        <v>74.623790345552919</v>
      </c>
      <c r="CF157" s="108">
        <v>74.768654892058947</v>
      </c>
      <c r="CG157" s="108">
        <v>74.766734957028675</v>
      </c>
      <c r="CH157" s="108">
        <v>74.908949118194769</v>
      </c>
      <c r="CI157" s="108">
        <v>75.104353394472014</v>
      </c>
      <c r="CJ157" s="108">
        <v>75.264121094393076</v>
      </c>
      <c r="CK157" s="108">
        <v>75.138180400193576</v>
      </c>
      <c r="CL157" s="108">
        <v>75.006908323214148</v>
      </c>
      <c r="CM157" s="108">
        <v>75.076017106461023</v>
      </c>
      <c r="CN157" s="108">
        <v>75.338483274583297</v>
      </c>
      <c r="CO157" s="108">
        <v>75.175362000756962</v>
      </c>
      <c r="CP157" s="108">
        <v>75.30308514652522</v>
      </c>
      <c r="CQ157" s="108">
        <v>75.37528469149548</v>
      </c>
      <c r="CR157" s="108">
        <v>75.561069614687582</v>
      </c>
      <c r="CS157" s="108">
        <v>75.593529445092898</v>
      </c>
      <c r="CT157" s="108">
        <v>75.631977883027858</v>
      </c>
      <c r="CU157" s="108">
        <v>75.548796641450622</v>
      </c>
      <c r="CV157" s="108">
        <v>75.518698850426787</v>
      </c>
      <c r="CW157" s="108">
        <v>75.556981399941904</v>
      </c>
      <c r="CX157" s="108">
        <v>75.552678799441637</v>
      </c>
      <c r="CY157" s="108">
        <v>75.711868305729752</v>
      </c>
      <c r="CZ157" s="108">
        <v>75.7608129804497</v>
      </c>
      <c r="DA157" s="108">
        <v>75.833081081136413</v>
      </c>
      <c r="DB157" s="108">
        <v>76.106094454324619</v>
      </c>
      <c r="DC157" s="108">
        <v>76.127453766378309</v>
      </c>
      <c r="DD157" s="108">
        <v>76.056950767717879</v>
      </c>
      <c r="DE157" s="108">
        <v>76.113268679439074</v>
      </c>
      <c r="DF157" s="108">
        <v>76.049416778570034</v>
      </c>
      <c r="DG157" s="108">
        <v>76.102367073888104</v>
      </c>
      <c r="DH157" s="108">
        <v>76.126454616971998</v>
      </c>
      <c r="DI157" s="108">
        <v>75.874265766892464</v>
      </c>
      <c r="DJ157" s="108">
        <v>76.046652812031994</v>
      </c>
      <c r="DK157" s="108">
        <v>76.153081778384404</v>
      </c>
      <c r="DL157" s="108">
        <v>76.342518638937122</v>
      </c>
      <c r="DM157" s="108">
        <v>76.471298780977776</v>
      </c>
      <c r="DN157" s="108">
        <v>76.456687068331419</v>
      </c>
      <c r="DO157" s="108">
        <v>76.56172688194151</v>
      </c>
      <c r="DP157" s="108">
        <v>76.325932414160349</v>
      </c>
      <c r="DQ157" s="108">
        <v>75.985802524822176</v>
      </c>
      <c r="DR157" s="108">
        <v>75.871619741414179</v>
      </c>
      <c r="DS157" s="108">
        <v>75.71015313532908</v>
      </c>
      <c r="DT157" s="108">
        <v>75.573832251490998</v>
      </c>
      <c r="DU157" s="108">
        <v>75.298733008664982</v>
      </c>
      <c r="DV157" s="108">
        <v>74.924362790406121</v>
      </c>
      <c r="DW157" s="108">
        <v>74.845142873397961</v>
      </c>
      <c r="DX157" s="108">
        <v>74.863546378001359</v>
      </c>
      <c r="DY157" s="108">
        <v>74.577055833772562</v>
      </c>
      <c r="DZ157" s="108">
        <v>74.559479716750005</v>
      </c>
      <c r="EA157" s="108">
        <v>74.690755017186817</v>
      </c>
      <c r="EB157" s="108">
        <v>74.667813063485482</v>
      </c>
      <c r="EC157" s="108">
        <v>74.692215176965391</v>
      </c>
      <c r="ED157" s="108">
        <v>74.750852404419049</v>
      </c>
      <c r="EE157" s="109">
        <v>75.019872463169762</v>
      </c>
      <c r="EF157" s="108">
        <v>75.142336390490669</v>
      </c>
      <c r="EG157" s="108">
        <v>75.242012313790454</v>
      </c>
      <c r="EH157" s="108">
        <v>75.336737738508361</v>
      </c>
      <c r="EI157" s="108">
        <v>75.385207923827323</v>
      </c>
      <c r="EJ157" s="108">
        <v>75.417536609317878</v>
      </c>
      <c r="EK157" s="108">
        <v>75.469458847652803</v>
      </c>
      <c r="EL157" s="108">
        <v>75.431988378732541</v>
      </c>
      <c r="EM157" s="108">
        <v>75.465305750384204</v>
      </c>
      <c r="EN157" s="108">
        <v>75.626683571744096</v>
      </c>
      <c r="EO157" s="108">
        <v>75.648992817013806</v>
      </c>
      <c r="EP157" s="108">
        <v>75.866474785436637</v>
      </c>
      <c r="EQ157" s="110">
        <v>75.518216130142292</v>
      </c>
      <c r="ER157" s="112"/>
      <c r="ES157" s="106"/>
      <c r="ET157" s="106"/>
      <c r="EU157" s="106"/>
      <c r="EV157" s="106"/>
      <c r="EW157" s="106"/>
      <c r="EX157" s="106"/>
      <c r="EY157" s="106"/>
      <c r="EZ157" s="106"/>
      <c r="FA157" s="106"/>
      <c r="FB157" s="106"/>
      <c r="FC157" s="106"/>
      <c r="FD157" s="106"/>
      <c r="FE157" s="106"/>
      <c r="FF157" s="106"/>
      <c r="FG157" s="106"/>
      <c r="FH157" s="106"/>
      <c r="FI157" s="106"/>
      <c r="FJ157" s="106"/>
      <c r="FK157" s="106"/>
      <c r="FL157" s="106"/>
      <c r="FM157" s="106"/>
      <c r="FN157" s="106"/>
      <c r="FO157" s="106"/>
      <c r="FP157" s="106"/>
      <c r="FQ157" s="106"/>
      <c r="FR157" s="106"/>
      <c r="FS157" s="106"/>
      <c r="FT157" s="106"/>
      <c r="FU157" s="106"/>
      <c r="FV157" s="106"/>
      <c r="FW157" s="106"/>
      <c r="FX157" s="106"/>
      <c r="FY157" s="106"/>
      <c r="FZ157" s="106"/>
      <c r="GA157" s="106"/>
      <c r="GB157" s="106"/>
      <c r="GC157" s="106"/>
      <c r="GD157" s="106"/>
      <c r="GE157" s="106"/>
      <c r="GF157" s="106"/>
      <c r="GG157" s="159"/>
    </row>
    <row r="158" spans="2:189" x14ac:dyDescent="0.2">
      <c r="B158" s="97">
        <v>44805</v>
      </c>
      <c r="C158" s="111">
        <v>70.422667390858052</v>
      </c>
      <c r="D158" s="111">
        <v>70.621486151623998</v>
      </c>
      <c r="E158" s="111">
        <v>70.638593680386805</v>
      </c>
      <c r="F158" s="111">
        <v>70.705399556203304</v>
      </c>
      <c r="G158" s="111">
        <v>70.49040918716814</v>
      </c>
      <c r="H158" s="111">
        <v>70.338702077892592</v>
      </c>
      <c r="I158" s="111">
        <v>70.38984940855012</v>
      </c>
      <c r="J158" s="111">
        <v>70.468865143978903</v>
      </c>
      <c r="K158" s="111">
        <v>70.586396738483302</v>
      </c>
      <c r="L158" s="111">
        <v>70.546146885197274</v>
      </c>
      <c r="M158" s="111">
        <v>70.481744775577454</v>
      </c>
      <c r="N158" s="111">
        <v>70.512158476249269</v>
      </c>
      <c r="O158" s="111">
        <v>70.450461862802683</v>
      </c>
      <c r="P158" s="111">
        <v>70.219556850312301</v>
      </c>
      <c r="Q158" s="111">
        <v>70.195306715571732</v>
      </c>
      <c r="R158" s="111">
        <v>70.105348660979573</v>
      </c>
      <c r="S158" s="111">
        <v>70.144074376248923</v>
      </c>
      <c r="T158" s="111">
        <v>70.144813109534212</v>
      </c>
      <c r="U158" s="111">
        <v>70.218305063382488</v>
      </c>
      <c r="V158" s="111">
        <v>70.240002581088262</v>
      </c>
      <c r="W158" s="111">
        <v>70.312824694108684</v>
      </c>
      <c r="X158" s="111">
        <v>70.466908437029261</v>
      </c>
      <c r="Y158" s="111">
        <v>70.528032645060904</v>
      </c>
      <c r="Z158" s="111">
        <v>70.660482564584754</v>
      </c>
      <c r="AA158" s="111">
        <v>70.907727218569562</v>
      </c>
      <c r="AB158" s="111">
        <v>71.063670306100562</v>
      </c>
      <c r="AC158" s="111">
        <v>71.16351321020521</v>
      </c>
      <c r="AD158" s="111">
        <v>71.130510226274396</v>
      </c>
      <c r="AE158" s="111">
        <v>71.071939314644254</v>
      </c>
      <c r="AF158" s="111">
        <v>71.289809711930104</v>
      </c>
      <c r="AG158" s="111">
        <v>71.40401564888154</v>
      </c>
      <c r="AH158" s="111">
        <v>71.356502636517575</v>
      </c>
      <c r="AI158" s="111">
        <v>71.162744715389337</v>
      </c>
      <c r="AJ158" s="111">
        <v>71.179859363740675</v>
      </c>
      <c r="AK158" s="111">
        <v>71.239468598881814</v>
      </c>
      <c r="AL158" s="111">
        <v>71.205000688730593</v>
      </c>
      <c r="AM158" s="111">
        <v>71.332062916712175</v>
      </c>
      <c r="AN158" s="111">
        <v>71.484681930894922</v>
      </c>
      <c r="AO158" s="111">
        <v>71.508853155448634</v>
      </c>
      <c r="AP158" s="111">
        <v>71.653957210542771</v>
      </c>
      <c r="AQ158" s="111">
        <v>71.875019602271337</v>
      </c>
      <c r="AR158" s="111">
        <v>72.033535192115977</v>
      </c>
      <c r="AS158" s="111">
        <v>71.994411557875594</v>
      </c>
      <c r="AT158" s="111">
        <v>72.103619822741209</v>
      </c>
      <c r="AU158" s="111">
        <v>72.373361495260269</v>
      </c>
      <c r="AV158" s="111">
        <v>72.460496327161621</v>
      </c>
      <c r="AW158" s="111">
        <v>72.690273516991283</v>
      </c>
      <c r="AX158" s="111">
        <v>72.903248078745861</v>
      </c>
      <c r="AY158" s="111">
        <v>72.829660805236969</v>
      </c>
      <c r="AZ158" s="111">
        <v>72.784448809878214</v>
      </c>
      <c r="BA158" s="111">
        <v>72.974149721892815</v>
      </c>
      <c r="BB158" s="111">
        <v>73.042962030063478</v>
      </c>
      <c r="BC158" s="111">
        <v>73.007306550446984</v>
      </c>
      <c r="BD158" s="111">
        <v>72.992602335240875</v>
      </c>
      <c r="BE158" s="111">
        <v>73.203320885361236</v>
      </c>
      <c r="BF158" s="111">
        <v>73.298052085146779</v>
      </c>
      <c r="BG158" s="111">
        <v>73.433321686286519</v>
      </c>
      <c r="BH158" s="111">
        <v>73.437136785496378</v>
      </c>
      <c r="BI158" s="111">
        <v>73.43424036704198</v>
      </c>
      <c r="BJ158" s="111">
        <v>73.308626880849502</v>
      </c>
      <c r="BK158" s="111">
        <v>73.382800260568189</v>
      </c>
      <c r="BL158" s="111">
        <v>73.481098121628236</v>
      </c>
      <c r="BM158" s="111">
        <v>73.558538749562075</v>
      </c>
      <c r="BN158" s="111">
        <v>73.77567206998765</v>
      </c>
      <c r="BO158" s="111">
        <v>73.980010097194622</v>
      </c>
      <c r="BP158" s="111">
        <v>74.048601004314747</v>
      </c>
      <c r="BQ158" s="111">
        <v>74.112436358665619</v>
      </c>
      <c r="BR158" s="111">
        <v>74.089185185564972</v>
      </c>
      <c r="BS158" s="111">
        <v>74.140244568942791</v>
      </c>
      <c r="BT158" s="111">
        <v>74.134710271412644</v>
      </c>
      <c r="BU158" s="111">
        <v>74.191477732027906</v>
      </c>
      <c r="BV158" s="111">
        <v>74.356930385780416</v>
      </c>
      <c r="BW158" s="111">
        <v>74.417431872164698</v>
      </c>
      <c r="BX158" s="111">
        <v>74.504598907218096</v>
      </c>
      <c r="BY158" s="111">
        <v>74.485658991028515</v>
      </c>
      <c r="BZ158" s="111">
        <v>74.446603214355733</v>
      </c>
      <c r="CA158" s="111">
        <v>74.433040437660509</v>
      </c>
      <c r="CB158" s="111">
        <v>74.447406320549746</v>
      </c>
      <c r="CC158" s="111">
        <v>74.566118862529777</v>
      </c>
      <c r="CD158" s="111">
        <v>74.536392949236401</v>
      </c>
      <c r="CE158" s="111">
        <v>74.623790345552919</v>
      </c>
      <c r="CF158" s="111">
        <v>74.768654892058947</v>
      </c>
      <c r="CG158" s="111">
        <v>74.766734957028675</v>
      </c>
      <c r="CH158" s="111">
        <v>74.908949118194769</v>
      </c>
      <c r="CI158" s="111">
        <v>75.104353394472014</v>
      </c>
      <c r="CJ158" s="111">
        <v>75.264121094393076</v>
      </c>
      <c r="CK158" s="111">
        <v>75.138180400193576</v>
      </c>
      <c r="CL158" s="111">
        <v>75.006908323214148</v>
      </c>
      <c r="CM158" s="111">
        <v>75.076017106461023</v>
      </c>
      <c r="CN158" s="111">
        <v>75.338483274583297</v>
      </c>
      <c r="CO158" s="111">
        <v>75.175362000756962</v>
      </c>
      <c r="CP158" s="111">
        <v>75.30308514652522</v>
      </c>
      <c r="CQ158" s="111">
        <v>75.37528469149548</v>
      </c>
      <c r="CR158" s="111">
        <v>75.561069614687582</v>
      </c>
      <c r="CS158" s="111">
        <v>75.593529445092898</v>
      </c>
      <c r="CT158" s="111">
        <v>75.631977883027858</v>
      </c>
      <c r="CU158" s="111">
        <v>75.548796641450622</v>
      </c>
      <c r="CV158" s="111">
        <v>75.518698850426787</v>
      </c>
      <c r="CW158" s="111">
        <v>75.556981399941904</v>
      </c>
      <c r="CX158" s="111">
        <v>75.552678799441637</v>
      </c>
      <c r="CY158" s="111">
        <v>75.711868305729752</v>
      </c>
      <c r="CZ158" s="111">
        <v>75.7608129804497</v>
      </c>
      <c r="DA158" s="111">
        <v>75.833081081136413</v>
      </c>
      <c r="DB158" s="111">
        <v>76.106094454324619</v>
      </c>
      <c r="DC158" s="111">
        <v>76.127453766378309</v>
      </c>
      <c r="DD158" s="111">
        <v>76.056950767717879</v>
      </c>
      <c r="DE158" s="111">
        <v>76.113268679439074</v>
      </c>
      <c r="DF158" s="111">
        <v>76.049416778570034</v>
      </c>
      <c r="DG158" s="111">
        <v>76.102367073888104</v>
      </c>
      <c r="DH158" s="111">
        <v>76.126454616971998</v>
      </c>
      <c r="DI158" s="111">
        <v>75.874265766892464</v>
      </c>
      <c r="DJ158" s="111">
        <v>76.046652812031994</v>
      </c>
      <c r="DK158" s="111">
        <v>76.153081778384404</v>
      </c>
      <c r="DL158" s="111">
        <v>76.342518638937122</v>
      </c>
      <c r="DM158" s="111">
        <v>76.471298780977776</v>
      </c>
      <c r="DN158" s="111">
        <v>76.456687068331419</v>
      </c>
      <c r="DO158" s="111">
        <v>76.56172688194151</v>
      </c>
      <c r="DP158" s="111">
        <v>76.325932414160349</v>
      </c>
      <c r="DQ158" s="111">
        <v>75.985802524822176</v>
      </c>
      <c r="DR158" s="111">
        <v>75.871619741414179</v>
      </c>
      <c r="DS158" s="111">
        <v>75.71015313532908</v>
      </c>
      <c r="DT158" s="111">
        <v>75.573832251490998</v>
      </c>
      <c r="DU158" s="111">
        <v>75.298733008664982</v>
      </c>
      <c r="DV158" s="111">
        <v>74.924362790406121</v>
      </c>
      <c r="DW158" s="111">
        <v>74.845142873397961</v>
      </c>
      <c r="DX158" s="111">
        <v>74.863546378001359</v>
      </c>
      <c r="DY158" s="111">
        <v>74.577055833772562</v>
      </c>
      <c r="DZ158" s="111">
        <v>74.559479716750005</v>
      </c>
      <c r="EA158" s="111">
        <v>74.690755017186817</v>
      </c>
      <c r="EB158" s="111">
        <v>74.667813063485482</v>
      </c>
      <c r="EC158" s="111">
        <v>74.692215176965391</v>
      </c>
      <c r="ED158" s="111">
        <v>74.750852404419049</v>
      </c>
      <c r="EE158" s="112">
        <v>75.019872463169762</v>
      </c>
      <c r="EF158" s="113">
        <v>75.142336390490669</v>
      </c>
      <c r="EG158" s="111">
        <v>75.242012313790454</v>
      </c>
      <c r="EH158" s="111">
        <v>75.336737738508361</v>
      </c>
      <c r="EI158" s="111">
        <v>75.385207923827323</v>
      </c>
      <c r="EJ158" s="111">
        <v>75.417536609317878</v>
      </c>
      <c r="EK158" s="111">
        <v>75.469458847652803</v>
      </c>
      <c r="EL158" s="111">
        <v>75.431988378732541</v>
      </c>
      <c r="EM158" s="111">
        <v>75.465305750384204</v>
      </c>
      <c r="EN158" s="111">
        <v>75.626683571744096</v>
      </c>
      <c r="EO158" s="111">
        <v>75.648992817013806</v>
      </c>
      <c r="EP158" s="111">
        <v>75.866474785436637</v>
      </c>
      <c r="EQ158" s="112">
        <v>75.518216130142292</v>
      </c>
      <c r="ER158" s="110">
        <v>75.424200108727874</v>
      </c>
      <c r="ES158" s="112"/>
      <c r="ET158" s="106"/>
      <c r="EU158" s="106"/>
      <c r="EV158" s="106"/>
      <c r="EW158" s="106"/>
      <c r="EX158" s="106"/>
      <c r="EY158" s="106"/>
      <c r="EZ158" s="106"/>
      <c r="FA158" s="106"/>
      <c r="FB158" s="106"/>
      <c r="FC158" s="106"/>
      <c r="FD158" s="106"/>
      <c r="FE158" s="106"/>
      <c r="FF158" s="106"/>
      <c r="FG158" s="106"/>
      <c r="FH158" s="106"/>
      <c r="FI158" s="106"/>
      <c r="FJ158" s="106"/>
      <c r="FK158" s="106"/>
      <c r="FL158" s="106"/>
      <c r="FM158" s="106"/>
      <c r="FN158" s="106"/>
      <c r="FO158" s="106"/>
      <c r="FP158" s="106"/>
      <c r="FQ158" s="106"/>
      <c r="FR158" s="106"/>
      <c r="FS158" s="106"/>
      <c r="FT158" s="106"/>
      <c r="FU158" s="106"/>
      <c r="FV158" s="106"/>
      <c r="FW158" s="106"/>
      <c r="FX158" s="106"/>
      <c r="FY158" s="106"/>
      <c r="FZ158" s="106"/>
      <c r="GA158" s="106"/>
      <c r="GB158" s="106"/>
      <c r="GC158" s="106"/>
      <c r="GD158" s="106"/>
      <c r="GE158" s="106"/>
      <c r="GF158" s="106"/>
      <c r="GG158" s="159"/>
    </row>
    <row r="159" spans="2:189" x14ac:dyDescent="0.2">
      <c r="B159" s="97">
        <v>44835</v>
      </c>
      <c r="C159" s="111">
        <v>70.422667390858052</v>
      </c>
      <c r="D159" s="111">
        <v>70.621486151623998</v>
      </c>
      <c r="E159" s="111">
        <v>70.638593680386805</v>
      </c>
      <c r="F159" s="111">
        <v>70.705399556203304</v>
      </c>
      <c r="G159" s="111">
        <v>70.49040918716814</v>
      </c>
      <c r="H159" s="111">
        <v>70.338702077892592</v>
      </c>
      <c r="I159" s="111">
        <v>70.38984940855012</v>
      </c>
      <c r="J159" s="111">
        <v>70.468865143978903</v>
      </c>
      <c r="K159" s="111">
        <v>70.586396738483302</v>
      </c>
      <c r="L159" s="111">
        <v>70.546146885197274</v>
      </c>
      <c r="M159" s="111">
        <v>70.481744775577454</v>
      </c>
      <c r="N159" s="111">
        <v>70.512158476249269</v>
      </c>
      <c r="O159" s="111">
        <v>70.450461862802683</v>
      </c>
      <c r="P159" s="111">
        <v>70.219556850312301</v>
      </c>
      <c r="Q159" s="111">
        <v>70.195306715571732</v>
      </c>
      <c r="R159" s="111">
        <v>70.105348660979573</v>
      </c>
      <c r="S159" s="111">
        <v>70.144074376248923</v>
      </c>
      <c r="T159" s="111">
        <v>70.144813109534212</v>
      </c>
      <c r="U159" s="111">
        <v>70.218305063382488</v>
      </c>
      <c r="V159" s="111">
        <v>70.240002581088262</v>
      </c>
      <c r="W159" s="111">
        <v>70.312824694108684</v>
      </c>
      <c r="X159" s="111">
        <v>70.466908437029261</v>
      </c>
      <c r="Y159" s="111">
        <v>70.528032645060904</v>
      </c>
      <c r="Z159" s="111">
        <v>70.660482564584754</v>
      </c>
      <c r="AA159" s="111">
        <v>70.907727218569562</v>
      </c>
      <c r="AB159" s="111">
        <v>71.063670306100562</v>
      </c>
      <c r="AC159" s="111">
        <v>71.16351321020521</v>
      </c>
      <c r="AD159" s="111">
        <v>71.130510226274396</v>
      </c>
      <c r="AE159" s="111">
        <v>71.071939314644254</v>
      </c>
      <c r="AF159" s="111">
        <v>71.289809711930104</v>
      </c>
      <c r="AG159" s="111">
        <v>71.40401564888154</v>
      </c>
      <c r="AH159" s="111">
        <v>71.356502636517575</v>
      </c>
      <c r="AI159" s="111">
        <v>71.162744715389337</v>
      </c>
      <c r="AJ159" s="111">
        <v>71.179859363740675</v>
      </c>
      <c r="AK159" s="111">
        <v>71.239468598881814</v>
      </c>
      <c r="AL159" s="111">
        <v>71.205000688730593</v>
      </c>
      <c r="AM159" s="111">
        <v>71.332062916712175</v>
      </c>
      <c r="AN159" s="111">
        <v>71.484681930894922</v>
      </c>
      <c r="AO159" s="111">
        <v>71.508853155448634</v>
      </c>
      <c r="AP159" s="111">
        <v>71.653957210542771</v>
      </c>
      <c r="AQ159" s="111">
        <v>71.875019602271337</v>
      </c>
      <c r="AR159" s="111">
        <v>72.033535192115977</v>
      </c>
      <c r="AS159" s="111">
        <v>71.994411557875594</v>
      </c>
      <c r="AT159" s="111">
        <v>72.103619822741209</v>
      </c>
      <c r="AU159" s="111">
        <v>72.373361495260269</v>
      </c>
      <c r="AV159" s="111">
        <v>72.460496327161621</v>
      </c>
      <c r="AW159" s="111">
        <v>72.690273516991283</v>
      </c>
      <c r="AX159" s="111">
        <v>72.903248078745861</v>
      </c>
      <c r="AY159" s="111">
        <v>72.829660805236969</v>
      </c>
      <c r="AZ159" s="111">
        <v>72.784448809878214</v>
      </c>
      <c r="BA159" s="111">
        <v>72.974149721892815</v>
      </c>
      <c r="BB159" s="111">
        <v>73.042962030063478</v>
      </c>
      <c r="BC159" s="111">
        <v>73.007306550446984</v>
      </c>
      <c r="BD159" s="111">
        <v>72.992602335240875</v>
      </c>
      <c r="BE159" s="111">
        <v>73.203320885361236</v>
      </c>
      <c r="BF159" s="111">
        <v>73.298052085146779</v>
      </c>
      <c r="BG159" s="111">
        <v>73.433321686286519</v>
      </c>
      <c r="BH159" s="111">
        <v>73.437136785496378</v>
      </c>
      <c r="BI159" s="111">
        <v>73.43424036704198</v>
      </c>
      <c r="BJ159" s="111">
        <v>73.308626880849502</v>
      </c>
      <c r="BK159" s="111">
        <v>73.382800260568189</v>
      </c>
      <c r="BL159" s="111">
        <v>73.481098121628236</v>
      </c>
      <c r="BM159" s="111">
        <v>73.558538749562075</v>
      </c>
      <c r="BN159" s="111">
        <v>73.77567206998765</v>
      </c>
      <c r="BO159" s="111">
        <v>73.980010097194622</v>
      </c>
      <c r="BP159" s="111">
        <v>74.048601004314747</v>
      </c>
      <c r="BQ159" s="111">
        <v>74.112436358665619</v>
      </c>
      <c r="BR159" s="111">
        <v>74.089185185564972</v>
      </c>
      <c r="BS159" s="111">
        <v>74.140244568942791</v>
      </c>
      <c r="BT159" s="111">
        <v>74.134710271412644</v>
      </c>
      <c r="BU159" s="111">
        <v>74.191477732027906</v>
      </c>
      <c r="BV159" s="111">
        <v>74.356930385780416</v>
      </c>
      <c r="BW159" s="111">
        <v>74.417431872164698</v>
      </c>
      <c r="BX159" s="111">
        <v>74.504598907218096</v>
      </c>
      <c r="BY159" s="111">
        <v>74.485658991028515</v>
      </c>
      <c r="BZ159" s="111">
        <v>74.446603214355733</v>
      </c>
      <c r="CA159" s="111">
        <v>74.433040437660509</v>
      </c>
      <c r="CB159" s="111">
        <v>74.447406320549746</v>
      </c>
      <c r="CC159" s="111">
        <v>74.566118862529777</v>
      </c>
      <c r="CD159" s="111">
        <v>74.536392949236401</v>
      </c>
      <c r="CE159" s="111">
        <v>74.623790345552919</v>
      </c>
      <c r="CF159" s="111">
        <v>74.768654892058947</v>
      </c>
      <c r="CG159" s="111">
        <v>74.766734957028675</v>
      </c>
      <c r="CH159" s="111">
        <v>74.908949118194769</v>
      </c>
      <c r="CI159" s="111">
        <v>75.104353394472014</v>
      </c>
      <c r="CJ159" s="111">
        <v>75.264121094393076</v>
      </c>
      <c r="CK159" s="111">
        <v>75.138180400193576</v>
      </c>
      <c r="CL159" s="111">
        <v>75.006908323214148</v>
      </c>
      <c r="CM159" s="111">
        <v>75.076017106461023</v>
      </c>
      <c r="CN159" s="111">
        <v>75.338483274583297</v>
      </c>
      <c r="CO159" s="111">
        <v>75.175362000756962</v>
      </c>
      <c r="CP159" s="111">
        <v>75.30308514652522</v>
      </c>
      <c r="CQ159" s="111">
        <v>75.37528469149548</v>
      </c>
      <c r="CR159" s="111">
        <v>75.561069614687582</v>
      </c>
      <c r="CS159" s="111">
        <v>75.593529445092898</v>
      </c>
      <c r="CT159" s="111">
        <v>75.631977883027858</v>
      </c>
      <c r="CU159" s="111">
        <v>75.548796641450622</v>
      </c>
      <c r="CV159" s="111">
        <v>75.518698850426787</v>
      </c>
      <c r="CW159" s="111">
        <v>75.556981399941904</v>
      </c>
      <c r="CX159" s="111">
        <v>75.552678799441637</v>
      </c>
      <c r="CY159" s="111">
        <v>75.711868305729752</v>
      </c>
      <c r="CZ159" s="111">
        <v>75.7608129804497</v>
      </c>
      <c r="DA159" s="111">
        <v>75.833081081136413</v>
      </c>
      <c r="DB159" s="111">
        <v>76.106094454324619</v>
      </c>
      <c r="DC159" s="111">
        <v>76.127453766378309</v>
      </c>
      <c r="DD159" s="111">
        <v>76.056950767717879</v>
      </c>
      <c r="DE159" s="111">
        <v>76.113268679439074</v>
      </c>
      <c r="DF159" s="111">
        <v>76.049416778570034</v>
      </c>
      <c r="DG159" s="111">
        <v>76.102367073888104</v>
      </c>
      <c r="DH159" s="111">
        <v>76.126454616971998</v>
      </c>
      <c r="DI159" s="111">
        <v>75.874265766892464</v>
      </c>
      <c r="DJ159" s="111">
        <v>76.046652812031994</v>
      </c>
      <c r="DK159" s="111">
        <v>76.153081778384404</v>
      </c>
      <c r="DL159" s="111">
        <v>76.342518638937122</v>
      </c>
      <c r="DM159" s="111">
        <v>76.471298780977776</v>
      </c>
      <c r="DN159" s="111">
        <v>76.456687068331419</v>
      </c>
      <c r="DO159" s="111">
        <v>76.56172688194151</v>
      </c>
      <c r="DP159" s="111">
        <v>76.325932414160349</v>
      </c>
      <c r="DQ159" s="111">
        <v>75.985802524822176</v>
      </c>
      <c r="DR159" s="111">
        <v>75.871619741414179</v>
      </c>
      <c r="DS159" s="111">
        <v>75.71015313532908</v>
      </c>
      <c r="DT159" s="111">
        <v>75.573832251490998</v>
      </c>
      <c r="DU159" s="111">
        <v>75.298733008664982</v>
      </c>
      <c r="DV159" s="111">
        <v>74.924362790406121</v>
      </c>
      <c r="DW159" s="111">
        <v>74.845142873397961</v>
      </c>
      <c r="DX159" s="111">
        <v>74.863546378001359</v>
      </c>
      <c r="DY159" s="111">
        <v>74.577055833772562</v>
      </c>
      <c r="DZ159" s="111">
        <v>74.559479716750005</v>
      </c>
      <c r="EA159" s="111">
        <v>74.690755017186817</v>
      </c>
      <c r="EB159" s="111">
        <v>74.667813063485482</v>
      </c>
      <c r="EC159" s="111">
        <v>74.692215176965391</v>
      </c>
      <c r="ED159" s="111">
        <v>74.750852404419049</v>
      </c>
      <c r="EE159" s="112">
        <v>75.019872463169762</v>
      </c>
      <c r="EF159" s="112">
        <v>75.142336390490669</v>
      </c>
      <c r="EG159" s="113">
        <v>75.242012313790454</v>
      </c>
      <c r="EH159" s="111">
        <v>75.336737738508361</v>
      </c>
      <c r="EI159" s="111">
        <v>75.385207923827323</v>
      </c>
      <c r="EJ159" s="111">
        <v>75.417536609317878</v>
      </c>
      <c r="EK159" s="111">
        <v>75.469458847652803</v>
      </c>
      <c r="EL159" s="111">
        <v>75.431988378732541</v>
      </c>
      <c r="EM159" s="111">
        <v>75.465305750384204</v>
      </c>
      <c r="EN159" s="111">
        <v>75.626683571744096</v>
      </c>
      <c r="EO159" s="111">
        <v>75.648992817013806</v>
      </c>
      <c r="EP159" s="111">
        <v>75.866474785436637</v>
      </c>
      <c r="EQ159" s="112">
        <v>75.518216130142292</v>
      </c>
      <c r="ER159" s="112">
        <v>75.424200108727874</v>
      </c>
      <c r="ES159" s="110">
        <v>75.5</v>
      </c>
      <c r="ET159" s="112"/>
      <c r="EU159" s="106"/>
      <c r="EV159" s="106"/>
      <c r="EW159" s="106"/>
      <c r="EX159" s="106"/>
      <c r="EY159" s="106"/>
      <c r="EZ159" s="106"/>
      <c r="FA159" s="106"/>
      <c r="FB159" s="106"/>
      <c r="FC159" s="106"/>
      <c r="FD159" s="106"/>
      <c r="FE159" s="106"/>
      <c r="FF159" s="106"/>
      <c r="FG159" s="106"/>
      <c r="FH159" s="106"/>
      <c r="FI159" s="106"/>
      <c r="FJ159" s="106"/>
      <c r="FK159" s="106"/>
      <c r="FL159" s="106"/>
      <c r="FM159" s="106"/>
      <c r="FN159" s="106"/>
      <c r="FO159" s="106"/>
      <c r="FP159" s="106"/>
      <c r="FQ159" s="106"/>
      <c r="FR159" s="106"/>
      <c r="FS159" s="106"/>
      <c r="FT159" s="106"/>
      <c r="FU159" s="106"/>
      <c r="FV159" s="106"/>
      <c r="FW159" s="106"/>
      <c r="FX159" s="106"/>
      <c r="FY159" s="106"/>
      <c r="FZ159" s="106"/>
      <c r="GA159" s="106"/>
      <c r="GB159" s="106"/>
      <c r="GC159" s="106"/>
      <c r="GD159" s="106"/>
      <c r="GE159" s="106"/>
      <c r="GF159" s="106"/>
      <c r="GG159" s="159"/>
    </row>
    <row r="160" spans="2:189" x14ac:dyDescent="0.2">
      <c r="B160" s="97">
        <v>44866</v>
      </c>
      <c r="C160" s="111">
        <v>70.422667390858052</v>
      </c>
      <c r="D160" s="111">
        <v>70.621486151623998</v>
      </c>
      <c r="E160" s="111">
        <v>70.638593680386805</v>
      </c>
      <c r="F160" s="111">
        <v>70.705399556203304</v>
      </c>
      <c r="G160" s="111">
        <v>70.49040918716814</v>
      </c>
      <c r="H160" s="111">
        <v>70.338702077892592</v>
      </c>
      <c r="I160" s="111">
        <v>70.38984940855012</v>
      </c>
      <c r="J160" s="111">
        <v>70.468865143978903</v>
      </c>
      <c r="K160" s="111">
        <v>70.586396738483302</v>
      </c>
      <c r="L160" s="111">
        <v>70.546146885197274</v>
      </c>
      <c r="M160" s="111">
        <v>70.481744775577454</v>
      </c>
      <c r="N160" s="111">
        <v>70.512158476249269</v>
      </c>
      <c r="O160" s="111">
        <v>70.450461862802683</v>
      </c>
      <c r="P160" s="111">
        <v>70.219556850312301</v>
      </c>
      <c r="Q160" s="111">
        <v>70.195306715571732</v>
      </c>
      <c r="R160" s="111">
        <v>70.105348660979573</v>
      </c>
      <c r="S160" s="111">
        <v>70.144074376248923</v>
      </c>
      <c r="T160" s="111">
        <v>70.144813109534212</v>
      </c>
      <c r="U160" s="111">
        <v>70.218305063382488</v>
      </c>
      <c r="V160" s="111">
        <v>70.240002581088262</v>
      </c>
      <c r="W160" s="111">
        <v>70.312824694108684</v>
      </c>
      <c r="X160" s="111">
        <v>70.466908437029261</v>
      </c>
      <c r="Y160" s="111">
        <v>70.528032645060904</v>
      </c>
      <c r="Z160" s="111">
        <v>70.660482564584754</v>
      </c>
      <c r="AA160" s="111">
        <v>70.907727218569562</v>
      </c>
      <c r="AB160" s="111">
        <v>71.063670306100562</v>
      </c>
      <c r="AC160" s="111">
        <v>71.16351321020521</v>
      </c>
      <c r="AD160" s="111">
        <v>71.130510226274396</v>
      </c>
      <c r="AE160" s="111">
        <v>71.071939314644254</v>
      </c>
      <c r="AF160" s="111">
        <v>71.289809711930104</v>
      </c>
      <c r="AG160" s="111">
        <v>71.40401564888154</v>
      </c>
      <c r="AH160" s="111">
        <v>71.356502636517575</v>
      </c>
      <c r="AI160" s="111">
        <v>71.162744715389337</v>
      </c>
      <c r="AJ160" s="111">
        <v>71.179859363740675</v>
      </c>
      <c r="AK160" s="111">
        <v>71.239468598881814</v>
      </c>
      <c r="AL160" s="111">
        <v>71.205000688730593</v>
      </c>
      <c r="AM160" s="111">
        <v>71.332062916712175</v>
      </c>
      <c r="AN160" s="111">
        <v>71.484681930894922</v>
      </c>
      <c r="AO160" s="111">
        <v>71.508853155448634</v>
      </c>
      <c r="AP160" s="111">
        <v>71.653957210542771</v>
      </c>
      <c r="AQ160" s="111">
        <v>71.875019602271337</v>
      </c>
      <c r="AR160" s="111">
        <v>72.033535192115977</v>
      </c>
      <c r="AS160" s="111">
        <v>71.994411557875594</v>
      </c>
      <c r="AT160" s="111">
        <v>72.103619822741209</v>
      </c>
      <c r="AU160" s="111">
        <v>72.373361495260269</v>
      </c>
      <c r="AV160" s="111">
        <v>72.460496327161621</v>
      </c>
      <c r="AW160" s="111">
        <v>72.690273516991283</v>
      </c>
      <c r="AX160" s="111">
        <v>72.903248078745861</v>
      </c>
      <c r="AY160" s="111">
        <v>72.829660805236969</v>
      </c>
      <c r="AZ160" s="111">
        <v>72.784448809878214</v>
      </c>
      <c r="BA160" s="111">
        <v>72.974149721892815</v>
      </c>
      <c r="BB160" s="111">
        <v>73.042962030063478</v>
      </c>
      <c r="BC160" s="111">
        <v>73.007306550446984</v>
      </c>
      <c r="BD160" s="111">
        <v>72.992602335240875</v>
      </c>
      <c r="BE160" s="111">
        <v>73.203320885361236</v>
      </c>
      <c r="BF160" s="111">
        <v>73.298052085146779</v>
      </c>
      <c r="BG160" s="111">
        <v>73.433321686286519</v>
      </c>
      <c r="BH160" s="111">
        <v>73.437136785496378</v>
      </c>
      <c r="BI160" s="111">
        <v>73.43424036704198</v>
      </c>
      <c r="BJ160" s="111">
        <v>73.308626880849502</v>
      </c>
      <c r="BK160" s="111">
        <v>73.382800260568189</v>
      </c>
      <c r="BL160" s="111">
        <v>73.481098121628236</v>
      </c>
      <c r="BM160" s="111">
        <v>73.558538749562075</v>
      </c>
      <c r="BN160" s="111">
        <v>73.77567206998765</v>
      </c>
      <c r="BO160" s="111">
        <v>73.980010097194622</v>
      </c>
      <c r="BP160" s="111">
        <v>74.048601004314747</v>
      </c>
      <c r="BQ160" s="111">
        <v>74.112436358665619</v>
      </c>
      <c r="BR160" s="111">
        <v>74.089185185564972</v>
      </c>
      <c r="BS160" s="111">
        <v>74.140244568942791</v>
      </c>
      <c r="BT160" s="111">
        <v>74.134710271412644</v>
      </c>
      <c r="BU160" s="111">
        <v>74.191477732027906</v>
      </c>
      <c r="BV160" s="111">
        <v>74.356930385780416</v>
      </c>
      <c r="BW160" s="111">
        <v>74.417431872164698</v>
      </c>
      <c r="BX160" s="111">
        <v>74.504598907218096</v>
      </c>
      <c r="BY160" s="111">
        <v>74.485658991028515</v>
      </c>
      <c r="BZ160" s="111">
        <v>74.446603214355733</v>
      </c>
      <c r="CA160" s="111">
        <v>74.433040437660509</v>
      </c>
      <c r="CB160" s="111">
        <v>74.447406320549746</v>
      </c>
      <c r="CC160" s="111">
        <v>74.566118862529777</v>
      </c>
      <c r="CD160" s="111">
        <v>74.536392949236401</v>
      </c>
      <c r="CE160" s="111">
        <v>74.623790345552919</v>
      </c>
      <c r="CF160" s="111">
        <v>74.768654892058947</v>
      </c>
      <c r="CG160" s="111">
        <v>74.766734957028675</v>
      </c>
      <c r="CH160" s="111">
        <v>74.908949118194769</v>
      </c>
      <c r="CI160" s="111">
        <v>75.104353394472014</v>
      </c>
      <c r="CJ160" s="111">
        <v>75.264121094393076</v>
      </c>
      <c r="CK160" s="111">
        <v>75.138180400193576</v>
      </c>
      <c r="CL160" s="111">
        <v>75.006908323214148</v>
      </c>
      <c r="CM160" s="111">
        <v>75.076017106461023</v>
      </c>
      <c r="CN160" s="111">
        <v>75.338483274583297</v>
      </c>
      <c r="CO160" s="111">
        <v>75.175362000756962</v>
      </c>
      <c r="CP160" s="111">
        <v>75.30308514652522</v>
      </c>
      <c r="CQ160" s="111">
        <v>75.37528469149548</v>
      </c>
      <c r="CR160" s="111">
        <v>75.561069614687582</v>
      </c>
      <c r="CS160" s="111">
        <v>75.593529445092898</v>
      </c>
      <c r="CT160" s="111">
        <v>75.631977883027858</v>
      </c>
      <c r="CU160" s="111">
        <v>75.548796641450622</v>
      </c>
      <c r="CV160" s="111">
        <v>75.518698850426787</v>
      </c>
      <c r="CW160" s="111">
        <v>75.556981399941904</v>
      </c>
      <c r="CX160" s="111">
        <v>75.552678799441637</v>
      </c>
      <c r="CY160" s="111">
        <v>75.711868305729752</v>
      </c>
      <c r="CZ160" s="111">
        <v>75.7608129804497</v>
      </c>
      <c r="DA160" s="111">
        <v>75.833081081136413</v>
      </c>
      <c r="DB160" s="111">
        <v>76.106094454324619</v>
      </c>
      <c r="DC160" s="111">
        <v>76.127453766378309</v>
      </c>
      <c r="DD160" s="111">
        <v>76.056950767717879</v>
      </c>
      <c r="DE160" s="111">
        <v>76.113268679439074</v>
      </c>
      <c r="DF160" s="111">
        <v>76.049416778570034</v>
      </c>
      <c r="DG160" s="111">
        <v>76.102367073888104</v>
      </c>
      <c r="DH160" s="111">
        <v>76.126454616971998</v>
      </c>
      <c r="DI160" s="111">
        <v>75.874265766892464</v>
      </c>
      <c r="DJ160" s="111">
        <v>76.046652812031994</v>
      </c>
      <c r="DK160" s="111">
        <v>76.153081778384404</v>
      </c>
      <c r="DL160" s="111">
        <v>76.342518638937122</v>
      </c>
      <c r="DM160" s="111">
        <v>76.471298780977776</v>
      </c>
      <c r="DN160" s="111">
        <v>76.456687068331419</v>
      </c>
      <c r="DO160" s="111">
        <v>76.56172688194151</v>
      </c>
      <c r="DP160" s="111">
        <v>76.325932414160349</v>
      </c>
      <c r="DQ160" s="111">
        <v>75.985802524822176</v>
      </c>
      <c r="DR160" s="111">
        <v>75.871619741414179</v>
      </c>
      <c r="DS160" s="111">
        <v>75.71015313532908</v>
      </c>
      <c r="DT160" s="111">
        <v>75.573832251490998</v>
      </c>
      <c r="DU160" s="111">
        <v>75.298733008664982</v>
      </c>
      <c r="DV160" s="111">
        <v>74.924362790406121</v>
      </c>
      <c r="DW160" s="111">
        <v>74.845142873397961</v>
      </c>
      <c r="DX160" s="111">
        <v>74.863546378001359</v>
      </c>
      <c r="DY160" s="111">
        <v>74.577055833772562</v>
      </c>
      <c r="DZ160" s="111">
        <v>74.559479716750005</v>
      </c>
      <c r="EA160" s="111">
        <v>74.690755017186817</v>
      </c>
      <c r="EB160" s="111">
        <v>74.667813063485482</v>
      </c>
      <c r="EC160" s="111">
        <v>74.692215176965391</v>
      </c>
      <c r="ED160" s="111">
        <v>74.750852404419049</v>
      </c>
      <c r="EE160" s="112">
        <v>75.019872463169762</v>
      </c>
      <c r="EF160" s="112">
        <v>75.142336390490669</v>
      </c>
      <c r="EG160" s="112">
        <v>75.242012313790454</v>
      </c>
      <c r="EH160" s="113">
        <v>75.336737738508361</v>
      </c>
      <c r="EI160" s="111">
        <v>75.385207923827323</v>
      </c>
      <c r="EJ160" s="111">
        <v>75.417536609317878</v>
      </c>
      <c r="EK160" s="111">
        <v>75.469458847652803</v>
      </c>
      <c r="EL160" s="111">
        <v>75.431988378732541</v>
      </c>
      <c r="EM160" s="111">
        <v>75.465305750384204</v>
      </c>
      <c r="EN160" s="111">
        <v>75.626683571744096</v>
      </c>
      <c r="EO160" s="111">
        <v>75.648992817013806</v>
      </c>
      <c r="EP160" s="111">
        <v>75.866474785436637</v>
      </c>
      <c r="EQ160" s="112">
        <v>75.518216130142292</v>
      </c>
      <c r="ER160" s="112">
        <v>75.424200108727874</v>
      </c>
      <c r="ES160" s="112">
        <v>75.5</v>
      </c>
      <c r="ET160" s="110">
        <v>75.5</v>
      </c>
      <c r="EU160" s="112"/>
      <c r="EV160" s="106"/>
      <c r="EW160" s="106"/>
      <c r="EX160" s="106"/>
      <c r="EY160" s="106"/>
      <c r="EZ160" s="106"/>
      <c r="FA160" s="106"/>
      <c r="FB160" s="106"/>
      <c r="FC160" s="106"/>
      <c r="FD160" s="106"/>
      <c r="FE160" s="106"/>
      <c r="FF160" s="106"/>
      <c r="FG160" s="106"/>
      <c r="FH160" s="106"/>
      <c r="FI160" s="106"/>
      <c r="FJ160" s="106"/>
      <c r="FK160" s="106"/>
      <c r="FL160" s="106"/>
      <c r="FM160" s="106"/>
      <c r="FN160" s="106"/>
      <c r="FO160" s="106"/>
      <c r="FP160" s="106"/>
      <c r="FQ160" s="106"/>
      <c r="FR160" s="106"/>
      <c r="FS160" s="106"/>
      <c r="FT160" s="106"/>
      <c r="FU160" s="106"/>
      <c r="FV160" s="106"/>
      <c r="FW160" s="106"/>
      <c r="FX160" s="106"/>
      <c r="FY160" s="106"/>
      <c r="FZ160" s="106"/>
      <c r="GA160" s="106"/>
      <c r="GB160" s="106"/>
      <c r="GC160" s="106"/>
      <c r="GD160" s="106"/>
      <c r="GE160" s="106"/>
      <c r="GF160" s="106"/>
      <c r="GG160" s="159"/>
    </row>
    <row r="161" spans="2:189" x14ac:dyDescent="0.2">
      <c r="B161" s="97">
        <v>44896</v>
      </c>
      <c r="C161" s="111">
        <v>70.422667390858052</v>
      </c>
      <c r="D161" s="111">
        <v>70.621486151623998</v>
      </c>
      <c r="E161" s="111">
        <v>70.638593680386805</v>
      </c>
      <c r="F161" s="111">
        <v>70.705399556203304</v>
      </c>
      <c r="G161" s="111">
        <v>70.49040918716814</v>
      </c>
      <c r="H161" s="111">
        <v>70.338702077892592</v>
      </c>
      <c r="I161" s="111">
        <v>70.38984940855012</v>
      </c>
      <c r="J161" s="111">
        <v>70.468865143978903</v>
      </c>
      <c r="K161" s="111">
        <v>70.586396738483302</v>
      </c>
      <c r="L161" s="111">
        <v>70.546146885197274</v>
      </c>
      <c r="M161" s="111">
        <v>70.481744775577454</v>
      </c>
      <c r="N161" s="111">
        <v>70.512158476249269</v>
      </c>
      <c r="O161" s="111">
        <v>70.450461862802683</v>
      </c>
      <c r="P161" s="111">
        <v>70.219556850312301</v>
      </c>
      <c r="Q161" s="111">
        <v>70.195306715571732</v>
      </c>
      <c r="R161" s="111">
        <v>70.105348660979573</v>
      </c>
      <c r="S161" s="111">
        <v>70.144074376248923</v>
      </c>
      <c r="T161" s="111">
        <v>70.144813109534212</v>
      </c>
      <c r="U161" s="111">
        <v>70.218305063382488</v>
      </c>
      <c r="V161" s="111">
        <v>70.240002581088262</v>
      </c>
      <c r="W161" s="111">
        <v>70.312824694108684</v>
      </c>
      <c r="X161" s="111">
        <v>70.466908437029261</v>
      </c>
      <c r="Y161" s="111">
        <v>70.528032645060904</v>
      </c>
      <c r="Z161" s="111">
        <v>70.660482564584754</v>
      </c>
      <c r="AA161" s="111">
        <v>70.907727218569562</v>
      </c>
      <c r="AB161" s="111">
        <v>71.063670306100562</v>
      </c>
      <c r="AC161" s="111">
        <v>71.16351321020521</v>
      </c>
      <c r="AD161" s="111">
        <v>71.130510226274396</v>
      </c>
      <c r="AE161" s="111">
        <v>71.071939314644254</v>
      </c>
      <c r="AF161" s="111">
        <v>71.289809711930104</v>
      </c>
      <c r="AG161" s="111">
        <v>71.40401564888154</v>
      </c>
      <c r="AH161" s="111">
        <v>71.356502636517575</v>
      </c>
      <c r="AI161" s="111">
        <v>71.162744715389337</v>
      </c>
      <c r="AJ161" s="111">
        <v>71.179859363740675</v>
      </c>
      <c r="AK161" s="111">
        <v>71.239468598881814</v>
      </c>
      <c r="AL161" s="111">
        <v>71.205000688730593</v>
      </c>
      <c r="AM161" s="111">
        <v>71.332062916712175</v>
      </c>
      <c r="AN161" s="111">
        <v>71.484681930894922</v>
      </c>
      <c r="AO161" s="111">
        <v>71.508853155448634</v>
      </c>
      <c r="AP161" s="111">
        <v>71.653957210542771</v>
      </c>
      <c r="AQ161" s="111">
        <v>71.875019602271337</v>
      </c>
      <c r="AR161" s="111">
        <v>72.033535192115977</v>
      </c>
      <c r="AS161" s="111">
        <v>71.994411557875594</v>
      </c>
      <c r="AT161" s="111">
        <v>72.103619822741209</v>
      </c>
      <c r="AU161" s="111">
        <v>72.373361495260269</v>
      </c>
      <c r="AV161" s="111">
        <v>72.460496327161621</v>
      </c>
      <c r="AW161" s="111">
        <v>72.690273516991283</v>
      </c>
      <c r="AX161" s="111">
        <v>72.903248078745861</v>
      </c>
      <c r="AY161" s="111">
        <v>72.829660805236969</v>
      </c>
      <c r="AZ161" s="111">
        <v>72.784448809878214</v>
      </c>
      <c r="BA161" s="111">
        <v>72.974149721892815</v>
      </c>
      <c r="BB161" s="111">
        <v>73.042962030063478</v>
      </c>
      <c r="BC161" s="111">
        <v>73.007306550446984</v>
      </c>
      <c r="BD161" s="111">
        <v>72.992602335240875</v>
      </c>
      <c r="BE161" s="111">
        <v>73.203320885361236</v>
      </c>
      <c r="BF161" s="111">
        <v>73.298052085146779</v>
      </c>
      <c r="BG161" s="111">
        <v>73.433321686286519</v>
      </c>
      <c r="BH161" s="111">
        <v>73.437136785496378</v>
      </c>
      <c r="BI161" s="111">
        <v>73.43424036704198</v>
      </c>
      <c r="BJ161" s="111">
        <v>73.308626880849502</v>
      </c>
      <c r="BK161" s="111">
        <v>73.382800260568189</v>
      </c>
      <c r="BL161" s="111">
        <v>73.481098121628236</v>
      </c>
      <c r="BM161" s="111">
        <v>73.558538749562075</v>
      </c>
      <c r="BN161" s="111">
        <v>73.77567206998765</v>
      </c>
      <c r="BO161" s="111">
        <v>73.980010097194622</v>
      </c>
      <c r="BP161" s="111">
        <v>74.048601004314747</v>
      </c>
      <c r="BQ161" s="111">
        <v>74.112436358665619</v>
      </c>
      <c r="BR161" s="111">
        <v>74.089185185564972</v>
      </c>
      <c r="BS161" s="111">
        <v>74.140244568942791</v>
      </c>
      <c r="BT161" s="111">
        <v>74.134710271412644</v>
      </c>
      <c r="BU161" s="111">
        <v>74.191477732027906</v>
      </c>
      <c r="BV161" s="111">
        <v>74.356930385780416</v>
      </c>
      <c r="BW161" s="111">
        <v>74.417431872164698</v>
      </c>
      <c r="BX161" s="111">
        <v>74.504598907218096</v>
      </c>
      <c r="BY161" s="111">
        <v>74.485658991028515</v>
      </c>
      <c r="BZ161" s="111">
        <v>74.446603214355733</v>
      </c>
      <c r="CA161" s="111">
        <v>74.433040437660509</v>
      </c>
      <c r="CB161" s="111">
        <v>74.447406320549746</v>
      </c>
      <c r="CC161" s="111">
        <v>74.566118862529777</v>
      </c>
      <c r="CD161" s="111">
        <v>74.536392949236401</v>
      </c>
      <c r="CE161" s="111">
        <v>74.623790345552919</v>
      </c>
      <c r="CF161" s="111">
        <v>74.768654892058947</v>
      </c>
      <c r="CG161" s="111">
        <v>74.766734957028675</v>
      </c>
      <c r="CH161" s="111">
        <v>74.908949118194769</v>
      </c>
      <c r="CI161" s="111">
        <v>75.104353394472014</v>
      </c>
      <c r="CJ161" s="111">
        <v>75.264121094393076</v>
      </c>
      <c r="CK161" s="111">
        <v>75.138180400193576</v>
      </c>
      <c r="CL161" s="111">
        <v>75.006908323214148</v>
      </c>
      <c r="CM161" s="111">
        <v>75.076017106461023</v>
      </c>
      <c r="CN161" s="111">
        <v>75.338483274583297</v>
      </c>
      <c r="CO161" s="111">
        <v>75.175362000756962</v>
      </c>
      <c r="CP161" s="111">
        <v>75.30308514652522</v>
      </c>
      <c r="CQ161" s="111">
        <v>75.37528469149548</v>
      </c>
      <c r="CR161" s="111">
        <v>75.561069614687582</v>
      </c>
      <c r="CS161" s="111">
        <v>75.593529445092898</v>
      </c>
      <c r="CT161" s="111">
        <v>75.631977883027858</v>
      </c>
      <c r="CU161" s="111">
        <v>75.548796641450622</v>
      </c>
      <c r="CV161" s="111">
        <v>75.518698850426787</v>
      </c>
      <c r="CW161" s="111">
        <v>75.556981399941904</v>
      </c>
      <c r="CX161" s="111">
        <v>75.552678799441637</v>
      </c>
      <c r="CY161" s="111">
        <v>75.711868305729752</v>
      </c>
      <c r="CZ161" s="111">
        <v>75.7608129804497</v>
      </c>
      <c r="DA161" s="111">
        <v>75.833081081136413</v>
      </c>
      <c r="DB161" s="111">
        <v>76.106094454324619</v>
      </c>
      <c r="DC161" s="111">
        <v>76.127453766378309</v>
      </c>
      <c r="DD161" s="111">
        <v>76.056950767717879</v>
      </c>
      <c r="DE161" s="111">
        <v>76.113268679439074</v>
      </c>
      <c r="DF161" s="111">
        <v>76.049416778570034</v>
      </c>
      <c r="DG161" s="111">
        <v>76.102367073888104</v>
      </c>
      <c r="DH161" s="111">
        <v>76.126454616971998</v>
      </c>
      <c r="DI161" s="111">
        <v>75.874265766892464</v>
      </c>
      <c r="DJ161" s="111">
        <v>76.046652812031994</v>
      </c>
      <c r="DK161" s="111">
        <v>76.153081778384404</v>
      </c>
      <c r="DL161" s="111">
        <v>76.342518638937122</v>
      </c>
      <c r="DM161" s="111">
        <v>76.471298780977776</v>
      </c>
      <c r="DN161" s="111">
        <v>76.456687068331419</v>
      </c>
      <c r="DO161" s="111">
        <v>76.56172688194151</v>
      </c>
      <c r="DP161" s="111">
        <v>76.325932414160349</v>
      </c>
      <c r="DQ161" s="111">
        <v>75.985802524822176</v>
      </c>
      <c r="DR161" s="111">
        <v>75.871619741414179</v>
      </c>
      <c r="DS161" s="111">
        <v>75.71015313532908</v>
      </c>
      <c r="DT161" s="111">
        <v>75.573832251490998</v>
      </c>
      <c r="DU161" s="111">
        <v>75.298733008664982</v>
      </c>
      <c r="DV161" s="111">
        <v>74.924362790406121</v>
      </c>
      <c r="DW161" s="111">
        <v>74.845142873397961</v>
      </c>
      <c r="DX161" s="111">
        <v>74.863546378001359</v>
      </c>
      <c r="DY161" s="111">
        <v>74.577055833772562</v>
      </c>
      <c r="DZ161" s="111">
        <v>74.559479716750005</v>
      </c>
      <c r="EA161" s="111">
        <v>74.690755017186817</v>
      </c>
      <c r="EB161" s="111">
        <v>74.667813063485482</v>
      </c>
      <c r="EC161" s="111">
        <v>74.692215176965391</v>
      </c>
      <c r="ED161" s="111">
        <v>74.750852404419049</v>
      </c>
      <c r="EE161" s="112">
        <v>75.019872463169762</v>
      </c>
      <c r="EF161" s="112">
        <v>75.142336390490669</v>
      </c>
      <c r="EG161" s="112">
        <v>75.242012313790454</v>
      </c>
      <c r="EH161" s="112">
        <v>75.336737738508361</v>
      </c>
      <c r="EI161" s="116">
        <v>75.385207923827323</v>
      </c>
      <c r="EJ161" s="111">
        <v>75.417536609317878</v>
      </c>
      <c r="EK161" s="111">
        <v>75.469458847652803</v>
      </c>
      <c r="EL161" s="111">
        <v>75.431988378732541</v>
      </c>
      <c r="EM161" s="111">
        <v>75.465305750384204</v>
      </c>
      <c r="EN161" s="111">
        <v>75.626683571744096</v>
      </c>
      <c r="EO161" s="111">
        <v>75.648992817013806</v>
      </c>
      <c r="EP161" s="111">
        <v>75.866474785436637</v>
      </c>
      <c r="EQ161" s="112">
        <v>75.518216130142292</v>
      </c>
      <c r="ER161" s="112">
        <v>75.424200108727874</v>
      </c>
      <c r="ES161" s="112">
        <v>75.5</v>
      </c>
      <c r="ET161" s="112">
        <v>75.5</v>
      </c>
      <c r="EU161" s="110">
        <v>75.590936946393299</v>
      </c>
      <c r="EV161" s="112"/>
      <c r="EW161" s="106"/>
      <c r="EX161" s="106"/>
      <c r="EY161" s="106"/>
      <c r="EZ161" s="106"/>
      <c r="FA161" s="106"/>
      <c r="FB161" s="106"/>
      <c r="FC161" s="106"/>
      <c r="FD161" s="106"/>
      <c r="FE161" s="106"/>
      <c r="FF161" s="106"/>
      <c r="FG161" s="106"/>
      <c r="FH161" s="106"/>
      <c r="FI161" s="106"/>
      <c r="FJ161" s="106"/>
      <c r="FK161" s="106"/>
      <c r="FL161" s="106"/>
      <c r="FM161" s="106"/>
      <c r="FN161" s="106"/>
      <c r="FO161" s="106"/>
      <c r="FP161" s="106"/>
      <c r="FQ161" s="106"/>
      <c r="FR161" s="106"/>
      <c r="FS161" s="106"/>
      <c r="FT161" s="106"/>
      <c r="FU161" s="106"/>
      <c r="FV161" s="106"/>
      <c r="FW161" s="106"/>
      <c r="FX161" s="106"/>
      <c r="FY161" s="106"/>
      <c r="FZ161" s="106"/>
      <c r="GA161" s="106"/>
      <c r="GB161" s="106"/>
      <c r="GC161" s="106"/>
      <c r="GD161" s="106"/>
      <c r="GE161" s="106"/>
      <c r="GF161" s="106"/>
      <c r="GG161" s="159"/>
    </row>
    <row r="162" spans="2:189" x14ac:dyDescent="0.2">
      <c r="B162" s="97">
        <v>44927</v>
      </c>
      <c r="C162" s="111">
        <v>70.422667390858052</v>
      </c>
      <c r="D162" s="111">
        <v>70.621486151623998</v>
      </c>
      <c r="E162" s="111">
        <v>70.638593680386805</v>
      </c>
      <c r="F162" s="111">
        <v>70.705399556203304</v>
      </c>
      <c r="G162" s="111">
        <v>70.49040918716814</v>
      </c>
      <c r="H162" s="111">
        <v>70.338702077892592</v>
      </c>
      <c r="I162" s="111">
        <v>70.38984940855012</v>
      </c>
      <c r="J162" s="111">
        <v>70.468865143978903</v>
      </c>
      <c r="K162" s="111">
        <v>70.586396738483302</v>
      </c>
      <c r="L162" s="111">
        <v>70.546146885197274</v>
      </c>
      <c r="M162" s="111">
        <v>70.481744775577454</v>
      </c>
      <c r="N162" s="111">
        <v>70.512158476249269</v>
      </c>
      <c r="O162" s="111">
        <v>70.450461862802683</v>
      </c>
      <c r="P162" s="111">
        <v>70.219556850312301</v>
      </c>
      <c r="Q162" s="111">
        <v>70.195306715571732</v>
      </c>
      <c r="R162" s="111">
        <v>70.105348660979573</v>
      </c>
      <c r="S162" s="111">
        <v>70.144074376248923</v>
      </c>
      <c r="T162" s="111">
        <v>70.144813109534212</v>
      </c>
      <c r="U162" s="111">
        <v>70.218305063382488</v>
      </c>
      <c r="V162" s="111">
        <v>70.240002581088262</v>
      </c>
      <c r="W162" s="111">
        <v>70.312824694108684</v>
      </c>
      <c r="X162" s="111">
        <v>70.466908437029261</v>
      </c>
      <c r="Y162" s="111">
        <v>70.528032645060904</v>
      </c>
      <c r="Z162" s="111">
        <v>70.660482564584754</v>
      </c>
      <c r="AA162" s="111">
        <v>70.907727218569562</v>
      </c>
      <c r="AB162" s="111">
        <v>71.063670306100562</v>
      </c>
      <c r="AC162" s="111">
        <v>71.16351321020521</v>
      </c>
      <c r="AD162" s="111">
        <v>71.130510226274396</v>
      </c>
      <c r="AE162" s="111">
        <v>71.071939314644254</v>
      </c>
      <c r="AF162" s="111">
        <v>71.289809711930104</v>
      </c>
      <c r="AG162" s="111">
        <v>71.40401564888154</v>
      </c>
      <c r="AH162" s="111">
        <v>71.356502636517575</v>
      </c>
      <c r="AI162" s="111">
        <v>71.162744715389337</v>
      </c>
      <c r="AJ162" s="111">
        <v>71.179859363740675</v>
      </c>
      <c r="AK162" s="111">
        <v>71.239468598881814</v>
      </c>
      <c r="AL162" s="111">
        <v>71.205000688730593</v>
      </c>
      <c r="AM162" s="111">
        <v>71.332062916712175</v>
      </c>
      <c r="AN162" s="111">
        <v>71.484681930894922</v>
      </c>
      <c r="AO162" s="111">
        <v>71.508853155448634</v>
      </c>
      <c r="AP162" s="111">
        <v>71.653957210542771</v>
      </c>
      <c r="AQ162" s="111">
        <v>71.875019602271337</v>
      </c>
      <c r="AR162" s="111">
        <v>72.033535192115977</v>
      </c>
      <c r="AS162" s="111">
        <v>71.994411557875594</v>
      </c>
      <c r="AT162" s="111">
        <v>72.103619822741209</v>
      </c>
      <c r="AU162" s="111">
        <v>72.373361495260269</v>
      </c>
      <c r="AV162" s="111">
        <v>72.460496327161621</v>
      </c>
      <c r="AW162" s="111">
        <v>72.690273516991283</v>
      </c>
      <c r="AX162" s="111">
        <v>72.903248078745861</v>
      </c>
      <c r="AY162" s="111">
        <v>72.829660805236969</v>
      </c>
      <c r="AZ162" s="111">
        <v>72.784448809878214</v>
      </c>
      <c r="BA162" s="111">
        <v>72.974149721892815</v>
      </c>
      <c r="BB162" s="111">
        <v>73.042962030063478</v>
      </c>
      <c r="BC162" s="111">
        <v>73.007306550446984</v>
      </c>
      <c r="BD162" s="111">
        <v>72.992602335240875</v>
      </c>
      <c r="BE162" s="111">
        <v>73.203320885361236</v>
      </c>
      <c r="BF162" s="111">
        <v>73.298052085146779</v>
      </c>
      <c r="BG162" s="111">
        <v>73.433321686286519</v>
      </c>
      <c r="BH162" s="111">
        <v>73.437136785496378</v>
      </c>
      <c r="BI162" s="111">
        <v>73.43424036704198</v>
      </c>
      <c r="BJ162" s="111">
        <v>73.308626880849502</v>
      </c>
      <c r="BK162" s="111">
        <v>73.382800260568189</v>
      </c>
      <c r="BL162" s="111">
        <v>73.481098121628236</v>
      </c>
      <c r="BM162" s="111">
        <v>73.558538749562075</v>
      </c>
      <c r="BN162" s="111">
        <v>73.77567206998765</v>
      </c>
      <c r="BO162" s="111">
        <v>73.980010097194622</v>
      </c>
      <c r="BP162" s="111">
        <v>74.048601004314747</v>
      </c>
      <c r="BQ162" s="111">
        <v>74.112436358665619</v>
      </c>
      <c r="BR162" s="111">
        <v>74.089185185564972</v>
      </c>
      <c r="BS162" s="111">
        <v>74.140244568942791</v>
      </c>
      <c r="BT162" s="111">
        <v>74.134710271412644</v>
      </c>
      <c r="BU162" s="111">
        <v>74.191477732027906</v>
      </c>
      <c r="BV162" s="111">
        <v>74.356930385780416</v>
      </c>
      <c r="BW162" s="111">
        <v>74.417431872164698</v>
      </c>
      <c r="BX162" s="111">
        <v>74.504598907218096</v>
      </c>
      <c r="BY162" s="111">
        <v>74.485658991028515</v>
      </c>
      <c r="BZ162" s="111">
        <v>74.446603214355733</v>
      </c>
      <c r="CA162" s="111">
        <v>74.433040437660509</v>
      </c>
      <c r="CB162" s="111">
        <v>74.447406320549746</v>
      </c>
      <c r="CC162" s="111">
        <v>74.566118862529777</v>
      </c>
      <c r="CD162" s="111">
        <v>74.536392949236401</v>
      </c>
      <c r="CE162" s="111">
        <v>74.623790345552919</v>
      </c>
      <c r="CF162" s="111">
        <v>74.768654892058947</v>
      </c>
      <c r="CG162" s="111">
        <v>74.766734957028675</v>
      </c>
      <c r="CH162" s="111">
        <v>74.908949118194769</v>
      </c>
      <c r="CI162" s="111">
        <v>75.104353394472014</v>
      </c>
      <c r="CJ162" s="111">
        <v>75.264121094393076</v>
      </c>
      <c r="CK162" s="111">
        <v>75.138180400193576</v>
      </c>
      <c r="CL162" s="111">
        <v>75.006908323214148</v>
      </c>
      <c r="CM162" s="111">
        <v>75.076017106461023</v>
      </c>
      <c r="CN162" s="111">
        <v>75.338483274583297</v>
      </c>
      <c r="CO162" s="111">
        <v>75.175362000756962</v>
      </c>
      <c r="CP162" s="111">
        <v>75.30308514652522</v>
      </c>
      <c r="CQ162" s="111">
        <v>75.37528469149548</v>
      </c>
      <c r="CR162" s="111">
        <v>75.561069614687582</v>
      </c>
      <c r="CS162" s="111">
        <v>75.593529445092898</v>
      </c>
      <c r="CT162" s="111">
        <v>75.631977883027858</v>
      </c>
      <c r="CU162" s="111">
        <v>75.548796641450622</v>
      </c>
      <c r="CV162" s="111">
        <v>75.518698850426787</v>
      </c>
      <c r="CW162" s="111">
        <v>75.556981399941904</v>
      </c>
      <c r="CX162" s="111">
        <v>75.552678799441637</v>
      </c>
      <c r="CY162" s="111">
        <v>75.711868305729752</v>
      </c>
      <c r="CZ162" s="111">
        <v>75.7608129804497</v>
      </c>
      <c r="DA162" s="111">
        <v>75.833081081136413</v>
      </c>
      <c r="DB162" s="111">
        <v>76.106094454324619</v>
      </c>
      <c r="DC162" s="111">
        <v>76.127453766378309</v>
      </c>
      <c r="DD162" s="111">
        <v>76.056950767717879</v>
      </c>
      <c r="DE162" s="111">
        <v>76.113268679439074</v>
      </c>
      <c r="DF162" s="111">
        <v>76.049416778570034</v>
      </c>
      <c r="DG162" s="111">
        <v>76.102367073888104</v>
      </c>
      <c r="DH162" s="111">
        <v>76.126454616971998</v>
      </c>
      <c r="DI162" s="111">
        <v>75.874265766892464</v>
      </c>
      <c r="DJ162" s="111">
        <v>76.046652812031994</v>
      </c>
      <c r="DK162" s="111">
        <v>76.153081778384404</v>
      </c>
      <c r="DL162" s="111">
        <v>76.342518638937122</v>
      </c>
      <c r="DM162" s="111">
        <v>76.471298780977776</v>
      </c>
      <c r="DN162" s="111">
        <v>76.456687068331419</v>
      </c>
      <c r="DO162" s="111">
        <v>76.56172688194151</v>
      </c>
      <c r="DP162" s="111">
        <v>76.325932414160349</v>
      </c>
      <c r="DQ162" s="111">
        <v>75.985802524822176</v>
      </c>
      <c r="DR162" s="111">
        <v>75.871619741414179</v>
      </c>
      <c r="DS162" s="111">
        <v>75.71015313532908</v>
      </c>
      <c r="DT162" s="111">
        <v>75.573832251490998</v>
      </c>
      <c r="DU162" s="111">
        <v>75.298733008664982</v>
      </c>
      <c r="DV162" s="111">
        <v>74.924362790406121</v>
      </c>
      <c r="DW162" s="111">
        <v>74.845142873397961</v>
      </c>
      <c r="DX162" s="111">
        <v>74.863546378001359</v>
      </c>
      <c r="DY162" s="111">
        <v>74.577055833772562</v>
      </c>
      <c r="DZ162" s="111">
        <v>74.559479716750005</v>
      </c>
      <c r="EA162" s="111">
        <v>74.690755017186817</v>
      </c>
      <c r="EB162" s="111">
        <v>74.667813063485482</v>
      </c>
      <c r="EC162" s="111">
        <v>74.692215176965391</v>
      </c>
      <c r="ED162" s="111">
        <v>74.750852404419049</v>
      </c>
      <c r="EE162" s="112">
        <v>75.019872463169762</v>
      </c>
      <c r="EF162" s="112">
        <v>75.142336390490669</v>
      </c>
      <c r="EG162" s="112">
        <v>75.242012313790454</v>
      </c>
      <c r="EH162" s="112">
        <v>75.336737738508361</v>
      </c>
      <c r="EI162" s="112">
        <v>75.385207923827323</v>
      </c>
      <c r="EJ162" s="116">
        <v>75.417536609317878</v>
      </c>
      <c r="EK162" s="111">
        <v>75.469458847652803</v>
      </c>
      <c r="EL162" s="111">
        <v>75.431988378732541</v>
      </c>
      <c r="EM162" s="111">
        <v>75.465305750384204</v>
      </c>
      <c r="EN162" s="111">
        <v>75.626683571744096</v>
      </c>
      <c r="EO162" s="111">
        <v>75.648992817013806</v>
      </c>
      <c r="EP162" s="111">
        <v>75.866474785436637</v>
      </c>
      <c r="EQ162" s="112">
        <v>75.518216130142292</v>
      </c>
      <c r="ER162" s="112">
        <v>75.424200108727874</v>
      </c>
      <c r="ES162" s="112">
        <v>75.5</v>
      </c>
      <c r="ET162" s="112">
        <v>75.5</v>
      </c>
      <c r="EU162" s="112">
        <v>75.590936946393299</v>
      </c>
      <c r="EV162" s="110">
        <v>75.599999999999994</v>
      </c>
      <c r="EW162" s="112"/>
      <c r="EX162" s="106"/>
      <c r="EY162" s="106"/>
      <c r="EZ162" s="106"/>
      <c r="FA162" s="106"/>
      <c r="FB162" s="106"/>
      <c r="FC162" s="106"/>
      <c r="FD162" s="106"/>
      <c r="FE162" s="106"/>
      <c r="FF162" s="106"/>
      <c r="FG162" s="106"/>
      <c r="FH162" s="106"/>
      <c r="FI162" s="106"/>
      <c r="FJ162" s="106"/>
      <c r="FK162" s="106"/>
      <c r="FL162" s="106"/>
      <c r="FM162" s="106"/>
      <c r="FN162" s="106"/>
      <c r="FO162" s="106"/>
      <c r="FP162" s="106"/>
      <c r="FQ162" s="106"/>
      <c r="FR162" s="106"/>
      <c r="FS162" s="106"/>
      <c r="FT162" s="106"/>
      <c r="FU162" s="106"/>
      <c r="FV162" s="106"/>
      <c r="FW162" s="106"/>
      <c r="FX162" s="106"/>
      <c r="FY162" s="106"/>
      <c r="FZ162" s="106"/>
      <c r="GA162" s="106"/>
      <c r="GB162" s="106"/>
      <c r="GC162" s="106"/>
      <c r="GD162" s="106"/>
      <c r="GE162" s="106"/>
      <c r="GF162" s="106"/>
      <c r="GG162" s="159"/>
    </row>
    <row r="163" spans="2:189" x14ac:dyDescent="0.2">
      <c r="B163" s="97">
        <v>44958</v>
      </c>
      <c r="C163" s="111">
        <v>70.422667390858052</v>
      </c>
      <c r="D163" s="111">
        <v>70.621486151623998</v>
      </c>
      <c r="E163" s="111">
        <v>70.638593680386805</v>
      </c>
      <c r="F163" s="111">
        <v>70.705399556203304</v>
      </c>
      <c r="G163" s="111">
        <v>70.49040918716814</v>
      </c>
      <c r="H163" s="111">
        <v>70.338702077892592</v>
      </c>
      <c r="I163" s="111">
        <v>70.38984940855012</v>
      </c>
      <c r="J163" s="111">
        <v>70.468865143978903</v>
      </c>
      <c r="K163" s="111">
        <v>70.586396738483302</v>
      </c>
      <c r="L163" s="111">
        <v>70.546146885197274</v>
      </c>
      <c r="M163" s="111">
        <v>70.481744775577454</v>
      </c>
      <c r="N163" s="111">
        <v>70.512158476249269</v>
      </c>
      <c r="O163" s="111">
        <v>70.450461862802683</v>
      </c>
      <c r="P163" s="111">
        <v>70.219556850312301</v>
      </c>
      <c r="Q163" s="111">
        <v>70.195306715571732</v>
      </c>
      <c r="R163" s="111">
        <v>70.105348660979573</v>
      </c>
      <c r="S163" s="111">
        <v>70.144074376248923</v>
      </c>
      <c r="T163" s="111">
        <v>70.144813109534212</v>
      </c>
      <c r="U163" s="111">
        <v>70.218305063382488</v>
      </c>
      <c r="V163" s="111">
        <v>70.240002581088262</v>
      </c>
      <c r="W163" s="111">
        <v>70.312824694108684</v>
      </c>
      <c r="X163" s="111">
        <v>70.466908437029261</v>
      </c>
      <c r="Y163" s="111">
        <v>70.528032645060904</v>
      </c>
      <c r="Z163" s="111">
        <v>70.660482564584754</v>
      </c>
      <c r="AA163" s="111">
        <v>70.907727218569562</v>
      </c>
      <c r="AB163" s="111">
        <v>71.063670306100562</v>
      </c>
      <c r="AC163" s="111">
        <v>71.16351321020521</v>
      </c>
      <c r="AD163" s="111">
        <v>71.130510226274396</v>
      </c>
      <c r="AE163" s="111">
        <v>71.071939314644254</v>
      </c>
      <c r="AF163" s="111">
        <v>71.289809711930104</v>
      </c>
      <c r="AG163" s="111">
        <v>71.40401564888154</v>
      </c>
      <c r="AH163" s="111">
        <v>71.356502636517575</v>
      </c>
      <c r="AI163" s="111">
        <v>71.162744715389337</v>
      </c>
      <c r="AJ163" s="111">
        <v>71.179859363740675</v>
      </c>
      <c r="AK163" s="111">
        <v>71.239468598881814</v>
      </c>
      <c r="AL163" s="111">
        <v>71.205000688730593</v>
      </c>
      <c r="AM163" s="111">
        <v>71.332062916712175</v>
      </c>
      <c r="AN163" s="111">
        <v>71.484681930894922</v>
      </c>
      <c r="AO163" s="111">
        <v>71.508853155448634</v>
      </c>
      <c r="AP163" s="111">
        <v>71.653957210542771</v>
      </c>
      <c r="AQ163" s="111">
        <v>71.875019602271337</v>
      </c>
      <c r="AR163" s="111">
        <v>72.033535192115977</v>
      </c>
      <c r="AS163" s="111">
        <v>71.994411557875594</v>
      </c>
      <c r="AT163" s="111">
        <v>72.103619822741209</v>
      </c>
      <c r="AU163" s="111">
        <v>72.373361495260269</v>
      </c>
      <c r="AV163" s="111">
        <v>72.460496327161621</v>
      </c>
      <c r="AW163" s="111">
        <v>72.690273516991283</v>
      </c>
      <c r="AX163" s="111">
        <v>72.903248078745861</v>
      </c>
      <c r="AY163" s="111">
        <v>72.829660805236969</v>
      </c>
      <c r="AZ163" s="111">
        <v>72.784448809878214</v>
      </c>
      <c r="BA163" s="111">
        <v>72.974149721892815</v>
      </c>
      <c r="BB163" s="111">
        <v>73.042962030063478</v>
      </c>
      <c r="BC163" s="111">
        <v>73.007306550446984</v>
      </c>
      <c r="BD163" s="111">
        <v>72.992602335240875</v>
      </c>
      <c r="BE163" s="111">
        <v>73.203320885361236</v>
      </c>
      <c r="BF163" s="111">
        <v>73.298052085146779</v>
      </c>
      <c r="BG163" s="111">
        <v>73.433321686286519</v>
      </c>
      <c r="BH163" s="111">
        <v>73.437136785496378</v>
      </c>
      <c r="BI163" s="111">
        <v>73.43424036704198</v>
      </c>
      <c r="BJ163" s="111">
        <v>73.308626880849502</v>
      </c>
      <c r="BK163" s="111">
        <v>73.382800260568189</v>
      </c>
      <c r="BL163" s="111">
        <v>73.481098121628236</v>
      </c>
      <c r="BM163" s="111">
        <v>73.558538749562075</v>
      </c>
      <c r="BN163" s="111">
        <v>73.77567206998765</v>
      </c>
      <c r="BO163" s="111">
        <v>73.980010097194622</v>
      </c>
      <c r="BP163" s="111">
        <v>74.048601004314747</v>
      </c>
      <c r="BQ163" s="111">
        <v>74.112436358665619</v>
      </c>
      <c r="BR163" s="111">
        <v>74.089185185564972</v>
      </c>
      <c r="BS163" s="111">
        <v>74.140244568942791</v>
      </c>
      <c r="BT163" s="111">
        <v>74.134710271412644</v>
      </c>
      <c r="BU163" s="111">
        <v>74.191477732027906</v>
      </c>
      <c r="BV163" s="111">
        <v>74.356930385780416</v>
      </c>
      <c r="BW163" s="111">
        <v>74.417431872164698</v>
      </c>
      <c r="BX163" s="111">
        <v>74.504598907218096</v>
      </c>
      <c r="BY163" s="111">
        <v>74.485658991028515</v>
      </c>
      <c r="BZ163" s="111">
        <v>74.446603214355733</v>
      </c>
      <c r="CA163" s="111">
        <v>74.433040437660509</v>
      </c>
      <c r="CB163" s="111">
        <v>74.447406320549746</v>
      </c>
      <c r="CC163" s="111">
        <v>74.566118862529777</v>
      </c>
      <c r="CD163" s="111">
        <v>74.536392949236401</v>
      </c>
      <c r="CE163" s="111">
        <v>74.623790345552919</v>
      </c>
      <c r="CF163" s="111">
        <v>74.768654892058947</v>
      </c>
      <c r="CG163" s="111">
        <v>74.766734957028675</v>
      </c>
      <c r="CH163" s="111">
        <v>74.908949118194769</v>
      </c>
      <c r="CI163" s="111">
        <v>75.104353394472014</v>
      </c>
      <c r="CJ163" s="111">
        <v>75.264121094393076</v>
      </c>
      <c r="CK163" s="111">
        <v>75.138180400193576</v>
      </c>
      <c r="CL163" s="111">
        <v>75.006908323214148</v>
      </c>
      <c r="CM163" s="111">
        <v>75.076017106461023</v>
      </c>
      <c r="CN163" s="111">
        <v>75.338483274583297</v>
      </c>
      <c r="CO163" s="111">
        <v>75.175362000756962</v>
      </c>
      <c r="CP163" s="111">
        <v>75.30308514652522</v>
      </c>
      <c r="CQ163" s="111">
        <v>75.37528469149548</v>
      </c>
      <c r="CR163" s="111">
        <v>75.561069614687582</v>
      </c>
      <c r="CS163" s="111">
        <v>75.593529445092898</v>
      </c>
      <c r="CT163" s="111">
        <v>75.631977883027858</v>
      </c>
      <c r="CU163" s="111">
        <v>75.548796641450622</v>
      </c>
      <c r="CV163" s="111">
        <v>75.518698850426787</v>
      </c>
      <c r="CW163" s="111">
        <v>75.556981399941904</v>
      </c>
      <c r="CX163" s="111">
        <v>75.552678799441637</v>
      </c>
      <c r="CY163" s="111">
        <v>75.711868305729752</v>
      </c>
      <c r="CZ163" s="111">
        <v>75.7608129804497</v>
      </c>
      <c r="DA163" s="111">
        <v>75.833081081136413</v>
      </c>
      <c r="DB163" s="111">
        <v>76.106094454324619</v>
      </c>
      <c r="DC163" s="111">
        <v>76.127453766378309</v>
      </c>
      <c r="DD163" s="111">
        <v>76.056950767717879</v>
      </c>
      <c r="DE163" s="111">
        <v>76.113268679439074</v>
      </c>
      <c r="DF163" s="111">
        <v>76.049416778570034</v>
      </c>
      <c r="DG163" s="111">
        <v>76.102367073888104</v>
      </c>
      <c r="DH163" s="111">
        <v>76.126454616971998</v>
      </c>
      <c r="DI163" s="111">
        <v>75.874265766892464</v>
      </c>
      <c r="DJ163" s="111">
        <v>76.046652812031994</v>
      </c>
      <c r="DK163" s="111">
        <v>76.153081778384404</v>
      </c>
      <c r="DL163" s="111">
        <v>76.342518638937122</v>
      </c>
      <c r="DM163" s="111">
        <v>76.471298780977776</v>
      </c>
      <c r="DN163" s="111">
        <v>76.456687068331419</v>
      </c>
      <c r="DO163" s="111">
        <v>76.56172688194151</v>
      </c>
      <c r="DP163" s="111">
        <v>76.325932414160349</v>
      </c>
      <c r="DQ163" s="111">
        <v>75.985802524822176</v>
      </c>
      <c r="DR163" s="111">
        <v>75.871619741414179</v>
      </c>
      <c r="DS163" s="111">
        <v>75.71015313532908</v>
      </c>
      <c r="DT163" s="111">
        <v>75.573832251490998</v>
      </c>
      <c r="DU163" s="111">
        <v>75.298733008664982</v>
      </c>
      <c r="DV163" s="111">
        <v>74.924362790406121</v>
      </c>
      <c r="DW163" s="111">
        <v>74.845142873397961</v>
      </c>
      <c r="DX163" s="111">
        <v>74.863546378001359</v>
      </c>
      <c r="DY163" s="111">
        <v>74.577055833772562</v>
      </c>
      <c r="DZ163" s="111">
        <v>74.559479716750005</v>
      </c>
      <c r="EA163" s="111">
        <v>74.690755017186817</v>
      </c>
      <c r="EB163" s="111">
        <v>74.667813063485482</v>
      </c>
      <c r="EC163" s="111">
        <v>74.692215176965391</v>
      </c>
      <c r="ED163" s="111">
        <v>74.750852404419049</v>
      </c>
      <c r="EE163" s="112">
        <v>75.019872463169762</v>
      </c>
      <c r="EF163" s="112">
        <v>75.142336390490669</v>
      </c>
      <c r="EG163" s="112">
        <v>75.242012313790454</v>
      </c>
      <c r="EH163" s="112">
        <v>75.336737738508361</v>
      </c>
      <c r="EI163" s="112">
        <v>75.385207923827323</v>
      </c>
      <c r="EJ163" s="112">
        <v>75.417536609317878</v>
      </c>
      <c r="EK163" s="116">
        <v>75.469458847652803</v>
      </c>
      <c r="EL163" s="111">
        <v>75.431988378732541</v>
      </c>
      <c r="EM163" s="111">
        <v>75.465305750384204</v>
      </c>
      <c r="EN163" s="111">
        <v>75.626683571744096</v>
      </c>
      <c r="EO163" s="111">
        <v>75.648992817013806</v>
      </c>
      <c r="EP163" s="111">
        <v>75.866474785436637</v>
      </c>
      <c r="EQ163" s="112">
        <v>75.518216130142292</v>
      </c>
      <c r="ER163" s="112">
        <v>75.424200108727874</v>
      </c>
      <c r="ES163" s="112">
        <v>75.5</v>
      </c>
      <c r="ET163" s="112">
        <v>75.5</v>
      </c>
      <c r="EU163" s="112">
        <v>75.590936946393299</v>
      </c>
      <c r="EV163" s="112">
        <v>75.599999999999994</v>
      </c>
      <c r="EW163" s="110">
        <v>75.630705096071978</v>
      </c>
      <c r="EX163" s="112"/>
      <c r="EY163" s="106"/>
      <c r="EZ163" s="106"/>
      <c r="FA163" s="106"/>
      <c r="FB163" s="106"/>
      <c r="FC163" s="106"/>
      <c r="FD163" s="106"/>
      <c r="FE163" s="106"/>
      <c r="FF163" s="106"/>
      <c r="FG163" s="106"/>
      <c r="FH163" s="106"/>
      <c r="FI163" s="106"/>
      <c r="FJ163" s="106"/>
      <c r="FK163" s="106"/>
      <c r="FL163" s="106"/>
      <c r="FM163" s="106"/>
      <c r="FN163" s="106"/>
      <c r="FO163" s="106"/>
      <c r="FP163" s="106"/>
      <c r="FQ163" s="106"/>
      <c r="FR163" s="106"/>
      <c r="FS163" s="106"/>
      <c r="FT163" s="106"/>
      <c r="FU163" s="106"/>
      <c r="FV163" s="106"/>
      <c r="FW163" s="106"/>
      <c r="FX163" s="106"/>
      <c r="FY163" s="106"/>
      <c r="FZ163" s="106"/>
      <c r="GA163" s="106"/>
      <c r="GB163" s="106"/>
      <c r="GC163" s="106"/>
      <c r="GD163" s="106"/>
      <c r="GE163" s="106"/>
      <c r="GF163" s="106"/>
      <c r="GG163" s="159"/>
    </row>
    <row r="164" spans="2:189" x14ac:dyDescent="0.2">
      <c r="B164" s="97">
        <v>44986</v>
      </c>
      <c r="C164" s="111">
        <v>70.422667390858052</v>
      </c>
      <c r="D164" s="111">
        <v>70.621486151623998</v>
      </c>
      <c r="E164" s="111">
        <v>70.638593680386805</v>
      </c>
      <c r="F164" s="111">
        <v>70.705399556203304</v>
      </c>
      <c r="G164" s="111">
        <v>70.49040918716814</v>
      </c>
      <c r="H164" s="111">
        <v>70.338702077892592</v>
      </c>
      <c r="I164" s="111">
        <v>70.38984940855012</v>
      </c>
      <c r="J164" s="111">
        <v>70.468865143978903</v>
      </c>
      <c r="K164" s="111">
        <v>70.586396738483302</v>
      </c>
      <c r="L164" s="111">
        <v>70.546146885197274</v>
      </c>
      <c r="M164" s="111">
        <v>70.481744775577454</v>
      </c>
      <c r="N164" s="111">
        <v>70.512158476249269</v>
      </c>
      <c r="O164" s="111">
        <v>70.450461862802683</v>
      </c>
      <c r="P164" s="111">
        <v>70.219556850312301</v>
      </c>
      <c r="Q164" s="111">
        <v>70.195306715571732</v>
      </c>
      <c r="R164" s="111">
        <v>70.105348660979573</v>
      </c>
      <c r="S164" s="111">
        <v>70.144074376248923</v>
      </c>
      <c r="T164" s="111">
        <v>70.144813109534212</v>
      </c>
      <c r="U164" s="111">
        <v>70.218305063382488</v>
      </c>
      <c r="V164" s="111">
        <v>70.240002581088262</v>
      </c>
      <c r="W164" s="111">
        <v>70.312824694108684</v>
      </c>
      <c r="X164" s="111">
        <v>70.466908437029261</v>
      </c>
      <c r="Y164" s="111">
        <v>70.528032645060904</v>
      </c>
      <c r="Z164" s="111">
        <v>70.660482564584754</v>
      </c>
      <c r="AA164" s="111">
        <v>70.907727218569562</v>
      </c>
      <c r="AB164" s="111">
        <v>71.063670306100562</v>
      </c>
      <c r="AC164" s="111">
        <v>71.16351321020521</v>
      </c>
      <c r="AD164" s="111">
        <v>71.130510226274396</v>
      </c>
      <c r="AE164" s="111">
        <v>71.071939314644254</v>
      </c>
      <c r="AF164" s="111">
        <v>71.289809711930104</v>
      </c>
      <c r="AG164" s="111">
        <v>71.40401564888154</v>
      </c>
      <c r="AH164" s="111">
        <v>71.356502636517575</v>
      </c>
      <c r="AI164" s="111">
        <v>71.162744715389337</v>
      </c>
      <c r="AJ164" s="111">
        <v>71.179859363740675</v>
      </c>
      <c r="AK164" s="111">
        <v>71.239468598881814</v>
      </c>
      <c r="AL164" s="111">
        <v>71.205000688730593</v>
      </c>
      <c r="AM164" s="111">
        <v>71.332062916712175</v>
      </c>
      <c r="AN164" s="111">
        <v>71.484681930894922</v>
      </c>
      <c r="AO164" s="111">
        <v>71.508853155448634</v>
      </c>
      <c r="AP164" s="111">
        <v>71.653957210542771</v>
      </c>
      <c r="AQ164" s="111">
        <v>71.875019602271337</v>
      </c>
      <c r="AR164" s="111">
        <v>72.033535192115977</v>
      </c>
      <c r="AS164" s="111">
        <v>71.994411557875594</v>
      </c>
      <c r="AT164" s="111">
        <v>72.103619822741209</v>
      </c>
      <c r="AU164" s="111">
        <v>72.373361495260269</v>
      </c>
      <c r="AV164" s="111">
        <v>72.460496327161621</v>
      </c>
      <c r="AW164" s="111">
        <v>72.690273516991283</v>
      </c>
      <c r="AX164" s="111">
        <v>72.903248078745861</v>
      </c>
      <c r="AY164" s="111">
        <v>72.829660805236969</v>
      </c>
      <c r="AZ164" s="111">
        <v>72.784448809878214</v>
      </c>
      <c r="BA164" s="111">
        <v>72.974149721892815</v>
      </c>
      <c r="BB164" s="111">
        <v>73.042962030063478</v>
      </c>
      <c r="BC164" s="111">
        <v>73.007306550446984</v>
      </c>
      <c r="BD164" s="111">
        <v>72.992602335240875</v>
      </c>
      <c r="BE164" s="111">
        <v>73.203320885361236</v>
      </c>
      <c r="BF164" s="111">
        <v>73.298052085146779</v>
      </c>
      <c r="BG164" s="111">
        <v>73.433321686286519</v>
      </c>
      <c r="BH164" s="111">
        <v>73.437136785496378</v>
      </c>
      <c r="BI164" s="111">
        <v>73.43424036704198</v>
      </c>
      <c r="BJ164" s="111">
        <v>73.308626880849502</v>
      </c>
      <c r="BK164" s="111">
        <v>73.382800260568189</v>
      </c>
      <c r="BL164" s="111">
        <v>73.481098121628236</v>
      </c>
      <c r="BM164" s="111">
        <v>73.558538749562075</v>
      </c>
      <c r="BN164" s="111">
        <v>73.77567206998765</v>
      </c>
      <c r="BO164" s="111">
        <v>73.980010097194622</v>
      </c>
      <c r="BP164" s="111">
        <v>74.048601004314747</v>
      </c>
      <c r="BQ164" s="111">
        <v>74.112436358665619</v>
      </c>
      <c r="BR164" s="111">
        <v>74.089185185564972</v>
      </c>
      <c r="BS164" s="111">
        <v>74.140244568942791</v>
      </c>
      <c r="BT164" s="111">
        <v>74.134710271412644</v>
      </c>
      <c r="BU164" s="111">
        <v>74.191477732027906</v>
      </c>
      <c r="BV164" s="111">
        <v>74.356930385780416</v>
      </c>
      <c r="BW164" s="111">
        <v>74.417431872164698</v>
      </c>
      <c r="BX164" s="111">
        <v>74.504598907218096</v>
      </c>
      <c r="BY164" s="111">
        <v>74.485658991028515</v>
      </c>
      <c r="BZ164" s="111">
        <v>74.446603214355733</v>
      </c>
      <c r="CA164" s="111">
        <v>74.433040437660509</v>
      </c>
      <c r="CB164" s="111">
        <v>74.447406320549746</v>
      </c>
      <c r="CC164" s="111">
        <v>74.566118862529777</v>
      </c>
      <c r="CD164" s="111">
        <v>74.536392949236401</v>
      </c>
      <c r="CE164" s="111">
        <v>74.623790345552919</v>
      </c>
      <c r="CF164" s="111">
        <v>74.768654892058947</v>
      </c>
      <c r="CG164" s="111">
        <v>74.766734957028675</v>
      </c>
      <c r="CH164" s="111">
        <v>74.908949118194769</v>
      </c>
      <c r="CI164" s="111">
        <v>75.104353394472014</v>
      </c>
      <c r="CJ164" s="111">
        <v>75.264121094393076</v>
      </c>
      <c r="CK164" s="111">
        <v>75.138180400193576</v>
      </c>
      <c r="CL164" s="111">
        <v>75.006908323214148</v>
      </c>
      <c r="CM164" s="111">
        <v>75.076017106461023</v>
      </c>
      <c r="CN164" s="111">
        <v>75.338483274583297</v>
      </c>
      <c r="CO164" s="111">
        <v>75.175362000756962</v>
      </c>
      <c r="CP164" s="111">
        <v>75.30308514652522</v>
      </c>
      <c r="CQ164" s="111">
        <v>75.37528469149548</v>
      </c>
      <c r="CR164" s="111">
        <v>75.561069614687582</v>
      </c>
      <c r="CS164" s="111">
        <v>75.593529445092898</v>
      </c>
      <c r="CT164" s="111">
        <v>75.631977883027858</v>
      </c>
      <c r="CU164" s="111">
        <v>75.548796641450622</v>
      </c>
      <c r="CV164" s="111">
        <v>75.518698850426787</v>
      </c>
      <c r="CW164" s="111">
        <v>75.556981399941904</v>
      </c>
      <c r="CX164" s="111">
        <v>75.552678799441637</v>
      </c>
      <c r="CY164" s="111">
        <v>75.711868305729752</v>
      </c>
      <c r="CZ164" s="111">
        <v>75.7608129804497</v>
      </c>
      <c r="DA164" s="111">
        <v>75.833081081136413</v>
      </c>
      <c r="DB164" s="111">
        <v>76.106094454324619</v>
      </c>
      <c r="DC164" s="111">
        <v>76.127453766378309</v>
      </c>
      <c r="DD164" s="111">
        <v>76.056950767717879</v>
      </c>
      <c r="DE164" s="111">
        <v>76.113268679439074</v>
      </c>
      <c r="DF164" s="111">
        <v>76.049416778570034</v>
      </c>
      <c r="DG164" s="111">
        <v>76.102367073888104</v>
      </c>
      <c r="DH164" s="111">
        <v>76.126454616971998</v>
      </c>
      <c r="DI164" s="111">
        <v>75.874265766892464</v>
      </c>
      <c r="DJ164" s="111">
        <v>76.046652812031994</v>
      </c>
      <c r="DK164" s="111">
        <v>76.153081778384404</v>
      </c>
      <c r="DL164" s="111">
        <v>76.342518638937122</v>
      </c>
      <c r="DM164" s="111">
        <v>76.471298780977776</v>
      </c>
      <c r="DN164" s="111">
        <v>76.456687068331419</v>
      </c>
      <c r="DO164" s="111">
        <v>76.56172688194151</v>
      </c>
      <c r="DP164" s="111">
        <v>76.325932414160349</v>
      </c>
      <c r="DQ164" s="111">
        <v>75.985802524822176</v>
      </c>
      <c r="DR164" s="111">
        <v>75.871619741414179</v>
      </c>
      <c r="DS164" s="111">
        <v>75.71015313532908</v>
      </c>
      <c r="DT164" s="111">
        <v>75.573832251490998</v>
      </c>
      <c r="DU164" s="111">
        <v>75.298733008664982</v>
      </c>
      <c r="DV164" s="111">
        <v>74.924362790406121</v>
      </c>
      <c r="DW164" s="111">
        <v>74.845142873397961</v>
      </c>
      <c r="DX164" s="111">
        <v>74.863546378001359</v>
      </c>
      <c r="DY164" s="111">
        <v>74.577055833772562</v>
      </c>
      <c r="DZ164" s="111">
        <v>74.559479716750005</v>
      </c>
      <c r="EA164" s="111">
        <v>74.690755017186817</v>
      </c>
      <c r="EB164" s="111">
        <v>74.667813063485482</v>
      </c>
      <c r="EC164" s="111">
        <v>74.692215176965391</v>
      </c>
      <c r="ED164" s="111">
        <v>74.750852404419049</v>
      </c>
      <c r="EE164" s="112">
        <v>75.019872463169762</v>
      </c>
      <c r="EF164" s="112">
        <v>75.142336390490669</v>
      </c>
      <c r="EG164" s="112">
        <v>75.242012313790454</v>
      </c>
      <c r="EH164" s="112">
        <v>75.336737738508361</v>
      </c>
      <c r="EI164" s="112">
        <v>75.385207923827323</v>
      </c>
      <c r="EJ164" s="112">
        <v>75.417536609317878</v>
      </c>
      <c r="EK164" s="111">
        <v>75.469458847652803</v>
      </c>
      <c r="EL164" s="116">
        <v>75.431988378732541</v>
      </c>
      <c r="EM164" s="111">
        <v>75.465305750384204</v>
      </c>
      <c r="EN164" s="111">
        <v>75.626683571744096</v>
      </c>
      <c r="EO164" s="111">
        <v>75.648992817013806</v>
      </c>
      <c r="EP164" s="111">
        <v>75.866474785436637</v>
      </c>
      <c r="EQ164" s="112">
        <v>75.518216130142292</v>
      </c>
      <c r="ER164" s="112">
        <v>75.424200108727874</v>
      </c>
      <c r="ES164" s="112">
        <v>75.5</v>
      </c>
      <c r="ET164" s="112">
        <v>75.5</v>
      </c>
      <c r="EU164" s="112">
        <v>75.590936946393299</v>
      </c>
      <c r="EV164" s="112">
        <v>75.599999999999994</v>
      </c>
      <c r="EW164" s="112">
        <v>75.630705096071978</v>
      </c>
      <c r="EX164" s="110">
        <v>75.729704068694843</v>
      </c>
      <c r="EY164" s="112"/>
      <c r="EZ164" s="106"/>
      <c r="FA164" s="106"/>
      <c r="FB164" s="106"/>
      <c r="FC164" s="106"/>
      <c r="FD164" s="106"/>
      <c r="FE164" s="106"/>
      <c r="FF164" s="106"/>
      <c r="FG164" s="106"/>
      <c r="FH164" s="106"/>
      <c r="FI164" s="106"/>
      <c r="FJ164" s="106"/>
      <c r="FK164" s="106"/>
      <c r="FL164" s="106"/>
      <c r="FM164" s="106"/>
      <c r="FN164" s="106"/>
      <c r="FO164" s="106"/>
      <c r="FP164" s="106"/>
      <c r="FQ164" s="106"/>
      <c r="FR164" s="106"/>
      <c r="FS164" s="106"/>
      <c r="FT164" s="106"/>
      <c r="FU164" s="106"/>
      <c r="FV164" s="106"/>
      <c r="FW164" s="106"/>
      <c r="FX164" s="106"/>
      <c r="FY164" s="106"/>
      <c r="FZ164" s="106"/>
      <c r="GA164" s="106"/>
      <c r="GB164" s="106"/>
      <c r="GC164" s="106"/>
      <c r="GD164" s="106"/>
      <c r="GE164" s="106"/>
      <c r="GF164" s="106"/>
      <c r="GG164" s="159"/>
    </row>
    <row r="165" spans="2:189" x14ac:dyDescent="0.2">
      <c r="B165" s="97">
        <v>45017</v>
      </c>
      <c r="C165" s="111">
        <v>70.422667390858052</v>
      </c>
      <c r="D165" s="111">
        <v>70.621486151623998</v>
      </c>
      <c r="E165" s="111">
        <v>70.638593680386805</v>
      </c>
      <c r="F165" s="111">
        <v>70.705399556203304</v>
      </c>
      <c r="G165" s="111">
        <v>70.49040918716814</v>
      </c>
      <c r="H165" s="111">
        <v>70.338702077892592</v>
      </c>
      <c r="I165" s="111">
        <v>70.38984940855012</v>
      </c>
      <c r="J165" s="111">
        <v>70.468865143978903</v>
      </c>
      <c r="K165" s="111">
        <v>70.586396738483302</v>
      </c>
      <c r="L165" s="111">
        <v>70.546146885197274</v>
      </c>
      <c r="M165" s="111">
        <v>70.481744775577454</v>
      </c>
      <c r="N165" s="111">
        <v>70.512158476249269</v>
      </c>
      <c r="O165" s="111">
        <v>70.450461862802683</v>
      </c>
      <c r="P165" s="111">
        <v>70.219556850312301</v>
      </c>
      <c r="Q165" s="111">
        <v>70.195306715571732</v>
      </c>
      <c r="R165" s="111">
        <v>70.105348660979573</v>
      </c>
      <c r="S165" s="111">
        <v>70.144074376248923</v>
      </c>
      <c r="T165" s="111">
        <v>70.144813109534212</v>
      </c>
      <c r="U165" s="111">
        <v>70.218305063382488</v>
      </c>
      <c r="V165" s="111">
        <v>70.240002581088262</v>
      </c>
      <c r="W165" s="111">
        <v>70.312824694108684</v>
      </c>
      <c r="X165" s="111">
        <v>70.466908437029261</v>
      </c>
      <c r="Y165" s="111">
        <v>70.528032645060904</v>
      </c>
      <c r="Z165" s="111">
        <v>70.660482564584754</v>
      </c>
      <c r="AA165" s="111">
        <v>70.907727218569562</v>
      </c>
      <c r="AB165" s="111">
        <v>71.063670306100562</v>
      </c>
      <c r="AC165" s="111">
        <v>71.16351321020521</v>
      </c>
      <c r="AD165" s="111">
        <v>71.130510226274396</v>
      </c>
      <c r="AE165" s="111">
        <v>71.071939314644254</v>
      </c>
      <c r="AF165" s="111">
        <v>71.289809711930104</v>
      </c>
      <c r="AG165" s="111">
        <v>71.40401564888154</v>
      </c>
      <c r="AH165" s="111">
        <v>71.356502636517575</v>
      </c>
      <c r="AI165" s="111">
        <v>71.162744715389337</v>
      </c>
      <c r="AJ165" s="111">
        <v>71.179859363740675</v>
      </c>
      <c r="AK165" s="111">
        <v>71.239468598881814</v>
      </c>
      <c r="AL165" s="111">
        <v>71.205000688730593</v>
      </c>
      <c r="AM165" s="111">
        <v>71.332062916712175</v>
      </c>
      <c r="AN165" s="111">
        <v>71.484681930894922</v>
      </c>
      <c r="AO165" s="111">
        <v>71.508853155448634</v>
      </c>
      <c r="AP165" s="111">
        <v>71.653957210542771</v>
      </c>
      <c r="AQ165" s="111">
        <v>71.875019602271337</v>
      </c>
      <c r="AR165" s="111">
        <v>72.033535192115977</v>
      </c>
      <c r="AS165" s="111">
        <v>71.994411557875594</v>
      </c>
      <c r="AT165" s="111">
        <v>72.103619822741209</v>
      </c>
      <c r="AU165" s="111">
        <v>72.373361495260269</v>
      </c>
      <c r="AV165" s="111">
        <v>72.460496327161621</v>
      </c>
      <c r="AW165" s="111">
        <v>72.690273516991283</v>
      </c>
      <c r="AX165" s="111">
        <v>72.903248078745861</v>
      </c>
      <c r="AY165" s="111">
        <v>72.829660805236969</v>
      </c>
      <c r="AZ165" s="111">
        <v>72.784448809878214</v>
      </c>
      <c r="BA165" s="111">
        <v>72.974149721892815</v>
      </c>
      <c r="BB165" s="111">
        <v>73.042962030063478</v>
      </c>
      <c r="BC165" s="111">
        <v>73.007306550446984</v>
      </c>
      <c r="BD165" s="111">
        <v>72.992602335240875</v>
      </c>
      <c r="BE165" s="111">
        <v>73.203320885361236</v>
      </c>
      <c r="BF165" s="111">
        <v>73.298052085146779</v>
      </c>
      <c r="BG165" s="111">
        <v>73.433321686286519</v>
      </c>
      <c r="BH165" s="111">
        <v>73.437136785496378</v>
      </c>
      <c r="BI165" s="111">
        <v>73.43424036704198</v>
      </c>
      <c r="BJ165" s="111">
        <v>73.308626880849502</v>
      </c>
      <c r="BK165" s="111">
        <v>73.382800260568189</v>
      </c>
      <c r="BL165" s="111">
        <v>73.481098121628236</v>
      </c>
      <c r="BM165" s="111">
        <v>73.558538749562075</v>
      </c>
      <c r="BN165" s="111">
        <v>73.77567206998765</v>
      </c>
      <c r="BO165" s="111">
        <v>73.980010097194622</v>
      </c>
      <c r="BP165" s="111">
        <v>74.048601004314747</v>
      </c>
      <c r="BQ165" s="111">
        <v>74.112436358665619</v>
      </c>
      <c r="BR165" s="111">
        <v>74.089185185564972</v>
      </c>
      <c r="BS165" s="111">
        <v>74.140244568942791</v>
      </c>
      <c r="BT165" s="111">
        <v>74.134710271412644</v>
      </c>
      <c r="BU165" s="111">
        <v>74.191477732027906</v>
      </c>
      <c r="BV165" s="111">
        <v>74.356930385780416</v>
      </c>
      <c r="BW165" s="111">
        <v>74.417431872164698</v>
      </c>
      <c r="BX165" s="111">
        <v>74.504598907218096</v>
      </c>
      <c r="BY165" s="111">
        <v>74.485658991028515</v>
      </c>
      <c r="BZ165" s="111">
        <v>74.446603214355733</v>
      </c>
      <c r="CA165" s="111">
        <v>74.433040437660509</v>
      </c>
      <c r="CB165" s="111">
        <v>74.447406320549746</v>
      </c>
      <c r="CC165" s="111">
        <v>74.566118862529777</v>
      </c>
      <c r="CD165" s="111">
        <v>74.536392949236401</v>
      </c>
      <c r="CE165" s="111">
        <v>74.623790345552919</v>
      </c>
      <c r="CF165" s="111">
        <v>74.768654892058947</v>
      </c>
      <c r="CG165" s="111">
        <v>74.766734957028675</v>
      </c>
      <c r="CH165" s="111">
        <v>74.908949118194769</v>
      </c>
      <c r="CI165" s="111">
        <v>75.104353394472014</v>
      </c>
      <c r="CJ165" s="111">
        <v>75.264121094393076</v>
      </c>
      <c r="CK165" s="111">
        <v>75.138180400193576</v>
      </c>
      <c r="CL165" s="111">
        <v>75.006908323214148</v>
      </c>
      <c r="CM165" s="111">
        <v>75.076017106461023</v>
      </c>
      <c r="CN165" s="111">
        <v>75.338483274583297</v>
      </c>
      <c r="CO165" s="111">
        <v>75.175362000756962</v>
      </c>
      <c r="CP165" s="111">
        <v>75.30308514652522</v>
      </c>
      <c r="CQ165" s="111">
        <v>75.37528469149548</v>
      </c>
      <c r="CR165" s="111">
        <v>75.561069614687582</v>
      </c>
      <c r="CS165" s="111">
        <v>75.593529445092898</v>
      </c>
      <c r="CT165" s="111">
        <v>75.631977883027858</v>
      </c>
      <c r="CU165" s="111">
        <v>75.548796641450622</v>
      </c>
      <c r="CV165" s="111">
        <v>75.518698850426787</v>
      </c>
      <c r="CW165" s="111">
        <v>75.556981399941904</v>
      </c>
      <c r="CX165" s="111">
        <v>75.552678799441637</v>
      </c>
      <c r="CY165" s="111">
        <v>75.711868305729752</v>
      </c>
      <c r="CZ165" s="111">
        <v>75.7608129804497</v>
      </c>
      <c r="DA165" s="111">
        <v>75.833081081136413</v>
      </c>
      <c r="DB165" s="111">
        <v>76.106094454324619</v>
      </c>
      <c r="DC165" s="111">
        <v>76.127453766378309</v>
      </c>
      <c r="DD165" s="111">
        <v>76.056950767717879</v>
      </c>
      <c r="DE165" s="111">
        <v>76.113268679439074</v>
      </c>
      <c r="DF165" s="111">
        <v>76.049416778570034</v>
      </c>
      <c r="DG165" s="111">
        <v>76.102367073888104</v>
      </c>
      <c r="DH165" s="111">
        <v>76.126454616971998</v>
      </c>
      <c r="DI165" s="111">
        <v>75.874265766892464</v>
      </c>
      <c r="DJ165" s="111">
        <v>76.046652812031994</v>
      </c>
      <c r="DK165" s="111">
        <v>76.153081778384404</v>
      </c>
      <c r="DL165" s="111">
        <v>76.342518638937122</v>
      </c>
      <c r="DM165" s="111">
        <v>76.471298780977776</v>
      </c>
      <c r="DN165" s="111">
        <v>76.456687068331419</v>
      </c>
      <c r="DO165" s="111">
        <v>76.56172688194151</v>
      </c>
      <c r="DP165" s="111">
        <v>76.325932414160349</v>
      </c>
      <c r="DQ165" s="111">
        <v>75.985802524822176</v>
      </c>
      <c r="DR165" s="111">
        <v>75.871619741414179</v>
      </c>
      <c r="DS165" s="111">
        <v>75.71015313532908</v>
      </c>
      <c r="DT165" s="111">
        <v>75.573832251490998</v>
      </c>
      <c r="DU165" s="111">
        <v>75.298733008664982</v>
      </c>
      <c r="DV165" s="111">
        <v>74.924362790406121</v>
      </c>
      <c r="DW165" s="111">
        <v>74.845142873397961</v>
      </c>
      <c r="DX165" s="111">
        <v>74.863546378001359</v>
      </c>
      <c r="DY165" s="111">
        <v>74.577055833772562</v>
      </c>
      <c r="DZ165" s="111">
        <v>74.559479716750005</v>
      </c>
      <c r="EA165" s="111">
        <v>74.690755017186817</v>
      </c>
      <c r="EB165" s="111">
        <v>74.667813063485482</v>
      </c>
      <c r="EC165" s="111">
        <v>74.692215176965391</v>
      </c>
      <c r="ED165" s="111">
        <v>74.750852404419049</v>
      </c>
      <c r="EE165" s="112">
        <v>75.019872463169762</v>
      </c>
      <c r="EF165" s="112">
        <v>75.142336390490669</v>
      </c>
      <c r="EG165" s="112">
        <v>75.242012313790454</v>
      </c>
      <c r="EH165" s="112">
        <v>75.336737738508361</v>
      </c>
      <c r="EI165" s="112">
        <v>75.385207923827323</v>
      </c>
      <c r="EJ165" s="112">
        <v>75.417536609317878</v>
      </c>
      <c r="EK165" s="111">
        <v>75.469458847652803</v>
      </c>
      <c r="EL165" s="111">
        <v>75.431988378732541</v>
      </c>
      <c r="EM165" s="116">
        <v>75.465305750384204</v>
      </c>
      <c r="EN165" s="111">
        <v>75.626683571744096</v>
      </c>
      <c r="EO165" s="111">
        <v>75.648992817013806</v>
      </c>
      <c r="EP165" s="111">
        <v>75.866474785436637</v>
      </c>
      <c r="EQ165" s="112">
        <v>75.518216130142292</v>
      </c>
      <c r="ER165" s="112">
        <v>75.424200108727874</v>
      </c>
      <c r="ES165" s="112">
        <v>75.5</v>
      </c>
      <c r="ET165" s="112">
        <v>75.5</v>
      </c>
      <c r="EU165" s="112">
        <v>75.590936946393299</v>
      </c>
      <c r="EV165" s="112">
        <v>75.599999999999994</v>
      </c>
      <c r="EW165" s="112">
        <v>75.630705096071978</v>
      </c>
      <c r="EX165" s="112">
        <v>75.729704068694843</v>
      </c>
      <c r="EY165" s="110">
        <v>75.809139324324988</v>
      </c>
      <c r="EZ165" s="112"/>
      <c r="FA165" s="106"/>
      <c r="FB165" s="106"/>
      <c r="FC165" s="106"/>
      <c r="FD165" s="106"/>
      <c r="FE165" s="106"/>
      <c r="FF165" s="106"/>
      <c r="FG165" s="106"/>
      <c r="FH165" s="106"/>
      <c r="FI165" s="106"/>
      <c r="FJ165" s="106"/>
      <c r="FK165" s="106"/>
      <c r="FL165" s="106"/>
      <c r="FM165" s="106"/>
      <c r="FN165" s="106"/>
      <c r="FO165" s="106"/>
      <c r="FP165" s="106"/>
      <c r="FQ165" s="106"/>
      <c r="FR165" s="106"/>
      <c r="FS165" s="106"/>
      <c r="FT165" s="106"/>
      <c r="FU165" s="106"/>
      <c r="FV165" s="106"/>
      <c r="FW165" s="106"/>
      <c r="FX165" s="106"/>
      <c r="FY165" s="106"/>
      <c r="FZ165" s="106"/>
      <c r="GA165" s="106"/>
      <c r="GB165" s="106"/>
      <c r="GC165" s="106"/>
      <c r="GD165" s="106"/>
      <c r="GE165" s="106"/>
      <c r="GF165" s="106"/>
      <c r="GG165" s="159"/>
    </row>
    <row r="166" spans="2:189" x14ac:dyDescent="0.2">
      <c r="B166" s="97">
        <v>45047</v>
      </c>
      <c r="C166" s="111">
        <v>70.422667390858052</v>
      </c>
      <c r="D166" s="111">
        <v>70.621486151623998</v>
      </c>
      <c r="E166" s="111">
        <v>70.638593680386805</v>
      </c>
      <c r="F166" s="111">
        <v>70.705399556203304</v>
      </c>
      <c r="G166" s="111">
        <v>70.49040918716814</v>
      </c>
      <c r="H166" s="111">
        <v>70.338702077892592</v>
      </c>
      <c r="I166" s="111">
        <v>70.38984940855012</v>
      </c>
      <c r="J166" s="111">
        <v>70.468865143978903</v>
      </c>
      <c r="K166" s="111">
        <v>70.586396738483302</v>
      </c>
      <c r="L166" s="111">
        <v>70.546146885197274</v>
      </c>
      <c r="M166" s="111">
        <v>70.481744775577454</v>
      </c>
      <c r="N166" s="111">
        <v>70.512158476249269</v>
      </c>
      <c r="O166" s="111">
        <v>70.450461862802683</v>
      </c>
      <c r="P166" s="111">
        <v>70.219556850312301</v>
      </c>
      <c r="Q166" s="111">
        <v>70.195306715571732</v>
      </c>
      <c r="R166" s="111">
        <v>70.105348660979573</v>
      </c>
      <c r="S166" s="111">
        <v>70.144074376248923</v>
      </c>
      <c r="T166" s="111">
        <v>70.144813109534212</v>
      </c>
      <c r="U166" s="111">
        <v>70.218305063382488</v>
      </c>
      <c r="V166" s="111">
        <v>70.240002581088262</v>
      </c>
      <c r="W166" s="111">
        <v>70.312824694108684</v>
      </c>
      <c r="X166" s="111">
        <v>70.466908437029261</v>
      </c>
      <c r="Y166" s="111">
        <v>70.528032645060904</v>
      </c>
      <c r="Z166" s="111">
        <v>70.660482564584754</v>
      </c>
      <c r="AA166" s="111">
        <v>70.907727218569562</v>
      </c>
      <c r="AB166" s="111">
        <v>71.063670306100562</v>
      </c>
      <c r="AC166" s="111">
        <v>71.16351321020521</v>
      </c>
      <c r="AD166" s="111">
        <v>71.130510226274396</v>
      </c>
      <c r="AE166" s="111">
        <v>71.071939314644254</v>
      </c>
      <c r="AF166" s="111">
        <v>71.289809711930104</v>
      </c>
      <c r="AG166" s="111">
        <v>71.40401564888154</v>
      </c>
      <c r="AH166" s="111">
        <v>71.356502636517575</v>
      </c>
      <c r="AI166" s="111">
        <v>71.162744715389337</v>
      </c>
      <c r="AJ166" s="111">
        <v>71.179859363740675</v>
      </c>
      <c r="AK166" s="111">
        <v>71.239468598881814</v>
      </c>
      <c r="AL166" s="111">
        <v>71.205000688730593</v>
      </c>
      <c r="AM166" s="111">
        <v>71.332062916712175</v>
      </c>
      <c r="AN166" s="111">
        <v>71.484681930894922</v>
      </c>
      <c r="AO166" s="111">
        <v>71.508853155448634</v>
      </c>
      <c r="AP166" s="111">
        <v>71.653957210542771</v>
      </c>
      <c r="AQ166" s="111">
        <v>71.875019602271337</v>
      </c>
      <c r="AR166" s="111">
        <v>72.033535192115977</v>
      </c>
      <c r="AS166" s="111">
        <v>71.994411557875594</v>
      </c>
      <c r="AT166" s="111">
        <v>72.103619822741209</v>
      </c>
      <c r="AU166" s="111">
        <v>72.373361495260269</v>
      </c>
      <c r="AV166" s="111">
        <v>72.460496327161621</v>
      </c>
      <c r="AW166" s="111">
        <v>72.690273516991283</v>
      </c>
      <c r="AX166" s="111">
        <v>72.903248078745861</v>
      </c>
      <c r="AY166" s="111">
        <v>72.829660805236969</v>
      </c>
      <c r="AZ166" s="111">
        <v>72.784448809878214</v>
      </c>
      <c r="BA166" s="111">
        <v>72.974149721892815</v>
      </c>
      <c r="BB166" s="111">
        <v>73.042962030063478</v>
      </c>
      <c r="BC166" s="111">
        <v>73.007306550446984</v>
      </c>
      <c r="BD166" s="111">
        <v>72.992602335240875</v>
      </c>
      <c r="BE166" s="111">
        <v>73.203320885361236</v>
      </c>
      <c r="BF166" s="111">
        <v>73.298052085146779</v>
      </c>
      <c r="BG166" s="111">
        <v>73.433321686286519</v>
      </c>
      <c r="BH166" s="111">
        <v>73.437136785496378</v>
      </c>
      <c r="BI166" s="111">
        <v>73.43424036704198</v>
      </c>
      <c r="BJ166" s="111">
        <v>73.308626880849502</v>
      </c>
      <c r="BK166" s="111">
        <v>73.382800260568189</v>
      </c>
      <c r="BL166" s="111">
        <v>73.481098121628236</v>
      </c>
      <c r="BM166" s="111">
        <v>73.558538749562075</v>
      </c>
      <c r="BN166" s="111">
        <v>73.77567206998765</v>
      </c>
      <c r="BO166" s="111">
        <v>73.980010097194622</v>
      </c>
      <c r="BP166" s="111">
        <v>74.048601004314747</v>
      </c>
      <c r="BQ166" s="111">
        <v>74.112436358665619</v>
      </c>
      <c r="BR166" s="111">
        <v>74.089185185564972</v>
      </c>
      <c r="BS166" s="111">
        <v>74.140244568942791</v>
      </c>
      <c r="BT166" s="111">
        <v>74.134710271412644</v>
      </c>
      <c r="BU166" s="111">
        <v>74.191477732027906</v>
      </c>
      <c r="BV166" s="111">
        <v>74.356930385780416</v>
      </c>
      <c r="BW166" s="111">
        <v>74.417431872164698</v>
      </c>
      <c r="BX166" s="111">
        <v>74.504598907218096</v>
      </c>
      <c r="BY166" s="111">
        <v>74.485658991028515</v>
      </c>
      <c r="BZ166" s="111">
        <v>74.446603214355733</v>
      </c>
      <c r="CA166" s="111">
        <v>74.433040437660509</v>
      </c>
      <c r="CB166" s="111">
        <v>74.447406320549746</v>
      </c>
      <c r="CC166" s="111">
        <v>74.566118862529777</v>
      </c>
      <c r="CD166" s="111">
        <v>74.536392949236401</v>
      </c>
      <c r="CE166" s="111">
        <v>74.623790345552919</v>
      </c>
      <c r="CF166" s="111">
        <v>74.768654892058947</v>
      </c>
      <c r="CG166" s="111">
        <v>74.766734957028675</v>
      </c>
      <c r="CH166" s="111">
        <v>74.908949118194769</v>
      </c>
      <c r="CI166" s="111">
        <v>75.104353394472014</v>
      </c>
      <c r="CJ166" s="111">
        <v>75.264121094393076</v>
      </c>
      <c r="CK166" s="111">
        <v>75.138180400193576</v>
      </c>
      <c r="CL166" s="111">
        <v>75.006908323214148</v>
      </c>
      <c r="CM166" s="111">
        <v>75.076017106461023</v>
      </c>
      <c r="CN166" s="111">
        <v>75.338483274583297</v>
      </c>
      <c r="CO166" s="111">
        <v>75.175362000756962</v>
      </c>
      <c r="CP166" s="111">
        <v>75.30308514652522</v>
      </c>
      <c r="CQ166" s="111">
        <v>75.37528469149548</v>
      </c>
      <c r="CR166" s="111">
        <v>75.561069614687582</v>
      </c>
      <c r="CS166" s="111">
        <v>75.593529445092898</v>
      </c>
      <c r="CT166" s="111">
        <v>75.631977883027858</v>
      </c>
      <c r="CU166" s="111">
        <v>75.548796641450622</v>
      </c>
      <c r="CV166" s="111">
        <v>75.518698850426787</v>
      </c>
      <c r="CW166" s="111">
        <v>75.556981399941904</v>
      </c>
      <c r="CX166" s="111">
        <v>75.552678799441637</v>
      </c>
      <c r="CY166" s="111">
        <v>75.711868305729752</v>
      </c>
      <c r="CZ166" s="111">
        <v>75.7608129804497</v>
      </c>
      <c r="DA166" s="111">
        <v>75.833081081136413</v>
      </c>
      <c r="DB166" s="111">
        <v>76.106094454324619</v>
      </c>
      <c r="DC166" s="111">
        <v>76.127453766378309</v>
      </c>
      <c r="DD166" s="111">
        <v>76.056950767717879</v>
      </c>
      <c r="DE166" s="111">
        <v>76.113268679439074</v>
      </c>
      <c r="DF166" s="111">
        <v>76.049416778570034</v>
      </c>
      <c r="DG166" s="111">
        <v>76.102367073888104</v>
      </c>
      <c r="DH166" s="111">
        <v>76.126454616971998</v>
      </c>
      <c r="DI166" s="111">
        <v>75.874265766892464</v>
      </c>
      <c r="DJ166" s="111">
        <v>76.046652812031994</v>
      </c>
      <c r="DK166" s="111">
        <v>76.153081778384404</v>
      </c>
      <c r="DL166" s="111">
        <v>76.342518638937122</v>
      </c>
      <c r="DM166" s="111">
        <v>76.471298780977776</v>
      </c>
      <c r="DN166" s="111">
        <v>76.456687068331419</v>
      </c>
      <c r="DO166" s="111">
        <v>76.56172688194151</v>
      </c>
      <c r="DP166" s="111">
        <v>76.325932414160349</v>
      </c>
      <c r="DQ166" s="111">
        <v>75.985802524822176</v>
      </c>
      <c r="DR166" s="111">
        <v>75.871619741414179</v>
      </c>
      <c r="DS166" s="111">
        <v>75.71015313532908</v>
      </c>
      <c r="DT166" s="111">
        <v>75.573832251490998</v>
      </c>
      <c r="DU166" s="111">
        <v>75.298733008664982</v>
      </c>
      <c r="DV166" s="111">
        <v>74.924362790406121</v>
      </c>
      <c r="DW166" s="111">
        <v>74.845142873397961</v>
      </c>
      <c r="DX166" s="111">
        <v>74.863546378001359</v>
      </c>
      <c r="DY166" s="111">
        <v>74.577055833772562</v>
      </c>
      <c r="DZ166" s="111">
        <v>74.559479716750005</v>
      </c>
      <c r="EA166" s="111">
        <v>74.690755017186817</v>
      </c>
      <c r="EB166" s="111">
        <v>74.667813063485482</v>
      </c>
      <c r="EC166" s="111">
        <v>74.692215176965391</v>
      </c>
      <c r="ED166" s="111">
        <v>74.750852404419049</v>
      </c>
      <c r="EE166" s="112">
        <v>75.019872463169762</v>
      </c>
      <c r="EF166" s="112">
        <v>75.142336390490669</v>
      </c>
      <c r="EG166" s="112">
        <v>75.242012313790454</v>
      </c>
      <c r="EH166" s="112">
        <v>75.336737738508361</v>
      </c>
      <c r="EI166" s="112">
        <v>75.385207923827323</v>
      </c>
      <c r="EJ166" s="112">
        <v>75.417536609317878</v>
      </c>
      <c r="EK166" s="111">
        <v>75.469458847652803</v>
      </c>
      <c r="EL166" s="111">
        <v>75.431988378732541</v>
      </c>
      <c r="EM166" s="111">
        <v>75.465305750384204</v>
      </c>
      <c r="EN166" s="116">
        <v>75.626683571744096</v>
      </c>
      <c r="EO166" s="111">
        <v>75.648992817013806</v>
      </c>
      <c r="EP166" s="111">
        <v>75.866474785436637</v>
      </c>
      <c r="EQ166" s="112">
        <v>75.518216130142292</v>
      </c>
      <c r="ER166" s="112">
        <v>75.424200108727874</v>
      </c>
      <c r="ES166" s="112">
        <v>75.5</v>
      </c>
      <c r="ET166" s="112">
        <v>75.5</v>
      </c>
      <c r="EU166" s="112">
        <v>75.590936946393299</v>
      </c>
      <c r="EV166" s="112">
        <v>75.599999999999994</v>
      </c>
      <c r="EW166" s="112">
        <v>75.630705096071978</v>
      </c>
      <c r="EX166" s="112">
        <v>75.729704068694843</v>
      </c>
      <c r="EY166" s="112">
        <v>75.809139324324988</v>
      </c>
      <c r="EZ166" s="110">
        <v>75.876896123823229</v>
      </c>
      <c r="FA166" s="112"/>
      <c r="FB166" s="106"/>
      <c r="FC166" s="106"/>
      <c r="FD166" s="106"/>
      <c r="FE166" s="106"/>
      <c r="FF166" s="106"/>
      <c r="FG166" s="100"/>
      <c r="FH166" s="138"/>
      <c r="FI166" s="106"/>
      <c r="FJ166" s="106"/>
      <c r="FK166" s="106"/>
      <c r="FL166" s="106"/>
      <c r="FM166" s="106"/>
      <c r="FN166" s="106"/>
      <c r="FO166" s="106"/>
      <c r="FP166" s="106"/>
      <c r="FQ166" s="106"/>
      <c r="FR166" s="106"/>
      <c r="FS166" s="106"/>
      <c r="FT166" s="106"/>
      <c r="FU166" s="106"/>
      <c r="FV166" s="106"/>
      <c r="FW166" s="106"/>
      <c r="FX166" s="106"/>
      <c r="FY166" s="106"/>
      <c r="FZ166" s="106"/>
      <c r="GA166" s="106"/>
      <c r="GB166" s="106"/>
      <c r="GC166" s="106"/>
      <c r="GD166" s="106"/>
      <c r="GE166" s="106"/>
      <c r="GF166" s="106"/>
      <c r="GG166" s="159"/>
    </row>
    <row r="167" spans="2:189" hidden="1" x14ac:dyDescent="0.2">
      <c r="B167" s="97">
        <v>45078</v>
      </c>
      <c r="C167" s="111">
        <v>70.422667390858052</v>
      </c>
      <c r="D167" s="111">
        <v>70.621486151623998</v>
      </c>
      <c r="E167" s="111">
        <v>70.638593680386805</v>
      </c>
      <c r="F167" s="111">
        <v>70.705399556203304</v>
      </c>
      <c r="G167" s="111">
        <v>70.49040918716814</v>
      </c>
      <c r="H167" s="111">
        <v>70.338702077892592</v>
      </c>
      <c r="I167" s="111">
        <v>70.38984940855012</v>
      </c>
      <c r="J167" s="111">
        <v>70.468865143978903</v>
      </c>
      <c r="K167" s="111">
        <v>70.586396738483302</v>
      </c>
      <c r="L167" s="111">
        <v>70.546146885197274</v>
      </c>
      <c r="M167" s="111">
        <v>70.481744775577454</v>
      </c>
      <c r="N167" s="111">
        <v>70.512158476249269</v>
      </c>
      <c r="O167" s="111">
        <v>70.450461862802683</v>
      </c>
      <c r="P167" s="111">
        <v>70.219556850312301</v>
      </c>
      <c r="Q167" s="111">
        <v>70.195306715571732</v>
      </c>
      <c r="R167" s="111">
        <v>70.105348660979573</v>
      </c>
      <c r="S167" s="111">
        <v>70.144074376248923</v>
      </c>
      <c r="T167" s="111">
        <v>70.144813109534212</v>
      </c>
      <c r="U167" s="111">
        <v>70.218305063382488</v>
      </c>
      <c r="V167" s="111">
        <v>70.240002581088262</v>
      </c>
      <c r="W167" s="111">
        <v>70.312824694108684</v>
      </c>
      <c r="X167" s="111">
        <v>70.466908437029261</v>
      </c>
      <c r="Y167" s="111">
        <v>70.528032645060904</v>
      </c>
      <c r="Z167" s="111">
        <v>70.660482564584754</v>
      </c>
      <c r="AA167" s="111">
        <v>70.907727218569562</v>
      </c>
      <c r="AB167" s="111">
        <v>71.063670306100562</v>
      </c>
      <c r="AC167" s="111">
        <v>71.16351321020521</v>
      </c>
      <c r="AD167" s="111">
        <v>71.130510226274396</v>
      </c>
      <c r="AE167" s="111">
        <v>71.071939314644254</v>
      </c>
      <c r="AF167" s="111">
        <v>71.289809711930104</v>
      </c>
      <c r="AG167" s="111">
        <v>71.40401564888154</v>
      </c>
      <c r="AH167" s="111">
        <v>71.356502636517575</v>
      </c>
      <c r="AI167" s="111">
        <v>71.162744715389337</v>
      </c>
      <c r="AJ167" s="111">
        <v>71.179859363740675</v>
      </c>
      <c r="AK167" s="111">
        <v>71.239468598881814</v>
      </c>
      <c r="AL167" s="111">
        <v>71.205000688730593</v>
      </c>
      <c r="AM167" s="111">
        <v>71.332062916712175</v>
      </c>
      <c r="AN167" s="111">
        <v>71.484681930894922</v>
      </c>
      <c r="AO167" s="111">
        <v>71.508853155448634</v>
      </c>
      <c r="AP167" s="111">
        <v>71.653957210542771</v>
      </c>
      <c r="AQ167" s="111">
        <v>71.875019602271337</v>
      </c>
      <c r="AR167" s="111">
        <v>72.033535192115977</v>
      </c>
      <c r="AS167" s="111">
        <v>71.994411557875594</v>
      </c>
      <c r="AT167" s="111">
        <v>72.103619822741209</v>
      </c>
      <c r="AU167" s="111">
        <v>72.373361495260269</v>
      </c>
      <c r="AV167" s="111">
        <v>72.460496327161621</v>
      </c>
      <c r="AW167" s="111">
        <v>72.690273516991283</v>
      </c>
      <c r="AX167" s="111">
        <v>72.903248078745861</v>
      </c>
      <c r="AY167" s="111">
        <v>72.829660805236969</v>
      </c>
      <c r="AZ167" s="111">
        <v>72.784448809878214</v>
      </c>
      <c r="BA167" s="111">
        <v>72.974149721892815</v>
      </c>
      <c r="BB167" s="111">
        <v>73.042962030063478</v>
      </c>
      <c r="BC167" s="111">
        <v>73.007306550446984</v>
      </c>
      <c r="BD167" s="111">
        <v>72.992602335240875</v>
      </c>
      <c r="BE167" s="111">
        <v>73.203320885361236</v>
      </c>
      <c r="BF167" s="111">
        <v>73.298052085146779</v>
      </c>
      <c r="BG167" s="111">
        <v>73.433321686286519</v>
      </c>
      <c r="BH167" s="111">
        <v>73.437136785496378</v>
      </c>
      <c r="BI167" s="111">
        <v>73.43424036704198</v>
      </c>
      <c r="BJ167" s="111">
        <v>73.308626880849502</v>
      </c>
      <c r="BK167" s="111">
        <v>73.382800260568189</v>
      </c>
      <c r="BL167" s="111">
        <v>73.481098121628236</v>
      </c>
      <c r="BM167" s="111">
        <v>73.558538749562075</v>
      </c>
      <c r="BN167" s="111">
        <v>73.77567206998765</v>
      </c>
      <c r="BO167" s="111">
        <v>73.980010097194622</v>
      </c>
      <c r="BP167" s="111">
        <v>74.048601004314747</v>
      </c>
      <c r="BQ167" s="111">
        <v>74.112436358665619</v>
      </c>
      <c r="BR167" s="111">
        <v>74.089185185564972</v>
      </c>
      <c r="BS167" s="111">
        <v>74.140244568942791</v>
      </c>
      <c r="BT167" s="111">
        <v>74.134710271412644</v>
      </c>
      <c r="BU167" s="111">
        <v>74.191477732027906</v>
      </c>
      <c r="BV167" s="111">
        <v>74.356930385780416</v>
      </c>
      <c r="BW167" s="111">
        <v>74.417431872164698</v>
      </c>
      <c r="BX167" s="111">
        <v>74.504598907218096</v>
      </c>
      <c r="BY167" s="111">
        <v>74.485658991028515</v>
      </c>
      <c r="BZ167" s="111">
        <v>74.446603214355733</v>
      </c>
      <c r="CA167" s="111">
        <v>74.433040437660509</v>
      </c>
      <c r="CB167" s="111">
        <v>74.447406320549746</v>
      </c>
      <c r="CC167" s="111">
        <v>74.566118862529777</v>
      </c>
      <c r="CD167" s="111">
        <v>74.536392949236401</v>
      </c>
      <c r="CE167" s="111">
        <v>74.623790345552919</v>
      </c>
      <c r="CF167" s="111">
        <v>74.768654892058947</v>
      </c>
      <c r="CG167" s="111">
        <v>74.766734957028675</v>
      </c>
      <c r="CH167" s="111">
        <v>74.908949118194769</v>
      </c>
      <c r="CI167" s="111">
        <v>75.104353394472014</v>
      </c>
      <c r="CJ167" s="111">
        <v>75.264121094393076</v>
      </c>
      <c r="CK167" s="111">
        <v>75.138180400193576</v>
      </c>
      <c r="CL167" s="111">
        <v>75.006908323214148</v>
      </c>
      <c r="CM167" s="111">
        <v>75.076017106461023</v>
      </c>
      <c r="CN167" s="111">
        <v>75.338483274583297</v>
      </c>
      <c r="CO167" s="111">
        <v>75.175362000756962</v>
      </c>
      <c r="CP167" s="111">
        <v>75.30308514652522</v>
      </c>
      <c r="CQ167" s="111">
        <v>75.37528469149548</v>
      </c>
      <c r="CR167" s="111">
        <v>75.561069614687582</v>
      </c>
      <c r="CS167" s="111">
        <v>75.593529445092898</v>
      </c>
      <c r="CT167" s="111">
        <v>75.631977883027858</v>
      </c>
      <c r="CU167" s="111">
        <v>75.548796641450622</v>
      </c>
      <c r="CV167" s="111">
        <v>75.518698850426787</v>
      </c>
      <c r="CW167" s="111">
        <v>75.556981399941904</v>
      </c>
      <c r="CX167" s="111">
        <v>75.552678799441637</v>
      </c>
      <c r="CY167" s="111">
        <v>75.711868305729752</v>
      </c>
      <c r="CZ167" s="111">
        <v>75.7608129804497</v>
      </c>
      <c r="DA167" s="111">
        <v>75.833081081136413</v>
      </c>
      <c r="DB167" s="111">
        <v>76.106094454324619</v>
      </c>
      <c r="DC167" s="111">
        <v>76.127453766378309</v>
      </c>
      <c r="DD167" s="111">
        <v>76.056950767717879</v>
      </c>
      <c r="DE167" s="111">
        <v>76.113268679439074</v>
      </c>
      <c r="DF167" s="111">
        <v>76.049416778570034</v>
      </c>
      <c r="DG167" s="111">
        <v>76.102367073888104</v>
      </c>
      <c r="DH167" s="111">
        <v>76.126454616971998</v>
      </c>
      <c r="DI167" s="111">
        <v>75.874265766892464</v>
      </c>
      <c r="DJ167" s="111">
        <v>76.046652812031994</v>
      </c>
      <c r="DK167" s="111">
        <v>76.153081778384404</v>
      </c>
      <c r="DL167" s="111">
        <v>76.342518638937122</v>
      </c>
      <c r="DM167" s="111">
        <v>76.471298780977776</v>
      </c>
      <c r="DN167" s="111">
        <v>76.456687068331419</v>
      </c>
      <c r="DO167" s="111">
        <v>76.56172688194151</v>
      </c>
      <c r="DP167" s="111">
        <v>76.325932414160349</v>
      </c>
      <c r="DQ167" s="111">
        <v>75.985802524822176</v>
      </c>
      <c r="DR167" s="111">
        <v>75.871619741414179</v>
      </c>
      <c r="DS167" s="111">
        <v>75.71015313532908</v>
      </c>
      <c r="DT167" s="111">
        <v>75.573832251490998</v>
      </c>
      <c r="DU167" s="111">
        <v>75.298733008664982</v>
      </c>
      <c r="DV167" s="111">
        <v>74.924362790406121</v>
      </c>
      <c r="DW167" s="111">
        <v>74.845142873397961</v>
      </c>
      <c r="DX167" s="111">
        <v>74.863546378001359</v>
      </c>
      <c r="DY167" s="111">
        <v>74.577055833772562</v>
      </c>
      <c r="DZ167" s="111">
        <v>74.559479716750005</v>
      </c>
      <c r="EA167" s="111">
        <v>74.690755017186817</v>
      </c>
      <c r="EB167" s="111">
        <v>74.667813063485482</v>
      </c>
      <c r="EC167" s="111">
        <v>74.692215176965391</v>
      </c>
      <c r="ED167" s="111">
        <v>74.750852404419049</v>
      </c>
      <c r="EE167" s="112">
        <v>75.019872463169762</v>
      </c>
      <c r="EF167" s="112">
        <v>75.142336390490669</v>
      </c>
      <c r="EG167" s="112">
        <v>75.242012313790454</v>
      </c>
      <c r="EH167" s="112">
        <v>75.336737738508361</v>
      </c>
      <c r="EI167" s="112">
        <v>75.385207923827323</v>
      </c>
      <c r="EJ167" s="112">
        <v>75.417536609317878</v>
      </c>
      <c r="EK167" s="111">
        <v>75.469458847652803</v>
      </c>
      <c r="EL167" s="111">
        <v>75.431988378732541</v>
      </c>
      <c r="EM167" s="111">
        <v>75.465305750384204</v>
      </c>
      <c r="EN167" s="111">
        <v>75.626683571744096</v>
      </c>
      <c r="EO167" s="116">
        <v>75.648992817013806</v>
      </c>
      <c r="EP167" s="111">
        <v>75.866474785436637</v>
      </c>
      <c r="EQ167" s="112">
        <v>75.518216130142292</v>
      </c>
      <c r="ER167" s="112">
        <v>75.424200108727874</v>
      </c>
      <c r="ES167" s="112">
        <v>75.5</v>
      </c>
      <c r="ET167" s="112">
        <v>75.5</v>
      </c>
      <c r="EU167" s="112">
        <v>75.590936946393299</v>
      </c>
      <c r="EV167" s="112">
        <v>75.599999999999994</v>
      </c>
      <c r="EW167" s="112">
        <v>75.630705096071978</v>
      </c>
      <c r="EX167" s="112">
        <v>75.729704068694843</v>
      </c>
      <c r="EY167" s="112">
        <v>75.809139324324988</v>
      </c>
      <c r="EZ167" s="112">
        <v>75.876896123823229</v>
      </c>
      <c r="FA167" s="110">
        <v>75.97214972559577</v>
      </c>
      <c r="FB167" s="112"/>
      <c r="FC167" s="106"/>
      <c r="FD167" s="106"/>
      <c r="FE167" s="106"/>
      <c r="FF167" s="100"/>
      <c r="FG167" s="140"/>
      <c r="FH167" s="138"/>
      <c r="FI167" s="106"/>
      <c r="FJ167" s="106"/>
      <c r="FK167" s="106"/>
      <c r="FL167" s="106"/>
      <c r="FM167" s="106"/>
      <c r="FN167" s="106"/>
      <c r="FO167" s="106"/>
      <c r="FP167" s="106"/>
      <c r="FQ167" s="106"/>
      <c r="FR167" s="106"/>
      <c r="FS167" s="106"/>
      <c r="FT167" s="106"/>
      <c r="FU167" s="106"/>
      <c r="FV167" s="106"/>
      <c r="FW167" s="106"/>
      <c r="FX167" s="106"/>
      <c r="FY167" s="106"/>
      <c r="FZ167" s="106"/>
      <c r="GA167" s="106"/>
      <c r="GB167" s="106"/>
      <c r="GC167" s="106"/>
      <c r="GD167" s="106"/>
      <c r="GE167" s="106"/>
      <c r="GF167" s="106"/>
      <c r="GG167" s="159"/>
    </row>
    <row r="168" spans="2:189" hidden="1" x14ac:dyDescent="0.2">
      <c r="B168" s="97">
        <v>45108</v>
      </c>
      <c r="C168" s="111">
        <v>70.422667390858052</v>
      </c>
      <c r="D168" s="111">
        <v>70.621486151623998</v>
      </c>
      <c r="E168" s="111">
        <v>70.638593680386805</v>
      </c>
      <c r="F168" s="111">
        <v>70.705399556203304</v>
      </c>
      <c r="G168" s="111">
        <v>70.49040918716814</v>
      </c>
      <c r="H168" s="111">
        <v>70.338702077892592</v>
      </c>
      <c r="I168" s="111">
        <v>70.38984940855012</v>
      </c>
      <c r="J168" s="111">
        <v>70.468865143978903</v>
      </c>
      <c r="K168" s="111">
        <v>70.586396738483302</v>
      </c>
      <c r="L168" s="111">
        <v>70.546146885197274</v>
      </c>
      <c r="M168" s="111">
        <v>70.481744775577454</v>
      </c>
      <c r="N168" s="111">
        <v>70.512158476249269</v>
      </c>
      <c r="O168" s="111">
        <v>70.450461862802683</v>
      </c>
      <c r="P168" s="111">
        <v>70.219556850312301</v>
      </c>
      <c r="Q168" s="111">
        <v>70.195306715571732</v>
      </c>
      <c r="R168" s="111">
        <v>70.105348660979573</v>
      </c>
      <c r="S168" s="111">
        <v>70.144074376248923</v>
      </c>
      <c r="T168" s="111">
        <v>70.144813109534212</v>
      </c>
      <c r="U168" s="111">
        <v>70.218305063382488</v>
      </c>
      <c r="V168" s="111">
        <v>70.240002581088262</v>
      </c>
      <c r="W168" s="111">
        <v>70.312824694108684</v>
      </c>
      <c r="X168" s="111">
        <v>70.466908437029261</v>
      </c>
      <c r="Y168" s="111">
        <v>70.528032645060904</v>
      </c>
      <c r="Z168" s="111">
        <v>70.660482564584754</v>
      </c>
      <c r="AA168" s="111">
        <v>70.907727218569562</v>
      </c>
      <c r="AB168" s="111">
        <v>71.063670306100562</v>
      </c>
      <c r="AC168" s="111">
        <v>71.16351321020521</v>
      </c>
      <c r="AD168" s="111">
        <v>71.130510226274396</v>
      </c>
      <c r="AE168" s="111">
        <v>71.071939314644254</v>
      </c>
      <c r="AF168" s="111">
        <v>71.289809711930104</v>
      </c>
      <c r="AG168" s="111">
        <v>71.40401564888154</v>
      </c>
      <c r="AH168" s="111">
        <v>71.356502636517575</v>
      </c>
      <c r="AI168" s="111">
        <v>71.162744715389337</v>
      </c>
      <c r="AJ168" s="111">
        <v>71.179859363740675</v>
      </c>
      <c r="AK168" s="111">
        <v>71.239468598881814</v>
      </c>
      <c r="AL168" s="111">
        <v>71.205000688730593</v>
      </c>
      <c r="AM168" s="111">
        <v>71.332062916712175</v>
      </c>
      <c r="AN168" s="111">
        <v>71.484681930894922</v>
      </c>
      <c r="AO168" s="111">
        <v>71.508853155448634</v>
      </c>
      <c r="AP168" s="111">
        <v>71.653957210542771</v>
      </c>
      <c r="AQ168" s="111">
        <v>71.875019602271337</v>
      </c>
      <c r="AR168" s="111">
        <v>72.033535192115977</v>
      </c>
      <c r="AS168" s="111">
        <v>71.994411557875594</v>
      </c>
      <c r="AT168" s="111">
        <v>72.103619822741209</v>
      </c>
      <c r="AU168" s="111">
        <v>72.373361495260269</v>
      </c>
      <c r="AV168" s="111">
        <v>72.460496327161621</v>
      </c>
      <c r="AW168" s="111">
        <v>72.690273516991283</v>
      </c>
      <c r="AX168" s="111">
        <v>72.903248078745861</v>
      </c>
      <c r="AY168" s="111">
        <v>72.829660805236969</v>
      </c>
      <c r="AZ168" s="111">
        <v>72.784448809878214</v>
      </c>
      <c r="BA168" s="111">
        <v>72.974149721892815</v>
      </c>
      <c r="BB168" s="111">
        <v>73.042962030063478</v>
      </c>
      <c r="BC168" s="111">
        <v>73.007306550446984</v>
      </c>
      <c r="BD168" s="111">
        <v>72.992602335240875</v>
      </c>
      <c r="BE168" s="111">
        <v>73.203320885361236</v>
      </c>
      <c r="BF168" s="111">
        <v>73.298052085146779</v>
      </c>
      <c r="BG168" s="111">
        <v>73.433321686286519</v>
      </c>
      <c r="BH168" s="111">
        <v>73.437136785496378</v>
      </c>
      <c r="BI168" s="111">
        <v>73.43424036704198</v>
      </c>
      <c r="BJ168" s="111">
        <v>73.308626880849502</v>
      </c>
      <c r="BK168" s="111">
        <v>73.382800260568189</v>
      </c>
      <c r="BL168" s="111">
        <v>73.481098121628236</v>
      </c>
      <c r="BM168" s="111">
        <v>73.558538749562075</v>
      </c>
      <c r="BN168" s="111">
        <v>73.77567206998765</v>
      </c>
      <c r="BO168" s="111">
        <v>73.980010097194622</v>
      </c>
      <c r="BP168" s="111">
        <v>74.048601004314747</v>
      </c>
      <c r="BQ168" s="111">
        <v>74.112436358665619</v>
      </c>
      <c r="BR168" s="111">
        <v>74.089185185564972</v>
      </c>
      <c r="BS168" s="111">
        <v>74.140244568942791</v>
      </c>
      <c r="BT168" s="111">
        <v>74.134710271412644</v>
      </c>
      <c r="BU168" s="111">
        <v>74.191477732027906</v>
      </c>
      <c r="BV168" s="111">
        <v>74.356930385780416</v>
      </c>
      <c r="BW168" s="111">
        <v>74.417431872164698</v>
      </c>
      <c r="BX168" s="111">
        <v>74.504598907218096</v>
      </c>
      <c r="BY168" s="111">
        <v>74.485658991028515</v>
      </c>
      <c r="BZ168" s="111">
        <v>74.446603214355733</v>
      </c>
      <c r="CA168" s="111">
        <v>74.433040437660509</v>
      </c>
      <c r="CB168" s="111">
        <v>74.447406320549746</v>
      </c>
      <c r="CC168" s="111">
        <v>74.566118862529777</v>
      </c>
      <c r="CD168" s="111">
        <v>74.536392949236401</v>
      </c>
      <c r="CE168" s="111">
        <v>74.623790345552919</v>
      </c>
      <c r="CF168" s="111">
        <v>74.768654892058947</v>
      </c>
      <c r="CG168" s="111">
        <v>74.766734957028675</v>
      </c>
      <c r="CH168" s="111">
        <v>74.908949118194769</v>
      </c>
      <c r="CI168" s="111">
        <v>75.104353394472014</v>
      </c>
      <c r="CJ168" s="111">
        <v>75.264121094393076</v>
      </c>
      <c r="CK168" s="111">
        <v>75.138180400193576</v>
      </c>
      <c r="CL168" s="111">
        <v>75.006908323214148</v>
      </c>
      <c r="CM168" s="111">
        <v>75.076017106461023</v>
      </c>
      <c r="CN168" s="111">
        <v>75.338483274583297</v>
      </c>
      <c r="CO168" s="111">
        <v>75.175362000756962</v>
      </c>
      <c r="CP168" s="111">
        <v>75.30308514652522</v>
      </c>
      <c r="CQ168" s="111">
        <v>75.37528469149548</v>
      </c>
      <c r="CR168" s="111">
        <v>75.561069614687582</v>
      </c>
      <c r="CS168" s="111">
        <v>75.593529445092898</v>
      </c>
      <c r="CT168" s="111">
        <v>75.631977883027858</v>
      </c>
      <c r="CU168" s="111">
        <v>75.548796641450622</v>
      </c>
      <c r="CV168" s="111">
        <v>75.518698850426787</v>
      </c>
      <c r="CW168" s="111">
        <v>75.556981399941904</v>
      </c>
      <c r="CX168" s="111">
        <v>75.552678799441637</v>
      </c>
      <c r="CY168" s="111">
        <v>75.711868305729752</v>
      </c>
      <c r="CZ168" s="111">
        <v>75.7608129804497</v>
      </c>
      <c r="DA168" s="111">
        <v>75.833081081136413</v>
      </c>
      <c r="DB168" s="111">
        <v>76.106094454324619</v>
      </c>
      <c r="DC168" s="111">
        <v>76.127453766378309</v>
      </c>
      <c r="DD168" s="111">
        <v>76.056950767717879</v>
      </c>
      <c r="DE168" s="111">
        <v>76.113268679439074</v>
      </c>
      <c r="DF168" s="111">
        <v>76.049416778570034</v>
      </c>
      <c r="DG168" s="111">
        <v>76.102367073888104</v>
      </c>
      <c r="DH168" s="111">
        <v>76.126454616971998</v>
      </c>
      <c r="DI168" s="111">
        <v>75.874265766892464</v>
      </c>
      <c r="DJ168" s="111">
        <v>76.046652812031994</v>
      </c>
      <c r="DK168" s="111">
        <v>76.153081778384404</v>
      </c>
      <c r="DL168" s="111">
        <v>76.342518638937122</v>
      </c>
      <c r="DM168" s="111">
        <v>76.471298780977776</v>
      </c>
      <c r="DN168" s="111">
        <v>76.456687068331419</v>
      </c>
      <c r="DO168" s="111">
        <v>76.56172688194151</v>
      </c>
      <c r="DP168" s="111">
        <v>76.325932414160349</v>
      </c>
      <c r="DQ168" s="111">
        <v>75.985802524822176</v>
      </c>
      <c r="DR168" s="111">
        <v>75.871619741414179</v>
      </c>
      <c r="DS168" s="111">
        <v>75.71015313532908</v>
      </c>
      <c r="DT168" s="111">
        <v>75.573832251490998</v>
      </c>
      <c r="DU168" s="111">
        <v>75.298733008664982</v>
      </c>
      <c r="DV168" s="111">
        <v>74.924362790406121</v>
      </c>
      <c r="DW168" s="111">
        <v>74.845142873397961</v>
      </c>
      <c r="DX168" s="111">
        <v>74.863546378001359</v>
      </c>
      <c r="DY168" s="111">
        <v>74.577055833772562</v>
      </c>
      <c r="DZ168" s="111">
        <v>74.559479716750005</v>
      </c>
      <c r="EA168" s="111">
        <v>74.690755017186817</v>
      </c>
      <c r="EB168" s="111">
        <v>74.667813063485482</v>
      </c>
      <c r="EC168" s="111">
        <v>74.692215176965391</v>
      </c>
      <c r="ED168" s="111">
        <v>74.750852404419049</v>
      </c>
      <c r="EE168" s="112">
        <v>75.019872463169762</v>
      </c>
      <c r="EF168" s="112">
        <v>75.142336390490669</v>
      </c>
      <c r="EG168" s="112">
        <v>75.242012313790454</v>
      </c>
      <c r="EH168" s="112">
        <v>75.336737738508361</v>
      </c>
      <c r="EI168" s="112">
        <v>75.385207923827323</v>
      </c>
      <c r="EJ168" s="112">
        <v>75.417536609317878</v>
      </c>
      <c r="EK168" s="111">
        <v>75.469458847652803</v>
      </c>
      <c r="EL168" s="111">
        <v>75.431988378732541</v>
      </c>
      <c r="EM168" s="111">
        <v>75.465305750384204</v>
      </c>
      <c r="EN168" s="111">
        <v>75.626683571744096</v>
      </c>
      <c r="EO168" s="111">
        <v>75.648992817013806</v>
      </c>
      <c r="EP168" s="116">
        <v>75.866474785436637</v>
      </c>
      <c r="EQ168" s="112">
        <v>75.518216130142292</v>
      </c>
      <c r="ER168" s="112">
        <v>75.424200108727874</v>
      </c>
      <c r="ES168" s="112">
        <v>75.5</v>
      </c>
      <c r="ET168" s="112">
        <v>75.5</v>
      </c>
      <c r="EU168" s="112">
        <v>75.590936946393299</v>
      </c>
      <c r="EV168" s="112">
        <v>75.599999999999994</v>
      </c>
      <c r="EW168" s="112">
        <v>75.630705096071978</v>
      </c>
      <c r="EX168" s="112">
        <v>75.729704068694843</v>
      </c>
      <c r="EY168" s="112">
        <v>75.809139324324988</v>
      </c>
      <c r="EZ168" s="112">
        <v>75.876896123823229</v>
      </c>
      <c r="FA168" s="112">
        <v>75.97214972559577</v>
      </c>
      <c r="FB168" s="110">
        <v>75.973187052034973</v>
      </c>
      <c r="FC168" s="112"/>
      <c r="FD168" s="106"/>
      <c r="FE168" s="106"/>
      <c r="FF168" s="100"/>
      <c r="FG168" s="140"/>
      <c r="FH168" s="138"/>
      <c r="FI168" s="106"/>
      <c r="FJ168" s="106"/>
      <c r="FK168" s="106"/>
      <c r="FL168" s="106"/>
      <c r="FM168" s="106"/>
      <c r="FN168" s="106"/>
      <c r="FO168" s="106"/>
      <c r="FP168" s="106"/>
      <c r="FQ168" s="106"/>
      <c r="FR168" s="106"/>
      <c r="FS168" s="106"/>
      <c r="FT168" s="106"/>
      <c r="FU168" s="106"/>
      <c r="FV168" s="106"/>
      <c r="FW168" s="106"/>
      <c r="FX168" s="106"/>
      <c r="FY168" s="106"/>
      <c r="FZ168" s="106"/>
      <c r="GA168" s="106"/>
      <c r="GB168" s="106"/>
      <c r="GC168" s="106"/>
      <c r="GD168" s="106"/>
      <c r="GE168" s="106"/>
      <c r="GF168" s="106"/>
      <c r="GG168" s="159"/>
    </row>
    <row r="169" spans="2:189" hidden="1" x14ac:dyDescent="0.2">
      <c r="B169" s="97">
        <v>45139</v>
      </c>
      <c r="C169" s="111">
        <v>70.422667390858052</v>
      </c>
      <c r="D169" s="111">
        <v>70.621486151623998</v>
      </c>
      <c r="E169" s="111">
        <v>70.638593680386805</v>
      </c>
      <c r="F169" s="111">
        <v>70.705399556203304</v>
      </c>
      <c r="G169" s="111">
        <v>70.49040918716814</v>
      </c>
      <c r="H169" s="111">
        <v>70.338702077892592</v>
      </c>
      <c r="I169" s="111">
        <v>70.38984940855012</v>
      </c>
      <c r="J169" s="111">
        <v>70.468865143978903</v>
      </c>
      <c r="K169" s="111">
        <v>70.586396738483302</v>
      </c>
      <c r="L169" s="111">
        <v>70.546146885197274</v>
      </c>
      <c r="M169" s="111">
        <v>70.481744775577454</v>
      </c>
      <c r="N169" s="111">
        <v>70.512158476249269</v>
      </c>
      <c r="O169" s="111">
        <v>70.450461862802683</v>
      </c>
      <c r="P169" s="111">
        <v>70.219556850312301</v>
      </c>
      <c r="Q169" s="111">
        <v>70.195306715571732</v>
      </c>
      <c r="R169" s="111">
        <v>70.105348660979573</v>
      </c>
      <c r="S169" s="111">
        <v>70.144074376248923</v>
      </c>
      <c r="T169" s="111">
        <v>70.144813109534212</v>
      </c>
      <c r="U169" s="111">
        <v>70.218305063382488</v>
      </c>
      <c r="V169" s="111">
        <v>70.240002581088262</v>
      </c>
      <c r="W169" s="111">
        <v>70.312824694108684</v>
      </c>
      <c r="X169" s="111">
        <v>70.466908437029261</v>
      </c>
      <c r="Y169" s="111">
        <v>70.528032645060904</v>
      </c>
      <c r="Z169" s="111">
        <v>70.660482564584754</v>
      </c>
      <c r="AA169" s="111">
        <v>70.907727218569562</v>
      </c>
      <c r="AB169" s="111">
        <v>71.063670306100562</v>
      </c>
      <c r="AC169" s="111">
        <v>71.16351321020521</v>
      </c>
      <c r="AD169" s="111">
        <v>71.130510226274396</v>
      </c>
      <c r="AE169" s="111">
        <v>71.071939314644254</v>
      </c>
      <c r="AF169" s="111">
        <v>71.289809711930104</v>
      </c>
      <c r="AG169" s="111">
        <v>71.40401564888154</v>
      </c>
      <c r="AH169" s="111">
        <v>71.356502636517575</v>
      </c>
      <c r="AI169" s="111">
        <v>71.162744715389337</v>
      </c>
      <c r="AJ169" s="111">
        <v>71.179859363740675</v>
      </c>
      <c r="AK169" s="111">
        <v>71.239468598881814</v>
      </c>
      <c r="AL169" s="111">
        <v>71.205000688730593</v>
      </c>
      <c r="AM169" s="111">
        <v>71.332062916712175</v>
      </c>
      <c r="AN169" s="111">
        <v>71.484681930894922</v>
      </c>
      <c r="AO169" s="111">
        <v>71.508853155448634</v>
      </c>
      <c r="AP169" s="111">
        <v>71.653957210542771</v>
      </c>
      <c r="AQ169" s="111">
        <v>71.875019602271337</v>
      </c>
      <c r="AR169" s="111">
        <v>72.033535192115977</v>
      </c>
      <c r="AS169" s="111">
        <v>71.994411557875594</v>
      </c>
      <c r="AT169" s="111">
        <v>72.103619822741209</v>
      </c>
      <c r="AU169" s="111">
        <v>72.373361495260269</v>
      </c>
      <c r="AV169" s="111">
        <v>72.460496327161621</v>
      </c>
      <c r="AW169" s="111">
        <v>72.690273516991283</v>
      </c>
      <c r="AX169" s="111">
        <v>72.903248078745861</v>
      </c>
      <c r="AY169" s="111">
        <v>72.829660805236969</v>
      </c>
      <c r="AZ169" s="111">
        <v>72.784448809878214</v>
      </c>
      <c r="BA169" s="111">
        <v>72.974149721892815</v>
      </c>
      <c r="BB169" s="111">
        <v>73.042962030063478</v>
      </c>
      <c r="BC169" s="111">
        <v>73.007306550446984</v>
      </c>
      <c r="BD169" s="111">
        <v>72.992602335240875</v>
      </c>
      <c r="BE169" s="111">
        <v>73.203320885361236</v>
      </c>
      <c r="BF169" s="111">
        <v>73.298052085146779</v>
      </c>
      <c r="BG169" s="111">
        <v>73.433321686286519</v>
      </c>
      <c r="BH169" s="111">
        <v>73.437136785496378</v>
      </c>
      <c r="BI169" s="111">
        <v>73.43424036704198</v>
      </c>
      <c r="BJ169" s="111">
        <v>73.308626880849502</v>
      </c>
      <c r="BK169" s="111">
        <v>73.382800260568189</v>
      </c>
      <c r="BL169" s="111">
        <v>73.481098121628236</v>
      </c>
      <c r="BM169" s="111">
        <v>73.558538749562075</v>
      </c>
      <c r="BN169" s="111">
        <v>73.77567206998765</v>
      </c>
      <c r="BO169" s="111">
        <v>73.980010097194622</v>
      </c>
      <c r="BP169" s="111">
        <v>74.048601004314747</v>
      </c>
      <c r="BQ169" s="111">
        <v>74.112436358665619</v>
      </c>
      <c r="BR169" s="111">
        <v>74.089185185564972</v>
      </c>
      <c r="BS169" s="111">
        <v>74.140244568942791</v>
      </c>
      <c r="BT169" s="111">
        <v>74.134710271412644</v>
      </c>
      <c r="BU169" s="111">
        <v>74.191477732027906</v>
      </c>
      <c r="BV169" s="111">
        <v>74.356930385780416</v>
      </c>
      <c r="BW169" s="111">
        <v>74.417431872164698</v>
      </c>
      <c r="BX169" s="111">
        <v>74.504598907218096</v>
      </c>
      <c r="BY169" s="111">
        <v>74.485658991028515</v>
      </c>
      <c r="BZ169" s="111">
        <v>74.446603214355733</v>
      </c>
      <c r="CA169" s="111">
        <v>74.433040437660509</v>
      </c>
      <c r="CB169" s="111">
        <v>74.447406320549746</v>
      </c>
      <c r="CC169" s="111">
        <v>74.566118862529777</v>
      </c>
      <c r="CD169" s="111">
        <v>74.536392949236401</v>
      </c>
      <c r="CE169" s="111">
        <v>74.623790345552919</v>
      </c>
      <c r="CF169" s="111">
        <v>74.768654892058947</v>
      </c>
      <c r="CG169" s="111">
        <v>74.766734957028675</v>
      </c>
      <c r="CH169" s="111">
        <v>74.908949118194769</v>
      </c>
      <c r="CI169" s="111">
        <v>75.104353394472014</v>
      </c>
      <c r="CJ169" s="111">
        <v>75.264121094393076</v>
      </c>
      <c r="CK169" s="111">
        <v>75.138180400193576</v>
      </c>
      <c r="CL169" s="111">
        <v>75.006908323214148</v>
      </c>
      <c r="CM169" s="111">
        <v>75.076017106461023</v>
      </c>
      <c r="CN169" s="111">
        <v>75.338483274583297</v>
      </c>
      <c r="CO169" s="111">
        <v>75.175362000756962</v>
      </c>
      <c r="CP169" s="111">
        <v>75.30308514652522</v>
      </c>
      <c r="CQ169" s="111">
        <v>75.37528469149548</v>
      </c>
      <c r="CR169" s="111">
        <v>75.561069614687582</v>
      </c>
      <c r="CS169" s="111">
        <v>75.593529445092898</v>
      </c>
      <c r="CT169" s="111">
        <v>75.631977883027858</v>
      </c>
      <c r="CU169" s="111">
        <v>75.548796641450622</v>
      </c>
      <c r="CV169" s="111">
        <v>75.518698850426787</v>
      </c>
      <c r="CW169" s="111">
        <v>75.556981399941904</v>
      </c>
      <c r="CX169" s="111">
        <v>75.552678799441637</v>
      </c>
      <c r="CY169" s="111">
        <v>75.711868305729752</v>
      </c>
      <c r="CZ169" s="111">
        <v>75.7608129804497</v>
      </c>
      <c r="DA169" s="111">
        <v>75.833081081136413</v>
      </c>
      <c r="DB169" s="111">
        <v>76.106094454324619</v>
      </c>
      <c r="DC169" s="111">
        <v>76.127453766378309</v>
      </c>
      <c r="DD169" s="111">
        <v>76.056950767717879</v>
      </c>
      <c r="DE169" s="111">
        <v>76.113268679439074</v>
      </c>
      <c r="DF169" s="111">
        <v>76.049416778570034</v>
      </c>
      <c r="DG169" s="111">
        <v>76.102367073888104</v>
      </c>
      <c r="DH169" s="111">
        <v>76.126454616971998</v>
      </c>
      <c r="DI169" s="111">
        <v>75.874265766892464</v>
      </c>
      <c r="DJ169" s="111">
        <v>76.046652812031994</v>
      </c>
      <c r="DK169" s="111">
        <v>76.153081778384404</v>
      </c>
      <c r="DL169" s="111">
        <v>76.342518638937122</v>
      </c>
      <c r="DM169" s="111">
        <v>76.471298780977776</v>
      </c>
      <c r="DN169" s="111">
        <v>76.456687068331419</v>
      </c>
      <c r="DO169" s="111">
        <v>76.56172688194151</v>
      </c>
      <c r="DP169" s="111">
        <v>76.325932414160349</v>
      </c>
      <c r="DQ169" s="111">
        <v>75.985802524822176</v>
      </c>
      <c r="DR169" s="111">
        <v>75.871619741414179</v>
      </c>
      <c r="DS169" s="111">
        <v>75.71015313532908</v>
      </c>
      <c r="DT169" s="111">
        <v>75.573832251490998</v>
      </c>
      <c r="DU169" s="111">
        <v>75.298733008664982</v>
      </c>
      <c r="DV169" s="111">
        <v>74.924362790406121</v>
      </c>
      <c r="DW169" s="111">
        <v>74.845142873397961</v>
      </c>
      <c r="DX169" s="111">
        <v>74.863546378001359</v>
      </c>
      <c r="DY169" s="111">
        <v>74.577055833772562</v>
      </c>
      <c r="DZ169" s="111">
        <v>74.559479716750005</v>
      </c>
      <c r="EA169" s="111">
        <v>74.690755017186817</v>
      </c>
      <c r="EB169" s="111">
        <v>74.667813063485482</v>
      </c>
      <c r="EC169" s="111">
        <v>74.692215176965391</v>
      </c>
      <c r="ED169" s="111">
        <v>74.750852404419049</v>
      </c>
      <c r="EE169" s="112">
        <v>75.019872463169762</v>
      </c>
      <c r="EF169" s="112">
        <v>75.142336390490669</v>
      </c>
      <c r="EG169" s="112">
        <v>75.242012313790454</v>
      </c>
      <c r="EH169" s="112">
        <v>75.336737738508361</v>
      </c>
      <c r="EI169" s="112">
        <v>75.385207923827323</v>
      </c>
      <c r="EJ169" s="112">
        <v>75.417536609317878</v>
      </c>
      <c r="EK169" s="111">
        <v>75.469458847652803</v>
      </c>
      <c r="EL169" s="111">
        <v>75.431988378732541</v>
      </c>
      <c r="EM169" s="111">
        <v>75.465305750384204</v>
      </c>
      <c r="EN169" s="111">
        <v>75.626683571744096</v>
      </c>
      <c r="EO169" s="111">
        <v>75.648992817013806</v>
      </c>
      <c r="EP169" s="111">
        <v>75.866474785436637</v>
      </c>
      <c r="EQ169" s="116">
        <v>75.518216130142292</v>
      </c>
      <c r="ER169" s="112">
        <v>75.424200108727874</v>
      </c>
      <c r="ES169" s="112">
        <v>75.5</v>
      </c>
      <c r="ET169" s="112">
        <v>75.5</v>
      </c>
      <c r="EU169" s="112">
        <v>75.590936946393299</v>
      </c>
      <c r="EV169" s="112">
        <v>75.599999999999994</v>
      </c>
      <c r="EW169" s="112">
        <v>75.630705096071978</v>
      </c>
      <c r="EX169" s="112">
        <v>75.729704068694843</v>
      </c>
      <c r="EY169" s="112">
        <v>75.809139324324988</v>
      </c>
      <c r="EZ169" s="112">
        <v>75.876896123823229</v>
      </c>
      <c r="FA169" s="112">
        <v>75.97214972559577</v>
      </c>
      <c r="FB169" s="112">
        <v>75.973187052034973</v>
      </c>
      <c r="FC169" s="110">
        <v>75.729762820525607</v>
      </c>
      <c r="FD169" s="112"/>
      <c r="FE169" s="106"/>
      <c r="FF169" s="100"/>
      <c r="FG169" s="140"/>
      <c r="FH169" s="138"/>
      <c r="FI169" s="106"/>
      <c r="FJ169" s="106"/>
      <c r="FK169" s="106"/>
      <c r="FL169" s="106"/>
      <c r="FM169" s="106"/>
      <c r="FN169" s="106"/>
      <c r="FO169" s="106"/>
      <c r="FP169" s="106"/>
      <c r="FQ169" s="106"/>
      <c r="FR169" s="106"/>
      <c r="FS169" s="106"/>
      <c r="FT169" s="106"/>
      <c r="FU169" s="106"/>
      <c r="FV169" s="106"/>
      <c r="FW169" s="106"/>
      <c r="FX169" s="106"/>
      <c r="FY169" s="106"/>
      <c r="FZ169" s="106"/>
      <c r="GA169" s="106"/>
      <c r="GB169" s="106"/>
      <c r="GC169" s="106"/>
      <c r="GD169" s="106"/>
      <c r="GE169" s="106"/>
      <c r="GF169" s="106"/>
      <c r="GG169" s="159"/>
    </row>
    <row r="170" spans="2:189" hidden="1" x14ac:dyDescent="0.2">
      <c r="B170" s="97">
        <v>45170</v>
      </c>
      <c r="C170" s="111">
        <v>70.422667390858052</v>
      </c>
      <c r="D170" s="111">
        <v>70.621486151623998</v>
      </c>
      <c r="E170" s="111">
        <v>70.638593680386805</v>
      </c>
      <c r="F170" s="111">
        <v>70.705399556203304</v>
      </c>
      <c r="G170" s="111">
        <v>70.49040918716814</v>
      </c>
      <c r="H170" s="111">
        <v>70.338702077892592</v>
      </c>
      <c r="I170" s="111">
        <v>70.38984940855012</v>
      </c>
      <c r="J170" s="111">
        <v>70.468865143978903</v>
      </c>
      <c r="K170" s="111">
        <v>70.586396738483302</v>
      </c>
      <c r="L170" s="111">
        <v>70.546146885197274</v>
      </c>
      <c r="M170" s="111">
        <v>70.481744775577454</v>
      </c>
      <c r="N170" s="111">
        <v>70.512158476249269</v>
      </c>
      <c r="O170" s="111">
        <v>70.450461862802683</v>
      </c>
      <c r="P170" s="111">
        <v>70.219556850312301</v>
      </c>
      <c r="Q170" s="111">
        <v>70.195306715571732</v>
      </c>
      <c r="R170" s="111">
        <v>70.105348660979573</v>
      </c>
      <c r="S170" s="111">
        <v>70.144074376248923</v>
      </c>
      <c r="T170" s="111">
        <v>70.144813109534212</v>
      </c>
      <c r="U170" s="111">
        <v>70.218305063382488</v>
      </c>
      <c r="V170" s="111">
        <v>70.240002581088262</v>
      </c>
      <c r="W170" s="111">
        <v>70.312824694108684</v>
      </c>
      <c r="X170" s="111">
        <v>70.466908437029261</v>
      </c>
      <c r="Y170" s="111">
        <v>70.528032645060904</v>
      </c>
      <c r="Z170" s="111">
        <v>70.660482564584754</v>
      </c>
      <c r="AA170" s="111">
        <v>70.907727218569562</v>
      </c>
      <c r="AB170" s="111">
        <v>71.063670306100562</v>
      </c>
      <c r="AC170" s="111">
        <v>71.16351321020521</v>
      </c>
      <c r="AD170" s="111">
        <v>71.130510226274396</v>
      </c>
      <c r="AE170" s="111">
        <v>71.071939314644254</v>
      </c>
      <c r="AF170" s="111">
        <v>71.289809711930104</v>
      </c>
      <c r="AG170" s="111">
        <v>71.40401564888154</v>
      </c>
      <c r="AH170" s="111">
        <v>71.356502636517575</v>
      </c>
      <c r="AI170" s="111">
        <v>71.162744715389337</v>
      </c>
      <c r="AJ170" s="111">
        <v>71.179859363740675</v>
      </c>
      <c r="AK170" s="111">
        <v>71.239468598881814</v>
      </c>
      <c r="AL170" s="111">
        <v>71.205000688730593</v>
      </c>
      <c r="AM170" s="111">
        <v>71.332062916712175</v>
      </c>
      <c r="AN170" s="111">
        <v>71.484681930894922</v>
      </c>
      <c r="AO170" s="111">
        <v>71.508853155448634</v>
      </c>
      <c r="AP170" s="111">
        <v>71.653957210542771</v>
      </c>
      <c r="AQ170" s="111">
        <v>71.875019602271337</v>
      </c>
      <c r="AR170" s="111">
        <v>72.033535192115977</v>
      </c>
      <c r="AS170" s="111">
        <v>71.994411557875594</v>
      </c>
      <c r="AT170" s="111">
        <v>72.103619822741209</v>
      </c>
      <c r="AU170" s="111">
        <v>72.373361495260269</v>
      </c>
      <c r="AV170" s="111">
        <v>72.460496327161621</v>
      </c>
      <c r="AW170" s="111">
        <v>72.690273516991283</v>
      </c>
      <c r="AX170" s="111">
        <v>72.903248078745861</v>
      </c>
      <c r="AY170" s="111">
        <v>72.829660805236969</v>
      </c>
      <c r="AZ170" s="111">
        <v>72.784448809878214</v>
      </c>
      <c r="BA170" s="111">
        <v>72.974149721892815</v>
      </c>
      <c r="BB170" s="111">
        <v>73.042962030063478</v>
      </c>
      <c r="BC170" s="111">
        <v>73.007306550446984</v>
      </c>
      <c r="BD170" s="111">
        <v>72.992602335240875</v>
      </c>
      <c r="BE170" s="111">
        <v>73.203320885361236</v>
      </c>
      <c r="BF170" s="111">
        <v>73.298052085146779</v>
      </c>
      <c r="BG170" s="111">
        <v>73.433321686286519</v>
      </c>
      <c r="BH170" s="111">
        <v>73.437136785496378</v>
      </c>
      <c r="BI170" s="111">
        <v>73.43424036704198</v>
      </c>
      <c r="BJ170" s="111">
        <v>73.308626880849502</v>
      </c>
      <c r="BK170" s="111">
        <v>73.382800260568189</v>
      </c>
      <c r="BL170" s="111">
        <v>73.481098121628236</v>
      </c>
      <c r="BM170" s="111">
        <v>73.558538749562075</v>
      </c>
      <c r="BN170" s="111">
        <v>73.77567206998765</v>
      </c>
      <c r="BO170" s="111">
        <v>73.980010097194622</v>
      </c>
      <c r="BP170" s="111">
        <v>74.048601004314747</v>
      </c>
      <c r="BQ170" s="111">
        <v>74.112436358665619</v>
      </c>
      <c r="BR170" s="111">
        <v>74.089185185564972</v>
      </c>
      <c r="BS170" s="111">
        <v>74.140244568942791</v>
      </c>
      <c r="BT170" s="111">
        <v>74.134710271412644</v>
      </c>
      <c r="BU170" s="111">
        <v>74.191477732027906</v>
      </c>
      <c r="BV170" s="111">
        <v>74.356930385780416</v>
      </c>
      <c r="BW170" s="111">
        <v>74.417431872164698</v>
      </c>
      <c r="BX170" s="111">
        <v>74.504598907218096</v>
      </c>
      <c r="BY170" s="111">
        <v>74.485658991028515</v>
      </c>
      <c r="BZ170" s="111">
        <v>74.446603214355733</v>
      </c>
      <c r="CA170" s="111">
        <v>74.433040437660509</v>
      </c>
      <c r="CB170" s="111">
        <v>74.447406320549746</v>
      </c>
      <c r="CC170" s="111">
        <v>74.566118862529777</v>
      </c>
      <c r="CD170" s="111">
        <v>74.536392949236401</v>
      </c>
      <c r="CE170" s="111">
        <v>74.623790345552919</v>
      </c>
      <c r="CF170" s="111">
        <v>74.768654892058947</v>
      </c>
      <c r="CG170" s="111">
        <v>74.766734957028675</v>
      </c>
      <c r="CH170" s="111">
        <v>74.908949118194769</v>
      </c>
      <c r="CI170" s="111">
        <v>75.104353394472014</v>
      </c>
      <c r="CJ170" s="111">
        <v>75.264121094393076</v>
      </c>
      <c r="CK170" s="111">
        <v>75.138180400193576</v>
      </c>
      <c r="CL170" s="111">
        <v>75.006908323214148</v>
      </c>
      <c r="CM170" s="111">
        <v>75.076017106461023</v>
      </c>
      <c r="CN170" s="111">
        <v>75.338483274583297</v>
      </c>
      <c r="CO170" s="111">
        <v>75.175362000756962</v>
      </c>
      <c r="CP170" s="111">
        <v>75.30308514652522</v>
      </c>
      <c r="CQ170" s="111">
        <v>75.37528469149548</v>
      </c>
      <c r="CR170" s="111">
        <v>75.561069614687582</v>
      </c>
      <c r="CS170" s="111">
        <v>75.593529445092898</v>
      </c>
      <c r="CT170" s="111">
        <v>75.631977883027858</v>
      </c>
      <c r="CU170" s="111">
        <v>75.548796641450622</v>
      </c>
      <c r="CV170" s="111">
        <v>75.518698850426787</v>
      </c>
      <c r="CW170" s="111">
        <v>75.556981399941904</v>
      </c>
      <c r="CX170" s="111">
        <v>75.552678799441637</v>
      </c>
      <c r="CY170" s="111">
        <v>75.711868305729752</v>
      </c>
      <c r="CZ170" s="111">
        <v>75.7608129804497</v>
      </c>
      <c r="DA170" s="111">
        <v>75.833081081136413</v>
      </c>
      <c r="DB170" s="111">
        <v>76.106094454324619</v>
      </c>
      <c r="DC170" s="111">
        <v>76.127453766378309</v>
      </c>
      <c r="DD170" s="111">
        <v>76.056950767717879</v>
      </c>
      <c r="DE170" s="111">
        <v>76.113268679439074</v>
      </c>
      <c r="DF170" s="111">
        <v>76.049416778570034</v>
      </c>
      <c r="DG170" s="111">
        <v>76.102367073888104</v>
      </c>
      <c r="DH170" s="111">
        <v>76.126454616971998</v>
      </c>
      <c r="DI170" s="111">
        <v>75.874265766892464</v>
      </c>
      <c r="DJ170" s="111">
        <v>76.046652812031994</v>
      </c>
      <c r="DK170" s="111">
        <v>76.153081778384404</v>
      </c>
      <c r="DL170" s="111">
        <v>76.342518638937122</v>
      </c>
      <c r="DM170" s="111">
        <v>76.471298780977776</v>
      </c>
      <c r="DN170" s="111">
        <v>76.456687068331419</v>
      </c>
      <c r="DO170" s="111">
        <v>76.56172688194151</v>
      </c>
      <c r="DP170" s="111">
        <v>76.325932414160349</v>
      </c>
      <c r="DQ170" s="111">
        <v>75.985802524822176</v>
      </c>
      <c r="DR170" s="111">
        <v>75.871619741414179</v>
      </c>
      <c r="DS170" s="111">
        <v>75.71015313532908</v>
      </c>
      <c r="DT170" s="111">
        <v>75.573832251490998</v>
      </c>
      <c r="DU170" s="111">
        <v>75.298733008664982</v>
      </c>
      <c r="DV170" s="111">
        <v>74.924362790406121</v>
      </c>
      <c r="DW170" s="111">
        <v>74.845142873397961</v>
      </c>
      <c r="DX170" s="111">
        <v>74.863546378001359</v>
      </c>
      <c r="DY170" s="111">
        <v>74.577055833772562</v>
      </c>
      <c r="DZ170" s="111">
        <v>74.559479716750005</v>
      </c>
      <c r="EA170" s="111">
        <v>74.690755017186817</v>
      </c>
      <c r="EB170" s="111">
        <v>74.667813063485482</v>
      </c>
      <c r="EC170" s="111">
        <v>74.692215176965391</v>
      </c>
      <c r="ED170" s="111">
        <v>74.750852404419049</v>
      </c>
      <c r="EE170" s="112">
        <v>75.019872463169762</v>
      </c>
      <c r="EF170" s="112">
        <v>75.142336390490669</v>
      </c>
      <c r="EG170" s="112">
        <v>75.242012313790454</v>
      </c>
      <c r="EH170" s="112">
        <v>75.336737738508361</v>
      </c>
      <c r="EI170" s="112">
        <v>75.385207923827323</v>
      </c>
      <c r="EJ170" s="112">
        <v>75.417536609317878</v>
      </c>
      <c r="EK170" s="111">
        <v>75.469458847652803</v>
      </c>
      <c r="EL170" s="111">
        <v>75.431988378732541</v>
      </c>
      <c r="EM170" s="108">
        <v>75.465305750384204</v>
      </c>
      <c r="EN170" s="121">
        <v>75.626683571744096</v>
      </c>
      <c r="EO170" s="111">
        <v>75.648992817013806</v>
      </c>
      <c r="EP170" s="111">
        <v>75.866474785436637</v>
      </c>
      <c r="EQ170" s="111">
        <v>75.518216130142292</v>
      </c>
      <c r="ER170" s="109">
        <v>75.424200108727874</v>
      </c>
      <c r="ES170" s="129">
        <v>75.5</v>
      </c>
      <c r="ET170" s="112">
        <v>75.5</v>
      </c>
      <c r="EU170" s="130">
        <v>75.590936946393299</v>
      </c>
      <c r="EV170" s="129">
        <v>75.599999999999994</v>
      </c>
      <c r="EW170" s="112">
        <v>75.630705096071978</v>
      </c>
      <c r="EX170" s="130">
        <v>75.729704068694843</v>
      </c>
      <c r="EY170" s="129">
        <v>75.809139324324988</v>
      </c>
      <c r="EZ170" s="112">
        <v>75.876896123823229</v>
      </c>
      <c r="FA170" s="112">
        <v>75.97214972559577</v>
      </c>
      <c r="FB170" s="112">
        <v>75.973187052034973</v>
      </c>
      <c r="FC170" s="112">
        <v>75.729762820525607</v>
      </c>
      <c r="FD170" s="110">
        <v>75.48366816492188</v>
      </c>
      <c r="FE170" s="112"/>
      <c r="FF170" s="100"/>
      <c r="FG170" s="140"/>
      <c r="FH170" s="100"/>
      <c r="FI170" s="138"/>
      <c r="FJ170" s="106"/>
      <c r="FK170" s="106"/>
      <c r="FL170" s="106"/>
      <c r="FM170" s="106"/>
      <c r="FN170" s="106"/>
      <c r="FO170" s="106"/>
      <c r="FP170" s="106"/>
      <c r="FQ170" s="106"/>
      <c r="FR170" s="106"/>
      <c r="FS170" s="106"/>
      <c r="FT170" s="106"/>
      <c r="FU170" s="106"/>
      <c r="FV170" s="106"/>
      <c r="FW170" s="106"/>
      <c r="FX170" s="106"/>
      <c r="FY170" s="106"/>
      <c r="FZ170" s="106"/>
      <c r="GA170" s="106"/>
      <c r="GB170" s="106"/>
      <c r="GC170" s="106"/>
      <c r="GD170" s="106"/>
      <c r="GE170" s="106"/>
      <c r="GF170" s="106"/>
      <c r="GG170" s="159"/>
    </row>
    <row r="171" spans="2:189" x14ac:dyDescent="0.2">
      <c r="B171" s="97">
        <v>45200</v>
      </c>
      <c r="C171" s="111">
        <v>70.422667390858052</v>
      </c>
      <c r="D171" s="111">
        <v>70.621486151623998</v>
      </c>
      <c r="E171" s="111">
        <v>70.638593680386805</v>
      </c>
      <c r="F171" s="111">
        <v>70.705399556203304</v>
      </c>
      <c r="G171" s="111">
        <v>70.49040918716814</v>
      </c>
      <c r="H171" s="111">
        <v>70.338702077892592</v>
      </c>
      <c r="I171" s="111">
        <v>70.38984940855012</v>
      </c>
      <c r="J171" s="111">
        <v>70.468865143978903</v>
      </c>
      <c r="K171" s="111">
        <v>70.586396738483302</v>
      </c>
      <c r="L171" s="111">
        <v>70.546146885197274</v>
      </c>
      <c r="M171" s="111">
        <v>70.481744775577454</v>
      </c>
      <c r="N171" s="111">
        <v>70.512158476249269</v>
      </c>
      <c r="O171" s="111">
        <v>70.450461862802683</v>
      </c>
      <c r="P171" s="111">
        <v>70.219556850312301</v>
      </c>
      <c r="Q171" s="111">
        <v>70.195306715571732</v>
      </c>
      <c r="R171" s="111">
        <v>70.105348660979573</v>
      </c>
      <c r="S171" s="111">
        <v>70.144074376248923</v>
      </c>
      <c r="T171" s="111">
        <v>70.144813109534212</v>
      </c>
      <c r="U171" s="111">
        <v>70.218305063382488</v>
      </c>
      <c r="V171" s="111">
        <v>70.240002581088262</v>
      </c>
      <c r="W171" s="111">
        <v>70.312824694108684</v>
      </c>
      <c r="X171" s="111">
        <v>70.466908437029261</v>
      </c>
      <c r="Y171" s="111">
        <v>70.528032645060904</v>
      </c>
      <c r="Z171" s="111">
        <v>70.660482564584754</v>
      </c>
      <c r="AA171" s="111">
        <v>70.907727218569562</v>
      </c>
      <c r="AB171" s="111">
        <v>71.063670306100562</v>
      </c>
      <c r="AC171" s="111">
        <v>71.16351321020521</v>
      </c>
      <c r="AD171" s="111">
        <v>71.130510226274396</v>
      </c>
      <c r="AE171" s="111">
        <v>71.071939314644254</v>
      </c>
      <c r="AF171" s="111">
        <v>71.289809711930104</v>
      </c>
      <c r="AG171" s="111">
        <v>71.40401564888154</v>
      </c>
      <c r="AH171" s="111">
        <v>71.356502636517575</v>
      </c>
      <c r="AI171" s="111">
        <v>71.162744715389337</v>
      </c>
      <c r="AJ171" s="111">
        <v>71.179859363740675</v>
      </c>
      <c r="AK171" s="111">
        <v>71.239468598881814</v>
      </c>
      <c r="AL171" s="111">
        <v>71.205000688730593</v>
      </c>
      <c r="AM171" s="111">
        <v>71.332062916712175</v>
      </c>
      <c r="AN171" s="111">
        <v>71.484681930894922</v>
      </c>
      <c r="AO171" s="111">
        <v>71.508853155448634</v>
      </c>
      <c r="AP171" s="111">
        <v>71.653957210542771</v>
      </c>
      <c r="AQ171" s="111">
        <v>71.875019602271337</v>
      </c>
      <c r="AR171" s="111">
        <v>72.033535192115977</v>
      </c>
      <c r="AS171" s="111">
        <v>71.994411557875594</v>
      </c>
      <c r="AT171" s="111">
        <v>72.103619822741209</v>
      </c>
      <c r="AU171" s="111">
        <v>72.373361495260269</v>
      </c>
      <c r="AV171" s="111">
        <v>72.460496327161621</v>
      </c>
      <c r="AW171" s="111">
        <v>72.690273516991283</v>
      </c>
      <c r="AX171" s="111">
        <v>72.903248078745861</v>
      </c>
      <c r="AY171" s="111">
        <v>72.829660805236969</v>
      </c>
      <c r="AZ171" s="111">
        <v>72.784448809878214</v>
      </c>
      <c r="BA171" s="111">
        <v>72.974149721892815</v>
      </c>
      <c r="BB171" s="111">
        <v>73.042962030063478</v>
      </c>
      <c r="BC171" s="111">
        <v>73.007306550446984</v>
      </c>
      <c r="BD171" s="111">
        <v>72.992602335240875</v>
      </c>
      <c r="BE171" s="111">
        <v>73.203320885361236</v>
      </c>
      <c r="BF171" s="111">
        <v>73.298052085146779</v>
      </c>
      <c r="BG171" s="111">
        <v>73.433321686286519</v>
      </c>
      <c r="BH171" s="111">
        <v>73.437136785496378</v>
      </c>
      <c r="BI171" s="111">
        <v>73.43424036704198</v>
      </c>
      <c r="BJ171" s="111">
        <v>73.308626880849502</v>
      </c>
      <c r="BK171" s="111">
        <v>73.382800260568189</v>
      </c>
      <c r="BL171" s="111">
        <v>73.481098121628236</v>
      </c>
      <c r="BM171" s="111">
        <v>73.558538749562075</v>
      </c>
      <c r="BN171" s="111">
        <v>73.77567206998765</v>
      </c>
      <c r="BO171" s="111">
        <v>73.980010097194622</v>
      </c>
      <c r="BP171" s="111">
        <v>74.048601004314747</v>
      </c>
      <c r="BQ171" s="111">
        <v>74.112436358665619</v>
      </c>
      <c r="BR171" s="111">
        <v>74.089185185564972</v>
      </c>
      <c r="BS171" s="111">
        <v>74.140244568942791</v>
      </c>
      <c r="BT171" s="111">
        <v>74.134710271412644</v>
      </c>
      <c r="BU171" s="111">
        <v>74.191477732027906</v>
      </c>
      <c r="BV171" s="111">
        <v>74.356930385780416</v>
      </c>
      <c r="BW171" s="111">
        <v>74.417431872164698</v>
      </c>
      <c r="BX171" s="111">
        <v>74.504598907218096</v>
      </c>
      <c r="BY171" s="111">
        <v>74.485658991028515</v>
      </c>
      <c r="BZ171" s="111">
        <v>74.446603214355733</v>
      </c>
      <c r="CA171" s="111">
        <v>74.433040437660509</v>
      </c>
      <c r="CB171" s="111">
        <v>74.447406320549746</v>
      </c>
      <c r="CC171" s="111">
        <v>74.566118862529777</v>
      </c>
      <c r="CD171" s="111">
        <v>74.536392949236401</v>
      </c>
      <c r="CE171" s="111">
        <v>74.623790345552919</v>
      </c>
      <c r="CF171" s="111">
        <v>74.768654892058947</v>
      </c>
      <c r="CG171" s="111">
        <v>74.766734957028675</v>
      </c>
      <c r="CH171" s="111">
        <v>74.908949118194769</v>
      </c>
      <c r="CI171" s="111">
        <v>75.104353394472014</v>
      </c>
      <c r="CJ171" s="111">
        <v>75.264121094393076</v>
      </c>
      <c r="CK171" s="111">
        <v>75.138180400193576</v>
      </c>
      <c r="CL171" s="111">
        <v>75.006908323214148</v>
      </c>
      <c r="CM171" s="111">
        <v>75.076017106461023</v>
      </c>
      <c r="CN171" s="111">
        <v>75.338483274583297</v>
      </c>
      <c r="CO171" s="111">
        <v>75.175362000756962</v>
      </c>
      <c r="CP171" s="111">
        <v>75.30308514652522</v>
      </c>
      <c r="CQ171" s="111">
        <v>75.37528469149548</v>
      </c>
      <c r="CR171" s="111">
        <v>75.561069614687582</v>
      </c>
      <c r="CS171" s="111">
        <v>75.593529445092898</v>
      </c>
      <c r="CT171" s="111">
        <v>75.631977883027858</v>
      </c>
      <c r="CU171" s="111">
        <v>75.548796641450622</v>
      </c>
      <c r="CV171" s="111">
        <v>75.518698850426787</v>
      </c>
      <c r="CW171" s="111">
        <v>75.556981399941904</v>
      </c>
      <c r="CX171" s="111">
        <v>75.552678799441637</v>
      </c>
      <c r="CY171" s="111">
        <v>75.711868305729752</v>
      </c>
      <c r="CZ171" s="111">
        <v>75.7608129804497</v>
      </c>
      <c r="DA171" s="111">
        <v>75.833081081136413</v>
      </c>
      <c r="DB171" s="111">
        <v>76.106094454324619</v>
      </c>
      <c r="DC171" s="111">
        <v>76.127453766378309</v>
      </c>
      <c r="DD171" s="111">
        <v>76.056950767717879</v>
      </c>
      <c r="DE171" s="111">
        <v>76.113268679439074</v>
      </c>
      <c r="DF171" s="111">
        <v>76.049416778570034</v>
      </c>
      <c r="DG171" s="111">
        <v>76.102367073888104</v>
      </c>
      <c r="DH171" s="111">
        <v>76.126454616971998</v>
      </c>
      <c r="DI171" s="111">
        <v>75.874265766892464</v>
      </c>
      <c r="DJ171" s="111">
        <v>76.046652812031994</v>
      </c>
      <c r="DK171" s="111">
        <v>76.153081778384404</v>
      </c>
      <c r="DL171" s="111">
        <v>76.342518638937122</v>
      </c>
      <c r="DM171" s="111">
        <v>76.471298780977776</v>
      </c>
      <c r="DN171" s="111">
        <v>76.456687068331419</v>
      </c>
      <c r="DO171" s="111">
        <v>76.56172688194151</v>
      </c>
      <c r="DP171" s="111">
        <v>76.325932414160349</v>
      </c>
      <c r="DQ171" s="111">
        <v>75.985802524822176</v>
      </c>
      <c r="DR171" s="111">
        <v>75.871619741414179</v>
      </c>
      <c r="DS171" s="111">
        <v>75.71015313532908</v>
      </c>
      <c r="DT171" s="111">
        <v>75.573832251490998</v>
      </c>
      <c r="DU171" s="111">
        <v>75.298733008664982</v>
      </c>
      <c r="DV171" s="111">
        <v>74.924362790406121</v>
      </c>
      <c r="DW171" s="111">
        <v>74.845142873397961</v>
      </c>
      <c r="DX171" s="111">
        <v>74.863546378001359</v>
      </c>
      <c r="DY171" s="111">
        <v>74.577055833772562</v>
      </c>
      <c r="DZ171" s="111">
        <v>74.559479716750005</v>
      </c>
      <c r="EA171" s="111">
        <v>74.690755017186817</v>
      </c>
      <c r="EB171" s="111">
        <v>74.667813063485482</v>
      </c>
      <c r="EC171" s="111">
        <v>74.692215176965391</v>
      </c>
      <c r="ED171" s="111">
        <v>74.750852404419049</v>
      </c>
      <c r="EE171" s="112">
        <v>75.019872463169762</v>
      </c>
      <c r="EF171" s="112">
        <v>75.142336390490669</v>
      </c>
      <c r="EG171" s="112">
        <v>75.242012313790454</v>
      </c>
      <c r="EH171" s="112">
        <v>75.336737738508361</v>
      </c>
      <c r="EI171" s="112">
        <v>75.385207923827323</v>
      </c>
      <c r="EJ171" s="112">
        <v>75.417536609317878</v>
      </c>
      <c r="EK171" s="111">
        <v>75.469458847652803</v>
      </c>
      <c r="EL171" s="111">
        <v>75.431988378732541</v>
      </c>
      <c r="EM171" s="108">
        <v>75.465305750384204</v>
      </c>
      <c r="EN171" s="121">
        <v>75.626683571744096</v>
      </c>
      <c r="EO171" s="111">
        <v>75.648992817013806</v>
      </c>
      <c r="EP171" s="111">
        <v>75.866474785436637</v>
      </c>
      <c r="EQ171" s="108">
        <v>75.518216130142292</v>
      </c>
      <c r="ER171" s="132">
        <v>75.424200108727874</v>
      </c>
      <c r="ES171" s="109">
        <v>75.5</v>
      </c>
      <c r="ET171" s="129">
        <v>75.5</v>
      </c>
      <c r="EU171" s="130">
        <v>75.590936946393299</v>
      </c>
      <c r="EV171" s="132">
        <v>75.599999999999994</v>
      </c>
      <c r="EW171" s="129">
        <v>75.630705096071978</v>
      </c>
      <c r="EX171" s="130">
        <v>75.729704068694843</v>
      </c>
      <c r="EY171" s="130">
        <v>75.809139324324988</v>
      </c>
      <c r="EZ171" s="129">
        <v>75.876896123823229</v>
      </c>
      <c r="FA171" s="130">
        <v>75.97214972559577</v>
      </c>
      <c r="FB171" s="132">
        <v>75.973187052034973</v>
      </c>
      <c r="FC171" s="130">
        <v>75.729762820525607</v>
      </c>
      <c r="FD171" s="130">
        <v>75.48366816492188</v>
      </c>
      <c r="FE171" s="137">
        <v>75.270660956270717</v>
      </c>
      <c r="FF171" s="130"/>
      <c r="FG171" s="140"/>
      <c r="FH171" s="100"/>
      <c r="FI171" s="138"/>
      <c r="FJ171" s="106"/>
      <c r="FK171" s="106"/>
      <c r="FL171" s="106"/>
      <c r="FM171" s="106"/>
      <c r="FN171" s="106"/>
      <c r="FO171" s="106"/>
      <c r="FP171" s="106"/>
      <c r="FQ171" s="106"/>
      <c r="FR171" s="106"/>
      <c r="FS171" s="106"/>
      <c r="FT171" s="106"/>
      <c r="FU171" s="106"/>
      <c r="FV171" s="106"/>
      <c r="FW171" s="106"/>
      <c r="FX171" s="106"/>
      <c r="FY171" s="106"/>
      <c r="FZ171" s="106"/>
      <c r="GA171" s="106"/>
      <c r="GB171" s="106"/>
      <c r="GC171" s="106"/>
      <c r="GD171" s="106"/>
      <c r="GE171" s="106"/>
      <c r="GF171" s="106"/>
      <c r="GG171" s="159"/>
    </row>
    <row r="172" spans="2:189" x14ac:dyDescent="0.2">
      <c r="B172" s="97">
        <v>45231</v>
      </c>
      <c r="C172" s="111">
        <v>70.422667390858052</v>
      </c>
      <c r="D172" s="111">
        <v>70.621486151623998</v>
      </c>
      <c r="E172" s="111">
        <v>70.638593680386805</v>
      </c>
      <c r="F172" s="111">
        <v>70.705399556203304</v>
      </c>
      <c r="G172" s="111">
        <v>70.49040918716814</v>
      </c>
      <c r="H172" s="111">
        <v>70.338702077892592</v>
      </c>
      <c r="I172" s="111">
        <v>70.38984940855012</v>
      </c>
      <c r="J172" s="111">
        <v>70.468865143978903</v>
      </c>
      <c r="K172" s="111">
        <v>70.586396738483302</v>
      </c>
      <c r="L172" s="111">
        <v>70.546146885197274</v>
      </c>
      <c r="M172" s="111">
        <v>70.481744775577454</v>
      </c>
      <c r="N172" s="111">
        <v>70.512158476249269</v>
      </c>
      <c r="O172" s="111">
        <v>70.450461862802683</v>
      </c>
      <c r="P172" s="111">
        <v>70.219556850312301</v>
      </c>
      <c r="Q172" s="111">
        <v>70.195306715571732</v>
      </c>
      <c r="R172" s="111">
        <v>70.105348660979573</v>
      </c>
      <c r="S172" s="111">
        <v>70.144074376248923</v>
      </c>
      <c r="T172" s="111">
        <v>70.144813109534212</v>
      </c>
      <c r="U172" s="111">
        <v>70.218305063382488</v>
      </c>
      <c r="V172" s="111">
        <v>70.240002581088262</v>
      </c>
      <c r="W172" s="111">
        <v>70.312824694108684</v>
      </c>
      <c r="X172" s="111">
        <v>70.466908437029261</v>
      </c>
      <c r="Y172" s="111">
        <v>70.528032645060904</v>
      </c>
      <c r="Z172" s="111">
        <v>70.660482564584754</v>
      </c>
      <c r="AA172" s="111">
        <v>70.907727218569562</v>
      </c>
      <c r="AB172" s="111">
        <v>71.063670306100562</v>
      </c>
      <c r="AC172" s="111">
        <v>71.16351321020521</v>
      </c>
      <c r="AD172" s="111">
        <v>71.130510226274396</v>
      </c>
      <c r="AE172" s="111">
        <v>71.071939314644254</v>
      </c>
      <c r="AF172" s="111">
        <v>71.289809711930104</v>
      </c>
      <c r="AG172" s="111">
        <v>71.40401564888154</v>
      </c>
      <c r="AH172" s="111">
        <v>71.356502636517575</v>
      </c>
      <c r="AI172" s="111">
        <v>71.162744715389337</v>
      </c>
      <c r="AJ172" s="111">
        <v>71.179859363740675</v>
      </c>
      <c r="AK172" s="111">
        <v>71.239468598881814</v>
      </c>
      <c r="AL172" s="111">
        <v>71.205000688730593</v>
      </c>
      <c r="AM172" s="111">
        <v>71.332062916712175</v>
      </c>
      <c r="AN172" s="111">
        <v>71.484681930894922</v>
      </c>
      <c r="AO172" s="111">
        <v>71.508853155448634</v>
      </c>
      <c r="AP172" s="111">
        <v>71.653957210542771</v>
      </c>
      <c r="AQ172" s="111">
        <v>71.875019602271337</v>
      </c>
      <c r="AR172" s="111">
        <v>72.033535192115977</v>
      </c>
      <c r="AS172" s="111">
        <v>71.994411557875594</v>
      </c>
      <c r="AT172" s="111">
        <v>72.103619822741209</v>
      </c>
      <c r="AU172" s="111">
        <v>72.373361495260269</v>
      </c>
      <c r="AV172" s="111">
        <v>72.460496327161621</v>
      </c>
      <c r="AW172" s="111">
        <v>72.690273516991283</v>
      </c>
      <c r="AX172" s="111">
        <v>72.903248078745861</v>
      </c>
      <c r="AY172" s="111">
        <v>72.829660805236969</v>
      </c>
      <c r="AZ172" s="111">
        <v>72.784448809878214</v>
      </c>
      <c r="BA172" s="111">
        <v>72.974149721892815</v>
      </c>
      <c r="BB172" s="111">
        <v>73.042962030063478</v>
      </c>
      <c r="BC172" s="111">
        <v>73.007306550446984</v>
      </c>
      <c r="BD172" s="111">
        <v>72.992602335240875</v>
      </c>
      <c r="BE172" s="111">
        <v>73.203320885361236</v>
      </c>
      <c r="BF172" s="111">
        <v>73.298052085146779</v>
      </c>
      <c r="BG172" s="111">
        <v>73.433321686286519</v>
      </c>
      <c r="BH172" s="111">
        <v>73.437136785496378</v>
      </c>
      <c r="BI172" s="111">
        <v>73.43424036704198</v>
      </c>
      <c r="BJ172" s="111">
        <v>73.308626880849502</v>
      </c>
      <c r="BK172" s="111">
        <v>73.382800260568189</v>
      </c>
      <c r="BL172" s="111">
        <v>73.481098121628236</v>
      </c>
      <c r="BM172" s="111">
        <v>73.558538749562075</v>
      </c>
      <c r="BN172" s="111">
        <v>73.77567206998765</v>
      </c>
      <c r="BO172" s="111">
        <v>73.980010097194622</v>
      </c>
      <c r="BP172" s="111">
        <v>74.048601004314747</v>
      </c>
      <c r="BQ172" s="111">
        <v>74.112436358665619</v>
      </c>
      <c r="BR172" s="111">
        <v>74.089185185564972</v>
      </c>
      <c r="BS172" s="111">
        <v>74.140244568942791</v>
      </c>
      <c r="BT172" s="111">
        <v>74.134710271412644</v>
      </c>
      <c r="BU172" s="111">
        <v>74.191477732027906</v>
      </c>
      <c r="BV172" s="111">
        <v>74.356930385780416</v>
      </c>
      <c r="BW172" s="111">
        <v>74.417431872164698</v>
      </c>
      <c r="BX172" s="111">
        <v>74.504598907218096</v>
      </c>
      <c r="BY172" s="111">
        <v>74.485658991028515</v>
      </c>
      <c r="BZ172" s="111">
        <v>74.446603214355733</v>
      </c>
      <c r="CA172" s="111">
        <v>74.433040437660509</v>
      </c>
      <c r="CB172" s="111">
        <v>74.447406320549746</v>
      </c>
      <c r="CC172" s="111">
        <v>74.566118862529777</v>
      </c>
      <c r="CD172" s="111">
        <v>74.536392949236401</v>
      </c>
      <c r="CE172" s="111">
        <v>74.623790345552919</v>
      </c>
      <c r="CF172" s="111">
        <v>74.768654892058947</v>
      </c>
      <c r="CG172" s="111">
        <v>74.766734957028675</v>
      </c>
      <c r="CH172" s="111">
        <v>74.908949118194769</v>
      </c>
      <c r="CI172" s="111">
        <v>75.104353394472014</v>
      </c>
      <c r="CJ172" s="111">
        <v>75.264121094393076</v>
      </c>
      <c r="CK172" s="111">
        <v>75.138180400193576</v>
      </c>
      <c r="CL172" s="111">
        <v>75.006908323214148</v>
      </c>
      <c r="CM172" s="111">
        <v>75.076017106461023</v>
      </c>
      <c r="CN172" s="111">
        <v>75.338483274583297</v>
      </c>
      <c r="CO172" s="111">
        <v>75.175362000756962</v>
      </c>
      <c r="CP172" s="111">
        <v>75.30308514652522</v>
      </c>
      <c r="CQ172" s="111">
        <v>75.37528469149548</v>
      </c>
      <c r="CR172" s="111">
        <v>75.561069614687582</v>
      </c>
      <c r="CS172" s="111">
        <v>75.593529445092898</v>
      </c>
      <c r="CT172" s="111">
        <v>75.631977883027858</v>
      </c>
      <c r="CU172" s="111">
        <v>75.548796641450622</v>
      </c>
      <c r="CV172" s="111">
        <v>75.518698850426787</v>
      </c>
      <c r="CW172" s="111">
        <v>75.556981399941904</v>
      </c>
      <c r="CX172" s="111">
        <v>75.552678799441637</v>
      </c>
      <c r="CY172" s="111">
        <v>75.711868305729752</v>
      </c>
      <c r="CZ172" s="111">
        <v>75.7608129804497</v>
      </c>
      <c r="DA172" s="111">
        <v>75.833081081136413</v>
      </c>
      <c r="DB172" s="111">
        <v>76.106094454324619</v>
      </c>
      <c r="DC172" s="111">
        <v>76.127453766378309</v>
      </c>
      <c r="DD172" s="111">
        <v>76.056950767717879</v>
      </c>
      <c r="DE172" s="111">
        <v>76.113268679439074</v>
      </c>
      <c r="DF172" s="111">
        <v>76.049416778570034</v>
      </c>
      <c r="DG172" s="111">
        <v>76.102367073888104</v>
      </c>
      <c r="DH172" s="111">
        <v>76.126454616971998</v>
      </c>
      <c r="DI172" s="111">
        <v>75.874265766892464</v>
      </c>
      <c r="DJ172" s="111">
        <v>76.046652812031994</v>
      </c>
      <c r="DK172" s="111">
        <v>76.153081778384404</v>
      </c>
      <c r="DL172" s="111">
        <v>76.342518638937122</v>
      </c>
      <c r="DM172" s="111">
        <v>76.471298780977776</v>
      </c>
      <c r="DN172" s="111">
        <v>76.456687068331419</v>
      </c>
      <c r="DO172" s="111">
        <v>76.56172688194151</v>
      </c>
      <c r="DP172" s="111">
        <v>76.325932414160349</v>
      </c>
      <c r="DQ172" s="111">
        <v>75.985802524822176</v>
      </c>
      <c r="DR172" s="111">
        <v>75.871619741414179</v>
      </c>
      <c r="DS172" s="111">
        <v>75.71015313532908</v>
      </c>
      <c r="DT172" s="111">
        <v>75.573832251490998</v>
      </c>
      <c r="DU172" s="111">
        <v>75.298733008664982</v>
      </c>
      <c r="DV172" s="111">
        <v>74.924362790406121</v>
      </c>
      <c r="DW172" s="111">
        <v>74.845142873397961</v>
      </c>
      <c r="DX172" s="111">
        <v>74.863546378001359</v>
      </c>
      <c r="DY172" s="111">
        <v>74.577055833772562</v>
      </c>
      <c r="DZ172" s="111">
        <v>74.559479716750005</v>
      </c>
      <c r="EA172" s="111">
        <v>74.690755017186817</v>
      </c>
      <c r="EB172" s="111">
        <v>74.667813063485482</v>
      </c>
      <c r="EC172" s="111">
        <v>74.692215176965391</v>
      </c>
      <c r="ED172" s="111">
        <v>74.750852404419049</v>
      </c>
      <c r="EE172" s="112">
        <v>75.019872463169762</v>
      </c>
      <c r="EF172" s="112">
        <v>75.142336390490669</v>
      </c>
      <c r="EG172" s="112">
        <v>75.242012313790454</v>
      </c>
      <c r="EH172" s="112">
        <v>75.336737738508361</v>
      </c>
      <c r="EI172" s="112">
        <v>75.385207923827323</v>
      </c>
      <c r="EJ172" s="112">
        <v>75.417536609317878</v>
      </c>
      <c r="EK172" s="111">
        <v>75.469458847652803</v>
      </c>
      <c r="EL172" s="108">
        <v>75.431988378732541</v>
      </c>
      <c r="EM172" s="108">
        <v>75.465305750384204</v>
      </c>
      <c r="EN172" s="121">
        <v>75.626683571744096</v>
      </c>
      <c r="EO172" s="111">
        <v>75.648992817013806</v>
      </c>
      <c r="EP172" s="111">
        <v>75.866474785436637</v>
      </c>
      <c r="EQ172" s="108">
        <v>75.518216130142292</v>
      </c>
      <c r="ER172" s="132">
        <v>75.424200108727874</v>
      </c>
      <c r="ES172" s="130">
        <v>75.5</v>
      </c>
      <c r="ET172" s="109">
        <v>75.5</v>
      </c>
      <c r="EU172" s="130">
        <v>75.590936946393299</v>
      </c>
      <c r="EV172" s="132">
        <v>75.599999999999994</v>
      </c>
      <c r="EW172" s="130">
        <v>75.630705096071978</v>
      </c>
      <c r="EX172" s="130">
        <v>75.729704068694843</v>
      </c>
      <c r="EY172" s="130">
        <v>75.809139324324988</v>
      </c>
      <c r="EZ172" s="132">
        <v>75.876896123823229</v>
      </c>
      <c r="FA172" s="130">
        <v>75.97214972559577</v>
      </c>
      <c r="FB172" s="132">
        <v>75.973187052034973</v>
      </c>
      <c r="FC172" s="130">
        <v>75.729762820525607</v>
      </c>
      <c r="FD172" s="130">
        <v>75.48366816492188</v>
      </c>
      <c r="FE172" s="132">
        <v>75.270660956270717</v>
      </c>
      <c r="FF172" s="136">
        <v>75.44365216851719</v>
      </c>
      <c r="FG172" s="132"/>
      <c r="FH172" s="100"/>
      <c r="FI172" s="138"/>
      <c r="FJ172" s="106"/>
      <c r="FK172" s="106"/>
      <c r="FL172" s="106"/>
      <c r="FM172" s="106"/>
      <c r="FN172" s="106"/>
      <c r="FO172" s="106"/>
      <c r="FP172" s="106"/>
      <c r="FQ172" s="106"/>
      <c r="FR172" s="106"/>
      <c r="FS172" s="106"/>
      <c r="FT172" s="106"/>
      <c r="FU172" s="106"/>
      <c r="FV172" s="106"/>
      <c r="FW172" s="106"/>
      <c r="FX172" s="106"/>
      <c r="FY172" s="106"/>
      <c r="FZ172" s="106"/>
      <c r="GA172" s="106"/>
      <c r="GB172" s="106"/>
      <c r="GC172" s="106"/>
      <c r="GD172" s="106"/>
      <c r="GE172" s="106"/>
      <c r="GF172" s="106"/>
      <c r="GG172" s="159"/>
    </row>
    <row r="173" spans="2:189" x14ac:dyDescent="0.2">
      <c r="B173" s="97">
        <v>45261</v>
      </c>
      <c r="C173" s="111">
        <v>70.422667390858052</v>
      </c>
      <c r="D173" s="111">
        <v>70.621486151623998</v>
      </c>
      <c r="E173" s="111">
        <v>70.638593680386805</v>
      </c>
      <c r="F173" s="111">
        <v>70.705399556203304</v>
      </c>
      <c r="G173" s="111">
        <v>70.49040918716814</v>
      </c>
      <c r="H173" s="111">
        <v>70.338702077892592</v>
      </c>
      <c r="I173" s="111">
        <v>70.38984940855012</v>
      </c>
      <c r="J173" s="111">
        <v>70.468865143978903</v>
      </c>
      <c r="K173" s="111">
        <v>70.586396738483302</v>
      </c>
      <c r="L173" s="111">
        <v>70.546146885197274</v>
      </c>
      <c r="M173" s="111">
        <v>70.481744775577454</v>
      </c>
      <c r="N173" s="111">
        <v>70.512158476249269</v>
      </c>
      <c r="O173" s="111">
        <v>70.450461862802683</v>
      </c>
      <c r="P173" s="111">
        <v>70.219556850312301</v>
      </c>
      <c r="Q173" s="111">
        <v>70.195306715571732</v>
      </c>
      <c r="R173" s="111">
        <v>70.105348660979573</v>
      </c>
      <c r="S173" s="111">
        <v>70.144074376248923</v>
      </c>
      <c r="T173" s="111">
        <v>70.144813109534212</v>
      </c>
      <c r="U173" s="111">
        <v>70.218305063382488</v>
      </c>
      <c r="V173" s="111">
        <v>70.240002581088262</v>
      </c>
      <c r="W173" s="111">
        <v>70.312824694108684</v>
      </c>
      <c r="X173" s="111">
        <v>70.466908437029261</v>
      </c>
      <c r="Y173" s="111">
        <v>70.528032645060904</v>
      </c>
      <c r="Z173" s="111">
        <v>70.660482564584754</v>
      </c>
      <c r="AA173" s="111">
        <v>70.907727218569562</v>
      </c>
      <c r="AB173" s="111">
        <v>71.063670306100562</v>
      </c>
      <c r="AC173" s="111">
        <v>71.16351321020521</v>
      </c>
      <c r="AD173" s="111">
        <v>71.130510226274396</v>
      </c>
      <c r="AE173" s="111">
        <v>71.071939314644254</v>
      </c>
      <c r="AF173" s="111">
        <v>71.289809711930104</v>
      </c>
      <c r="AG173" s="111">
        <v>71.40401564888154</v>
      </c>
      <c r="AH173" s="111">
        <v>71.356502636517575</v>
      </c>
      <c r="AI173" s="111">
        <v>71.162744715389337</v>
      </c>
      <c r="AJ173" s="111">
        <v>71.179859363740675</v>
      </c>
      <c r="AK173" s="111">
        <v>71.239468598881814</v>
      </c>
      <c r="AL173" s="111">
        <v>71.205000688730593</v>
      </c>
      <c r="AM173" s="111">
        <v>71.332062916712175</v>
      </c>
      <c r="AN173" s="111">
        <v>71.484681930894922</v>
      </c>
      <c r="AO173" s="111">
        <v>71.508853155448634</v>
      </c>
      <c r="AP173" s="111">
        <v>71.653957210542771</v>
      </c>
      <c r="AQ173" s="111">
        <v>71.875019602271337</v>
      </c>
      <c r="AR173" s="111">
        <v>72.033535192115977</v>
      </c>
      <c r="AS173" s="111">
        <v>71.994411557875594</v>
      </c>
      <c r="AT173" s="111">
        <v>72.103619822741209</v>
      </c>
      <c r="AU173" s="111">
        <v>72.373361495260269</v>
      </c>
      <c r="AV173" s="111">
        <v>72.460496327161621</v>
      </c>
      <c r="AW173" s="111">
        <v>72.690273516991283</v>
      </c>
      <c r="AX173" s="111">
        <v>72.903248078745861</v>
      </c>
      <c r="AY173" s="111">
        <v>72.829660805236969</v>
      </c>
      <c r="AZ173" s="111">
        <v>72.784448809878214</v>
      </c>
      <c r="BA173" s="111">
        <v>72.974149721892815</v>
      </c>
      <c r="BB173" s="111">
        <v>73.042962030063478</v>
      </c>
      <c r="BC173" s="111">
        <v>73.007306550446984</v>
      </c>
      <c r="BD173" s="111">
        <v>72.992602335240875</v>
      </c>
      <c r="BE173" s="111">
        <v>73.203320885361236</v>
      </c>
      <c r="BF173" s="111">
        <v>73.298052085146779</v>
      </c>
      <c r="BG173" s="111">
        <v>73.433321686286519</v>
      </c>
      <c r="BH173" s="111">
        <v>73.437136785496378</v>
      </c>
      <c r="BI173" s="111">
        <v>73.43424036704198</v>
      </c>
      <c r="BJ173" s="111">
        <v>73.308626880849502</v>
      </c>
      <c r="BK173" s="111">
        <v>73.382800260568189</v>
      </c>
      <c r="BL173" s="111">
        <v>73.481098121628236</v>
      </c>
      <c r="BM173" s="111">
        <v>73.558538749562075</v>
      </c>
      <c r="BN173" s="111">
        <v>73.77567206998765</v>
      </c>
      <c r="BO173" s="111">
        <v>73.980010097194622</v>
      </c>
      <c r="BP173" s="111">
        <v>74.048601004314747</v>
      </c>
      <c r="BQ173" s="111">
        <v>74.112436358665619</v>
      </c>
      <c r="BR173" s="111">
        <v>74.089185185564972</v>
      </c>
      <c r="BS173" s="111">
        <v>74.140244568942791</v>
      </c>
      <c r="BT173" s="111">
        <v>74.134710271412644</v>
      </c>
      <c r="BU173" s="111">
        <v>74.191477732027906</v>
      </c>
      <c r="BV173" s="111">
        <v>74.356930385780416</v>
      </c>
      <c r="BW173" s="111">
        <v>74.417431872164698</v>
      </c>
      <c r="BX173" s="111">
        <v>74.504598907218096</v>
      </c>
      <c r="BY173" s="111">
        <v>74.485658991028515</v>
      </c>
      <c r="BZ173" s="111">
        <v>74.446603214355733</v>
      </c>
      <c r="CA173" s="111">
        <v>74.433040437660509</v>
      </c>
      <c r="CB173" s="111">
        <v>74.447406320549746</v>
      </c>
      <c r="CC173" s="111">
        <v>74.566118862529777</v>
      </c>
      <c r="CD173" s="111">
        <v>74.536392949236401</v>
      </c>
      <c r="CE173" s="111">
        <v>74.623790345552919</v>
      </c>
      <c r="CF173" s="111">
        <v>74.768654892058947</v>
      </c>
      <c r="CG173" s="111">
        <v>74.766734957028675</v>
      </c>
      <c r="CH173" s="111">
        <v>74.908949118194769</v>
      </c>
      <c r="CI173" s="111">
        <v>75.104353394472014</v>
      </c>
      <c r="CJ173" s="111">
        <v>75.264121094393076</v>
      </c>
      <c r="CK173" s="111">
        <v>75.138180400193576</v>
      </c>
      <c r="CL173" s="111">
        <v>75.006908323214148</v>
      </c>
      <c r="CM173" s="111">
        <v>75.076017106461023</v>
      </c>
      <c r="CN173" s="111">
        <v>75.338483274583297</v>
      </c>
      <c r="CO173" s="111">
        <v>75.175362000756962</v>
      </c>
      <c r="CP173" s="111">
        <v>75.30308514652522</v>
      </c>
      <c r="CQ173" s="111">
        <v>75.37528469149548</v>
      </c>
      <c r="CR173" s="111">
        <v>75.561069614687582</v>
      </c>
      <c r="CS173" s="111">
        <v>75.593529445092898</v>
      </c>
      <c r="CT173" s="111">
        <v>75.631977883027858</v>
      </c>
      <c r="CU173" s="111">
        <v>75.548796641450622</v>
      </c>
      <c r="CV173" s="111">
        <v>75.518698850426787</v>
      </c>
      <c r="CW173" s="111">
        <v>75.556981399941904</v>
      </c>
      <c r="CX173" s="111">
        <v>75.552678799441637</v>
      </c>
      <c r="CY173" s="111">
        <v>75.711868305729752</v>
      </c>
      <c r="CZ173" s="111">
        <v>75.7608129804497</v>
      </c>
      <c r="DA173" s="111">
        <v>75.833081081136413</v>
      </c>
      <c r="DB173" s="111">
        <v>76.106094454324619</v>
      </c>
      <c r="DC173" s="111">
        <v>76.127453766378309</v>
      </c>
      <c r="DD173" s="111">
        <v>76.056950767717879</v>
      </c>
      <c r="DE173" s="111">
        <v>76.113268679439074</v>
      </c>
      <c r="DF173" s="111">
        <v>76.049416778570034</v>
      </c>
      <c r="DG173" s="111">
        <v>76.102367073888104</v>
      </c>
      <c r="DH173" s="111">
        <v>76.126454616971998</v>
      </c>
      <c r="DI173" s="111">
        <v>75.874265766892464</v>
      </c>
      <c r="DJ173" s="111">
        <v>76.046652812031994</v>
      </c>
      <c r="DK173" s="111">
        <v>76.153081778384404</v>
      </c>
      <c r="DL173" s="111">
        <v>76.342518638937122</v>
      </c>
      <c r="DM173" s="111">
        <v>76.471298780977776</v>
      </c>
      <c r="DN173" s="111">
        <v>76.456687068331419</v>
      </c>
      <c r="DO173" s="111">
        <v>76.56172688194151</v>
      </c>
      <c r="DP173" s="111">
        <v>76.325932414160349</v>
      </c>
      <c r="DQ173" s="111">
        <v>75.985802524822176</v>
      </c>
      <c r="DR173" s="111">
        <v>75.871619741414179</v>
      </c>
      <c r="DS173" s="111">
        <v>75.71015313532908</v>
      </c>
      <c r="DT173" s="111">
        <v>75.573832251490998</v>
      </c>
      <c r="DU173" s="111">
        <v>75.298733008664982</v>
      </c>
      <c r="DV173" s="111">
        <v>74.924362790406121</v>
      </c>
      <c r="DW173" s="111">
        <v>74.845142873397961</v>
      </c>
      <c r="DX173" s="111">
        <v>74.863546378001359</v>
      </c>
      <c r="DY173" s="111">
        <v>74.577055833772562</v>
      </c>
      <c r="DZ173" s="111">
        <v>74.559479716750005</v>
      </c>
      <c r="EA173" s="111">
        <v>74.690755017186817</v>
      </c>
      <c r="EB173" s="111">
        <v>74.667813063485482</v>
      </c>
      <c r="EC173" s="111">
        <v>74.692215176965391</v>
      </c>
      <c r="ED173" s="111">
        <v>74.750852404419049</v>
      </c>
      <c r="EE173" s="112">
        <v>75.019872463169762</v>
      </c>
      <c r="EF173" s="112">
        <v>75.142336390490669</v>
      </c>
      <c r="EG173" s="112">
        <v>75.242012313790454</v>
      </c>
      <c r="EH173" s="112">
        <v>75.336737738508361</v>
      </c>
      <c r="EI173" s="112">
        <v>75.385207923827323</v>
      </c>
      <c r="EJ173" s="112">
        <v>75.417536609317878</v>
      </c>
      <c r="EK173" s="111">
        <v>75.469458847652803</v>
      </c>
      <c r="EL173" s="108">
        <v>75.431988378732541</v>
      </c>
      <c r="EM173" s="108">
        <v>75.465305750384204</v>
      </c>
      <c r="EN173" s="128">
        <v>75.626683571744096</v>
      </c>
      <c r="EO173" s="128">
        <v>75.648992817013806</v>
      </c>
      <c r="EP173" s="121">
        <v>75.866474785436637</v>
      </c>
      <c r="EQ173" s="108">
        <v>75.518216130142292</v>
      </c>
      <c r="ER173" s="132">
        <v>75.424200108727874</v>
      </c>
      <c r="ES173" s="130">
        <v>75.5</v>
      </c>
      <c r="ET173" s="130">
        <v>75.5</v>
      </c>
      <c r="EU173" s="109">
        <v>75.590936946393299</v>
      </c>
      <c r="EV173" s="132">
        <v>75.599999999999994</v>
      </c>
      <c r="EW173" s="130">
        <v>75.630705096071978</v>
      </c>
      <c r="EX173" s="130">
        <v>75.729704068694843</v>
      </c>
      <c r="EY173" s="130">
        <v>75.809139324324988</v>
      </c>
      <c r="EZ173" s="132">
        <v>75.876896123823229</v>
      </c>
      <c r="FA173" s="130">
        <v>75.97214972559577</v>
      </c>
      <c r="FB173" s="132">
        <v>75.973187052034973</v>
      </c>
      <c r="FC173" s="130">
        <v>75.729762820525607</v>
      </c>
      <c r="FD173" s="130">
        <v>75.48366816492188</v>
      </c>
      <c r="FE173" s="132">
        <v>75.270660956270717</v>
      </c>
      <c r="FF173" s="130">
        <v>75.44365216851719</v>
      </c>
      <c r="FG173" s="137">
        <v>75.571135927463047</v>
      </c>
      <c r="FH173" s="130"/>
      <c r="FI173" s="138"/>
      <c r="FJ173" s="106"/>
      <c r="FK173" s="106"/>
      <c r="FL173" s="106"/>
      <c r="FM173" s="106"/>
      <c r="FN173" s="106"/>
      <c r="FO173" s="106"/>
      <c r="FP173" s="106"/>
      <c r="FQ173" s="106"/>
      <c r="FR173" s="106"/>
      <c r="FS173" s="106"/>
      <c r="FT173" s="106"/>
      <c r="FU173" s="106"/>
      <c r="FV173" s="106"/>
      <c r="FW173" s="106"/>
      <c r="FX173" s="106"/>
      <c r="FY173" s="106"/>
      <c r="FZ173" s="106"/>
      <c r="GA173" s="106"/>
      <c r="GB173" s="106"/>
      <c r="GC173" s="106"/>
      <c r="GD173" s="106"/>
      <c r="GE173" s="106"/>
      <c r="GF173" s="106"/>
      <c r="GG173" s="159"/>
    </row>
    <row r="174" spans="2:189" x14ac:dyDescent="0.2">
      <c r="B174" s="97">
        <v>45292</v>
      </c>
      <c r="C174" s="111">
        <v>70.422667390858052</v>
      </c>
      <c r="D174" s="111">
        <v>70.621486151623998</v>
      </c>
      <c r="E174" s="111">
        <v>70.638593680386805</v>
      </c>
      <c r="F174" s="111">
        <v>70.705399556203304</v>
      </c>
      <c r="G174" s="111">
        <v>70.49040918716814</v>
      </c>
      <c r="H174" s="111">
        <v>70.338702077892592</v>
      </c>
      <c r="I174" s="111">
        <v>70.38984940855012</v>
      </c>
      <c r="J174" s="111">
        <v>70.468865143978903</v>
      </c>
      <c r="K174" s="111">
        <v>70.586396738483302</v>
      </c>
      <c r="L174" s="111">
        <v>70.546146885197274</v>
      </c>
      <c r="M174" s="111">
        <v>70.481744775577454</v>
      </c>
      <c r="N174" s="111">
        <v>70.512158476249269</v>
      </c>
      <c r="O174" s="111">
        <v>70.450461862802683</v>
      </c>
      <c r="P174" s="111">
        <v>70.219556850312301</v>
      </c>
      <c r="Q174" s="111">
        <v>70.195306715571732</v>
      </c>
      <c r="R174" s="111">
        <v>70.105348660979573</v>
      </c>
      <c r="S174" s="111">
        <v>70.144074376248923</v>
      </c>
      <c r="T174" s="111">
        <v>70.144813109534212</v>
      </c>
      <c r="U174" s="111">
        <v>70.218305063382488</v>
      </c>
      <c r="V174" s="111">
        <v>70.240002581088262</v>
      </c>
      <c r="W174" s="111">
        <v>70.312824694108684</v>
      </c>
      <c r="X174" s="111">
        <v>70.466908437029261</v>
      </c>
      <c r="Y174" s="111">
        <v>70.528032645060904</v>
      </c>
      <c r="Z174" s="111">
        <v>70.660482564584754</v>
      </c>
      <c r="AA174" s="111">
        <v>70.907727218569562</v>
      </c>
      <c r="AB174" s="111">
        <v>71.063670306100562</v>
      </c>
      <c r="AC174" s="111">
        <v>71.16351321020521</v>
      </c>
      <c r="AD174" s="111">
        <v>71.130510226274396</v>
      </c>
      <c r="AE174" s="111">
        <v>71.071939314644254</v>
      </c>
      <c r="AF174" s="111">
        <v>71.289809711930104</v>
      </c>
      <c r="AG174" s="111">
        <v>71.40401564888154</v>
      </c>
      <c r="AH174" s="111">
        <v>71.356502636517575</v>
      </c>
      <c r="AI174" s="111">
        <v>71.162744715389337</v>
      </c>
      <c r="AJ174" s="111">
        <v>71.179859363740675</v>
      </c>
      <c r="AK174" s="111">
        <v>71.239468598881814</v>
      </c>
      <c r="AL174" s="111">
        <v>71.205000688730593</v>
      </c>
      <c r="AM174" s="111">
        <v>71.332062916712175</v>
      </c>
      <c r="AN174" s="111">
        <v>71.484681930894922</v>
      </c>
      <c r="AO174" s="111">
        <v>71.508853155448634</v>
      </c>
      <c r="AP174" s="111">
        <v>71.653957210542771</v>
      </c>
      <c r="AQ174" s="111">
        <v>71.875019602271337</v>
      </c>
      <c r="AR174" s="111">
        <v>72.033535192115977</v>
      </c>
      <c r="AS174" s="111">
        <v>71.994411557875594</v>
      </c>
      <c r="AT174" s="111">
        <v>72.103619822741209</v>
      </c>
      <c r="AU174" s="111">
        <v>72.373361495260269</v>
      </c>
      <c r="AV174" s="111">
        <v>72.460496327161621</v>
      </c>
      <c r="AW174" s="111">
        <v>72.690273516991283</v>
      </c>
      <c r="AX174" s="111">
        <v>72.903248078745861</v>
      </c>
      <c r="AY174" s="111">
        <v>72.829660805236969</v>
      </c>
      <c r="AZ174" s="111">
        <v>72.784448809878214</v>
      </c>
      <c r="BA174" s="111">
        <v>72.974149721892815</v>
      </c>
      <c r="BB174" s="111">
        <v>73.042962030063478</v>
      </c>
      <c r="BC174" s="111">
        <v>73.007306550446984</v>
      </c>
      <c r="BD174" s="111">
        <v>72.992602335240875</v>
      </c>
      <c r="BE174" s="111">
        <v>73.203320885361236</v>
      </c>
      <c r="BF174" s="111">
        <v>73.298052085146779</v>
      </c>
      <c r="BG174" s="111">
        <v>73.433321686286519</v>
      </c>
      <c r="BH174" s="111">
        <v>73.437136785496378</v>
      </c>
      <c r="BI174" s="111">
        <v>73.43424036704198</v>
      </c>
      <c r="BJ174" s="111">
        <v>73.308626880849502</v>
      </c>
      <c r="BK174" s="111">
        <v>73.382800260568189</v>
      </c>
      <c r="BL174" s="111">
        <v>73.481098121628236</v>
      </c>
      <c r="BM174" s="111">
        <v>73.558538749562075</v>
      </c>
      <c r="BN174" s="111">
        <v>73.77567206998765</v>
      </c>
      <c r="BO174" s="111">
        <v>73.980010097194622</v>
      </c>
      <c r="BP174" s="111">
        <v>74.048601004314747</v>
      </c>
      <c r="BQ174" s="111">
        <v>74.112436358665619</v>
      </c>
      <c r="BR174" s="111">
        <v>74.089185185564972</v>
      </c>
      <c r="BS174" s="111">
        <v>74.140244568942791</v>
      </c>
      <c r="BT174" s="111">
        <v>74.134710271412644</v>
      </c>
      <c r="BU174" s="111">
        <v>74.191477732027906</v>
      </c>
      <c r="BV174" s="111">
        <v>74.356930385780416</v>
      </c>
      <c r="BW174" s="111">
        <v>74.417431872164698</v>
      </c>
      <c r="BX174" s="111">
        <v>74.504598907218096</v>
      </c>
      <c r="BY174" s="111">
        <v>74.485658991028515</v>
      </c>
      <c r="BZ174" s="111">
        <v>74.446603214355733</v>
      </c>
      <c r="CA174" s="111">
        <v>74.433040437660509</v>
      </c>
      <c r="CB174" s="111">
        <v>74.447406320549746</v>
      </c>
      <c r="CC174" s="111">
        <v>74.566118862529777</v>
      </c>
      <c r="CD174" s="111">
        <v>74.536392949236401</v>
      </c>
      <c r="CE174" s="111">
        <v>74.623790345552919</v>
      </c>
      <c r="CF174" s="111">
        <v>74.768654892058947</v>
      </c>
      <c r="CG174" s="111">
        <v>74.766734957028675</v>
      </c>
      <c r="CH174" s="111">
        <v>74.908949118194769</v>
      </c>
      <c r="CI174" s="111">
        <v>75.104353394472014</v>
      </c>
      <c r="CJ174" s="111">
        <v>75.264121094393076</v>
      </c>
      <c r="CK174" s="111">
        <v>75.138180400193576</v>
      </c>
      <c r="CL174" s="111">
        <v>75.006908323214148</v>
      </c>
      <c r="CM174" s="111">
        <v>75.076017106461023</v>
      </c>
      <c r="CN174" s="111">
        <v>75.338483274583297</v>
      </c>
      <c r="CO174" s="111">
        <v>75.175362000756962</v>
      </c>
      <c r="CP174" s="111">
        <v>75.30308514652522</v>
      </c>
      <c r="CQ174" s="111">
        <v>75.37528469149548</v>
      </c>
      <c r="CR174" s="111">
        <v>75.561069614687582</v>
      </c>
      <c r="CS174" s="111">
        <v>75.593529445092898</v>
      </c>
      <c r="CT174" s="111">
        <v>75.631977883027858</v>
      </c>
      <c r="CU174" s="111">
        <v>75.548796641450622</v>
      </c>
      <c r="CV174" s="111">
        <v>75.518698850426787</v>
      </c>
      <c r="CW174" s="111">
        <v>75.556981399941904</v>
      </c>
      <c r="CX174" s="111">
        <v>75.552678799441637</v>
      </c>
      <c r="CY174" s="111">
        <v>75.711868305729752</v>
      </c>
      <c r="CZ174" s="111">
        <v>75.7608129804497</v>
      </c>
      <c r="DA174" s="111">
        <v>75.833081081136413</v>
      </c>
      <c r="DB174" s="111">
        <v>76.106094454324619</v>
      </c>
      <c r="DC174" s="111">
        <v>76.127453766378309</v>
      </c>
      <c r="DD174" s="111">
        <v>76.056950767717879</v>
      </c>
      <c r="DE174" s="111">
        <v>76.113268679439074</v>
      </c>
      <c r="DF174" s="111">
        <v>76.049416778570034</v>
      </c>
      <c r="DG174" s="111">
        <v>76.102367073888104</v>
      </c>
      <c r="DH174" s="111">
        <v>76.126454616971998</v>
      </c>
      <c r="DI174" s="111">
        <v>75.874265766892464</v>
      </c>
      <c r="DJ174" s="111">
        <v>76.046652812031994</v>
      </c>
      <c r="DK174" s="111">
        <v>76.153081778384404</v>
      </c>
      <c r="DL174" s="111">
        <v>76.342518638937122</v>
      </c>
      <c r="DM174" s="111">
        <v>76.471298780977776</v>
      </c>
      <c r="DN174" s="111">
        <v>76.456687068331419</v>
      </c>
      <c r="DO174" s="111">
        <v>76.56172688194151</v>
      </c>
      <c r="DP174" s="111">
        <v>76.325932414160349</v>
      </c>
      <c r="DQ174" s="111">
        <v>75.985802524822176</v>
      </c>
      <c r="DR174" s="111">
        <v>75.871619741414179</v>
      </c>
      <c r="DS174" s="111">
        <v>75.71015313532908</v>
      </c>
      <c r="DT174" s="111">
        <v>75.573832251490998</v>
      </c>
      <c r="DU174" s="111">
        <v>75.298733008664982</v>
      </c>
      <c r="DV174" s="111">
        <v>74.924362790406121</v>
      </c>
      <c r="DW174" s="111">
        <v>74.845142873397961</v>
      </c>
      <c r="DX174" s="111">
        <v>74.863546378001359</v>
      </c>
      <c r="DY174" s="111">
        <v>74.577055833772562</v>
      </c>
      <c r="DZ174" s="111">
        <v>74.559479716750005</v>
      </c>
      <c r="EA174" s="111">
        <v>74.690755017186817</v>
      </c>
      <c r="EB174" s="111">
        <v>74.667813063485482</v>
      </c>
      <c r="EC174" s="111">
        <v>74.692215176965391</v>
      </c>
      <c r="ED174" s="111">
        <v>74.750852404419049</v>
      </c>
      <c r="EE174" s="112">
        <v>75.019872463169762</v>
      </c>
      <c r="EF174" s="112">
        <v>75.142336390490669</v>
      </c>
      <c r="EG174" s="112">
        <v>75.242012313790454</v>
      </c>
      <c r="EH174" s="112">
        <v>75.336737738508361</v>
      </c>
      <c r="EI174" s="112">
        <v>75.385207923827323</v>
      </c>
      <c r="EJ174" s="112">
        <v>75.417536609317878</v>
      </c>
      <c r="EK174" s="111">
        <v>75.469458847652803</v>
      </c>
      <c r="EL174" s="108">
        <v>75.431988378732541</v>
      </c>
      <c r="EM174" s="108">
        <v>75.465305750384204</v>
      </c>
      <c r="EN174" s="128">
        <v>75.626683571744096</v>
      </c>
      <c r="EO174" s="128">
        <v>75.648992817013806</v>
      </c>
      <c r="EP174" s="121">
        <v>75.866474785436637</v>
      </c>
      <c r="EQ174" s="108">
        <v>75.518216130142292</v>
      </c>
      <c r="ER174" s="132">
        <v>75.424200108727874</v>
      </c>
      <c r="ES174" s="130">
        <v>75.5</v>
      </c>
      <c r="ET174" s="130">
        <v>75.5</v>
      </c>
      <c r="EU174" s="130">
        <v>75.590936946393299</v>
      </c>
      <c r="EV174" s="133">
        <v>75.599999999999994</v>
      </c>
      <c r="EW174" s="130">
        <v>75.630705096071978</v>
      </c>
      <c r="EX174" s="130">
        <v>75.729704068694843</v>
      </c>
      <c r="EY174" s="130">
        <v>75.809139324324988</v>
      </c>
      <c r="EZ174" s="132">
        <v>75.876896123823229</v>
      </c>
      <c r="FA174" s="130">
        <v>75.97214972559577</v>
      </c>
      <c r="FB174" s="132">
        <v>75.973187052034973</v>
      </c>
      <c r="FC174" s="130">
        <v>75.729762820525607</v>
      </c>
      <c r="FD174" s="130">
        <v>75.48366816492188</v>
      </c>
      <c r="FE174" s="132">
        <v>75.270660956270717</v>
      </c>
      <c r="FF174" s="130">
        <v>75.44365216851719</v>
      </c>
      <c r="FG174" s="132">
        <v>75.571135927463047</v>
      </c>
      <c r="FH174" s="136">
        <v>75.687509686140444</v>
      </c>
      <c r="FI174" s="129"/>
      <c r="FJ174" s="112"/>
      <c r="FK174" s="106"/>
      <c r="FL174" s="106"/>
      <c r="FM174" s="106"/>
      <c r="FN174" s="106"/>
      <c r="FO174" s="106"/>
      <c r="FP174" s="106"/>
      <c r="FQ174" s="106"/>
      <c r="FR174" s="106"/>
      <c r="FS174" s="106"/>
      <c r="FT174" s="106"/>
      <c r="FU174" s="106"/>
      <c r="FV174" s="106"/>
      <c r="FW174" s="106"/>
      <c r="FX174" s="106"/>
      <c r="FY174" s="106"/>
      <c r="FZ174" s="106"/>
      <c r="GA174" s="106"/>
      <c r="GB174" s="106"/>
      <c r="GC174" s="106"/>
      <c r="GD174" s="106"/>
      <c r="GE174" s="106"/>
      <c r="GF174" s="106"/>
      <c r="GG174" s="159"/>
    </row>
    <row r="175" spans="2:189" x14ac:dyDescent="0.2">
      <c r="B175" s="82">
        <v>45323</v>
      </c>
      <c r="C175" s="111">
        <v>70.422667390858052</v>
      </c>
      <c r="D175" s="111">
        <v>70.621486151623998</v>
      </c>
      <c r="E175" s="111">
        <v>70.638593680386805</v>
      </c>
      <c r="F175" s="111">
        <v>70.705399556203304</v>
      </c>
      <c r="G175" s="111">
        <v>70.49040918716814</v>
      </c>
      <c r="H175" s="111">
        <v>70.338702077892592</v>
      </c>
      <c r="I175" s="111">
        <v>70.38984940855012</v>
      </c>
      <c r="J175" s="111">
        <v>70.468865143978903</v>
      </c>
      <c r="K175" s="111">
        <v>70.586396738483302</v>
      </c>
      <c r="L175" s="111">
        <v>70.546146885197274</v>
      </c>
      <c r="M175" s="111">
        <v>70.481744775577454</v>
      </c>
      <c r="N175" s="111">
        <v>70.512158476249269</v>
      </c>
      <c r="O175" s="111">
        <v>70.450461862802683</v>
      </c>
      <c r="P175" s="111">
        <v>70.219556850312301</v>
      </c>
      <c r="Q175" s="121">
        <v>70.193490305775029</v>
      </c>
      <c r="R175" s="122">
        <v>70.101729677779844</v>
      </c>
      <c r="S175" s="122">
        <v>70.138636490615283</v>
      </c>
      <c r="T175" s="122">
        <v>70.137562065759923</v>
      </c>
      <c r="U175" s="122">
        <v>70.209211971483242</v>
      </c>
      <c r="V175" s="122">
        <v>70.22908015090843</v>
      </c>
      <c r="W175" s="122">
        <v>70.300041359133402</v>
      </c>
      <c r="X175" s="122">
        <v>70.452201672224717</v>
      </c>
      <c r="Y175" s="122">
        <v>70.511443672637995</v>
      </c>
      <c r="Z175" s="122">
        <v>70.641945584629084</v>
      </c>
      <c r="AA175" s="122">
        <v>70.887122662646917</v>
      </c>
      <c r="AB175" s="122">
        <v>71.041044980810511</v>
      </c>
      <c r="AC175" s="122">
        <v>71.137696071248868</v>
      </c>
      <c r="AD175" s="122">
        <v>71.101634962159025</v>
      </c>
      <c r="AE175" s="122">
        <v>71.040046304732613</v>
      </c>
      <c r="AF175" s="122">
        <v>71.254529932384543</v>
      </c>
      <c r="AG175" s="122">
        <v>71.365457532474394</v>
      </c>
      <c r="AH175" s="122">
        <v>71.314901854206013</v>
      </c>
      <c r="AI175" s="122">
        <v>71.118364827882189</v>
      </c>
      <c r="AJ175" s="122">
        <v>71.132358373769705</v>
      </c>
      <c r="AK175" s="122">
        <v>71.188761393331191</v>
      </c>
      <c r="AL175" s="122">
        <v>71.151267597650886</v>
      </c>
      <c r="AM175" s="122">
        <v>71.274963398719038</v>
      </c>
      <c r="AN175" s="122">
        <v>71.424128594535091</v>
      </c>
      <c r="AO175" s="122">
        <v>71.446098872681219</v>
      </c>
      <c r="AP175" s="122">
        <v>71.588711186046922</v>
      </c>
      <c r="AQ175" s="122">
        <v>71.807083744667295</v>
      </c>
      <c r="AR175" s="122">
        <v>71.963041879276645</v>
      </c>
      <c r="AS175" s="122">
        <v>71.92185025892735</v>
      </c>
      <c r="AT175" s="122">
        <v>72.02860916101497</v>
      </c>
      <c r="AU175" s="122">
        <v>72.295465904970527</v>
      </c>
      <c r="AV175" s="122">
        <v>72.380182655146925</v>
      </c>
      <c r="AW175" s="122">
        <v>72.607140655835494</v>
      </c>
      <c r="AX175" s="122">
        <v>72.817320606538473</v>
      </c>
      <c r="AY175" s="122">
        <v>72.741738538014246</v>
      </c>
      <c r="AZ175" s="122">
        <v>72.694456120650159</v>
      </c>
      <c r="BA175" s="122">
        <v>72.88072790765132</v>
      </c>
      <c r="BB175" s="122">
        <v>72.94646393533651</v>
      </c>
      <c r="BC175" s="122">
        <v>72.908040933155135</v>
      </c>
      <c r="BD175" s="122">
        <v>72.890509981000406</v>
      </c>
      <c r="BE175" s="122">
        <v>73.097742754789238</v>
      </c>
      <c r="BF175" s="122">
        <v>73.189327986433568</v>
      </c>
      <c r="BG175" s="122">
        <v>73.321334510530306</v>
      </c>
      <c r="BH175" s="122">
        <v>73.322275395192875</v>
      </c>
      <c r="BI175" s="122">
        <v>73.316528185089297</v>
      </c>
      <c r="BJ175" s="122">
        <v>73.188428308637157</v>
      </c>
      <c r="BK175" s="122">
        <v>73.259527218865486</v>
      </c>
      <c r="BL175" s="122">
        <v>73.354680953412753</v>
      </c>
      <c r="BM175" s="122">
        <v>73.428254507243835</v>
      </c>
      <c r="BN175" s="122">
        <v>73.641080919447731</v>
      </c>
      <c r="BO175" s="122">
        <v>73.841127416368423</v>
      </c>
      <c r="BP175" s="122">
        <v>73.905839876644194</v>
      </c>
      <c r="BQ175" s="122">
        <v>73.965809118169489</v>
      </c>
      <c r="BR175" s="122">
        <v>73.938979629645047</v>
      </c>
      <c r="BS175" s="122">
        <v>73.986211069725414</v>
      </c>
      <c r="BT175" s="122">
        <v>73.977046204738699</v>
      </c>
      <c r="BU175" s="122">
        <v>74.029962340256219</v>
      </c>
      <c r="BV175" s="122">
        <v>74.191163999810897</v>
      </c>
      <c r="BW175" s="122">
        <v>74.247784056863679</v>
      </c>
      <c r="BX175" s="122">
        <v>74.330967199170345</v>
      </c>
      <c r="BY175" s="122">
        <v>74.30927851055354</v>
      </c>
      <c r="BZ175" s="122">
        <v>74.267555457649209</v>
      </c>
      <c r="CA175" s="122">
        <v>74.251228430706647</v>
      </c>
      <c r="CB175" s="122">
        <v>74.26272577409145</v>
      </c>
      <c r="CC175" s="122">
        <v>74.378152775749911</v>
      </c>
      <c r="CD175" s="122">
        <v>74.345729130681633</v>
      </c>
      <c r="CE175" s="122">
        <v>74.429956854063931</v>
      </c>
      <c r="CF175" s="122">
        <v>74.571405052822456</v>
      </c>
      <c r="CG175" s="122">
        <v>74.566674357314383</v>
      </c>
      <c r="CH175" s="122">
        <v>74.7054713857313</v>
      </c>
      <c r="CI175" s="122">
        <v>74.897217261856014</v>
      </c>
      <c r="CJ175" s="122">
        <v>75.053467023218673</v>
      </c>
      <c r="CK175" s="122">
        <v>74.92214315691082</v>
      </c>
      <c r="CL175" s="122">
        <v>74.785529913228842</v>
      </c>
      <c r="CM175" s="122">
        <v>74.848418577120341</v>
      </c>
      <c r="CN175" s="122">
        <v>75.103791737704967</v>
      </c>
      <c r="CO175" s="122">
        <v>74.935489470324057</v>
      </c>
      <c r="CP175" s="122">
        <v>75.056710172354229</v>
      </c>
      <c r="CQ175" s="122">
        <v>75.122662431234133</v>
      </c>
      <c r="CR175" s="122">
        <v>75.301659008278506</v>
      </c>
      <c r="CS175" s="122">
        <v>75.328043921598905</v>
      </c>
      <c r="CT175" s="122">
        <v>75.360391978441882</v>
      </c>
      <c r="CU175" s="122">
        <v>75.271689155578287</v>
      </c>
      <c r="CV175" s="122">
        <v>75.235827964833277</v>
      </c>
      <c r="CW175" s="122">
        <v>75.268678910802024</v>
      </c>
      <c r="CX175" s="122">
        <v>75.25915878717548</v>
      </c>
      <c r="CY175" s="122">
        <v>75.412284018962993</v>
      </c>
      <c r="CZ175" s="122">
        <v>75.455718611920972</v>
      </c>
      <c r="DA175" s="122">
        <v>75.522342771015559</v>
      </c>
      <c r="DB175" s="122">
        <v>75.788590374710225</v>
      </c>
      <c r="DC175" s="122">
        <v>75.804542414377224</v>
      </c>
      <c r="DD175" s="122">
        <v>75.729159743254371</v>
      </c>
      <c r="DE175" s="122">
        <v>75.779875107634751</v>
      </c>
      <c r="DF175" s="122">
        <v>75.711127688138077</v>
      </c>
      <c r="DG175" s="122">
        <v>75.758488094913261</v>
      </c>
      <c r="DH175" s="122">
        <v>75.77715905656774</v>
      </c>
      <c r="DI175" s="122">
        <v>75.522873508106201</v>
      </c>
      <c r="DJ175" s="122">
        <v>75.690532613083363</v>
      </c>
      <c r="DK175" s="122">
        <v>75.79264145852494</v>
      </c>
      <c r="DL175" s="122">
        <v>75.97723870589202</v>
      </c>
      <c r="DM175" s="122">
        <v>76.101559735730788</v>
      </c>
      <c r="DN175" s="122">
        <v>76.08338146378712</v>
      </c>
      <c r="DO175" s="122">
        <v>76.184107397078137</v>
      </c>
      <c r="DP175" s="122">
        <v>75.945869254465876</v>
      </c>
      <c r="DQ175" s="122">
        <v>75.603907535520094</v>
      </c>
      <c r="DR175" s="122">
        <v>75.48671815552936</v>
      </c>
      <c r="DS175" s="122">
        <v>75.322459895089082</v>
      </c>
      <c r="DT175" s="122">
        <v>75.183674962013114</v>
      </c>
      <c r="DU175" s="122">
        <v>74.905974682839954</v>
      </c>
      <c r="DV175" s="122">
        <v>74.529709495462882</v>
      </c>
      <c r="DW175" s="122">
        <v>74.446638352324044</v>
      </c>
      <c r="DX175" s="122">
        <v>74.460381911419077</v>
      </c>
      <c r="DY175" s="122">
        <v>74.171572669653827</v>
      </c>
      <c r="DZ175" s="122">
        <v>74.149655075509628</v>
      </c>
      <c r="EA175" s="122">
        <v>74.27553613496643</v>
      </c>
      <c r="EB175" s="122">
        <v>74.248377152612477</v>
      </c>
      <c r="EC175" s="122">
        <v>74.268200714916873</v>
      </c>
      <c r="ED175" s="122">
        <v>74.322069041306221</v>
      </c>
      <c r="EE175" s="122">
        <v>74.584293487973568</v>
      </c>
      <c r="EF175" s="122">
        <v>74.701663226800818</v>
      </c>
      <c r="EG175" s="122">
        <v>74.795855683503802</v>
      </c>
      <c r="EH175" s="122">
        <v>74.884967893588311</v>
      </c>
      <c r="EI175" s="122">
        <v>74.928227219076462</v>
      </c>
      <c r="EJ175" s="122">
        <v>74.955228813943592</v>
      </c>
      <c r="EK175" s="122">
        <v>75.001618419318177</v>
      </c>
      <c r="EL175" s="127">
        <v>74.959602435623964</v>
      </c>
      <c r="EM175" s="105">
        <v>74.98780337256899</v>
      </c>
      <c r="EN175" s="127">
        <v>75.142647232268743</v>
      </c>
      <c r="EO175" s="127">
        <v>75.159880357312574</v>
      </c>
      <c r="EP175" s="125">
        <v>75.370049931214623</v>
      </c>
      <c r="EQ175" s="127">
        <v>75.021312548471343</v>
      </c>
      <c r="ER175" s="127">
        <v>74.924307419854415</v>
      </c>
      <c r="ES175" s="105">
        <v>75.041479314939281</v>
      </c>
      <c r="ET175" s="105">
        <v>74.969450969989609</v>
      </c>
      <c r="EU175" s="105">
        <v>75.043155320391421</v>
      </c>
      <c r="EV175" s="127">
        <v>75.236534403541725</v>
      </c>
      <c r="EW175" s="134">
        <v>75.186090118403058</v>
      </c>
      <c r="EX175" s="105">
        <v>75.243637062923654</v>
      </c>
      <c r="EY175" s="105">
        <v>75.238481346871339</v>
      </c>
      <c r="EZ175" s="127">
        <v>75.278703155886859</v>
      </c>
      <c r="FA175" s="105">
        <v>75.430690127966372</v>
      </c>
      <c r="FB175" s="127">
        <v>75.460292846986491</v>
      </c>
      <c r="FC175" s="105">
        <v>75.169187769647309</v>
      </c>
      <c r="FD175" s="105">
        <v>74.911923036272327</v>
      </c>
      <c r="FE175" s="127">
        <v>74.744984698606416</v>
      </c>
      <c r="FF175" s="105">
        <v>74.84646884495379</v>
      </c>
      <c r="FG175" s="127">
        <v>75.062676757990417</v>
      </c>
      <c r="FH175" s="105">
        <v>74.987486198358013</v>
      </c>
      <c r="FI175" s="139">
        <v>75.008565237431483</v>
      </c>
      <c r="FJ175" s="105"/>
      <c r="FK175" s="107"/>
      <c r="FL175" s="107"/>
      <c r="FM175" s="107"/>
      <c r="FN175" s="107"/>
      <c r="FO175" s="107"/>
      <c r="FP175" s="107"/>
      <c r="FQ175" s="107"/>
      <c r="FR175" s="107"/>
      <c r="FS175" s="107"/>
      <c r="FT175" s="107"/>
      <c r="FU175" s="107"/>
      <c r="FV175" s="107"/>
      <c r="FW175" s="107"/>
      <c r="FX175" s="107"/>
      <c r="FY175" s="107"/>
      <c r="FZ175" s="107"/>
      <c r="GA175" s="107"/>
      <c r="GB175" s="107"/>
      <c r="GC175" s="107"/>
      <c r="GD175" s="107"/>
      <c r="GE175" s="107"/>
      <c r="GF175" s="107"/>
      <c r="GG175" s="160"/>
    </row>
    <row r="176" spans="2:189" x14ac:dyDescent="0.2">
      <c r="B176" s="97">
        <v>45352</v>
      </c>
      <c r="C176" s="111">
        <v>70.422667390858052</v>
      </c>
      <c r="D176" s="111">
        <v>70.621486151623998</v>
      </c>
      <c r="E176" s="111">
        <v>70.638593680386805</v>
      </c>
      <c r="F176" s="111">
        <v>70.705399556203304</v>
      </c>
      <c r="G176" s="111">
        <v>70.49040918716814</v>
      </c>
      <c r="H176" s="111">
        <v>70.338702077892592</v>
      </c>
      <c r="I176" s="111">
        <v>70.38984940855012</v>
      </c>
      <c r="J176" s="111">
        <v>70.468865143978903</v>
      </c>
      <c r="K176" s="111">
        <v>70.586396738483302</v>
      </c>
      <c r="L176" s="111">
        <v>70.546146885197274</v>
      </c>
      <c r="M176" s="111">
        <v>70.481744775577454</v>
      </c>
      <c r="N176" s="111">
        <v>70.512158476249269</v>
      </c>
      <c r="O176" s="111">
        <v>70.450461862802683</v>
      </c>
      <c r="P176" s="111">
        <v>70.219556850312301</v>
      </c>
      <c r="Q176" s="121">
        <v>70.193490305775029</v>
      </c>
      <c r="R176" s="121">
        <v>70.101729677779844</v>
      </c>
      <c r="S176" s="121">
        <v>70.138636490615283</v>
      </c>
      <c r="T176" s="121">
        <v>70.137562065759923</v>
      </c>
      <c r="U176" s="121">
        <v>70.209211971483242</v>
      </c>
      <c r="V176" s="121">
        <v>70.22908015090843</v>
      </c>
      <c r="W176" s="121">
        <v>70.300041359133402</v>
      </c>
      <c r="X176" s="121">
        <v>70.452201672224717</v>
      </c>
      <c r="Y176" s="121">
        <v>70.511443672637995</v>
      </c>
      <c r="Z176" s="121">
        <v>70.641945584629084</v>
      </c>
      <c r="AA176" s="121">
        <v>70.887122662646917</v>
      </c>
      <c r="AB176" s="121">
        <v>71.041044980810511</v>
      </c>
      <c r="AC176" s="121">
        <v>71.137696071248868</v>
      </c>
      <c r="AD176" s="121">
        <v>71.101634962159025</v>
      </c>
      <c r="AE176" s="121">
        <v>71.040046304732613</v>
      </c>
      <c r="AF176" s="121">
        <v>71.254529932384543</v>
      </c>
      <c r="AG176" s="121">
        <v>71.365457532474394</v>
      </c>
      <c r="AH176" s="121">
        <v>71.314901854206013</v>
      </c>
      <c r="AI176" s="121">
        <v>71.118364827882189</v>
      </c>
      <c r="AJ176" s="121">
        <v>71.132358373769705</v>
      </c>
      <c r="AK176" s="121">
        <v>71.188761393331191</v>
      </c>
      <c r="AL176" s="121">
        <v>71.151267597650886</v>
      </c>
      <c r="AM176" s="121">
        <v>71.274963398719038</v>
      </c>
      <c r="AN176" s="121">
        <v>71.424128594535091</v>
      </c>
      <c r="AO176" s="121">
        <v>71.446098872681219</v>
      </c>
      <c r="AP176" s="121">
        <v>71.588711186046922</v>
      </c>
      <c r="AQ176" s="121">
        <v>71.807083744667295</v>
      </c>
      <c r="AR176" s="121">
        <v>71.963041879276645</v>
      </c>
      <c r="AS176" s="121">
        <v>71.92185025892735</v>
      </c>
      <c r="AT176" s="121">
        <v>72.02860916101497</v>
      </c>
      <c r="AU176" s="121">
        <v>72.295465904970527</v>
      </c>
      <c r="AV176" s="121">
        <v>72.380182655146925</v>
      </c>
      <c r="AW176" s="121">
        <v>72.607140655835494</v>
      </c>
      <c r="AX176" s="121">
        <v>72.817320606538473</v>
      </c>
      <c r="AY176" s="121">
        <v>72.741738538014246</v>
      </c>
      <c r="AZ176" s="121">
        <v>72.694456120650159</v>
      </c>
      <c r="BA176" s="121">
        <v>72.88072790765132</v>
      </c>
      <c r="BB176" s="121">
        <v>72.94646393533651</v>
      </c>
      <c r="BC176" s="121">
        <v>72.908040933155135</v>
      </c>
      <c r="BD176" s="121">
        <v>72.890509981000406</v>
      </c>
      <c r="BE176" s="121">
        <v>73.097742754789238</v>
      </c>
      <c r="BF176" s="121">
        <v>73.189327986433568</v>
      </c>
      <c r="BG176" s="121">
        <v>73.321334510530306</v>
      </c>
      <c r="BH176" s="121">
        <v>73.322275395192875</v>
      </c>
      <c r="BI176" s="121">
        <v>73.316528185089297</v>
      </c>
      <c r="BJ176" s="121">
        <v>73.188428308637157</v>
      </c>
      <c r="BK176" s="121">
        <v>73.259527218865486</v>
      </c>
      <c r="BL176" s="121">
        <v>73.354680953412753</v>
      </c>
      <c r="BM176" s="121">
        <v>73.428254507243835</v>
      </c>
      <c r="BN176" s="121">
        <v>73.641080919447731</v>
      </c>
      <c r="BO176" s="121">
        <v>73.841127416368423</v>
      </c>
      <c r="BP176" s="121">
        <v>73.905839876644194</v>
      </c>
      <c r="BQ176" s="121">
        <v>73.965809118169489</v>
      </c>
      <c r="BR176" s="121">
        <v>73.938979629645047</v>
      </c>
      <c r="BS176" s="121">
        <v>73.986211069725414</v>
      </c>
      <c r="BT176" s="121">
        <v>73.977046204738699</v>
      </c>
      <c r="BU176" s="121">
        <v>74.029962340256219</v>
      </c>
      <c r="BV176" s="121">
        <v>74.191163999810897</v>
      </c>
      <c r="BW176" s="121">
        <v>74.247784056863679</v>
      </c>
      <c r="BX176" s="121">
        <v>74.330967199170345</v>
      </c>
      <c r="BY176" s="121">
        <v>74.30927851055354</v>
      </c>
      <c r="BZ176" s="121">
        <v>74.267555457649209</v>
      </c>
      <c r="CA176" s="121">
        <v>74.251228430706647</v>
      </c>
      <c r="CB176" s="121">
        <v>74.26272577409145</v>
      </c>
      <c r="CC176" s="121">
        <v>74.378152775749911</v>
      </c>
      <c r="CD176" s="121">
        <v>74.345729130681633</v>
      </c>
      <c r="CE176" s="121">
        <v>74.429956854063931</v>
      </c>
      <c r="CF176" s="121">
        <v>74.571405052822456</v>
      </c>
      <c r="CG176" s="121">
        <v>74.566674357314383</v>
      </c>
      <c r="CH176" s="121">
        <v>74.7054713857313</v>
      </c>
      <c r="CI176" s="121">
        <v>74.897217261856014</v>
      </c>
      <c r="CJ176" s="121">
        <v>75.053467023218673</v>
      </c>
      <c r="CK176" s="121">
        <v>74.92214315691082</v>
      </c>
      <c r="CL176" s="121">
        <v>74.785529913228842</v>
      </c>
      <c r="CM176" s="121">
        <v>74.848418577120341</v>
      </c>
      <c r="CN176" s="121">
        <v>75.103791737704967</v>
      </c>
      <c r="CO176" s="121">
        <v>74.935489470324057</v>
      </c>
      <c r="CP176" s="121">
        <v>75.056710172354229</v>
      </c>
      <c r="CQ176" s="121">
        <v>75.122662431234133</v>
      </c>
      <c r="CR176" s="121">
        <v>75.301659008278506</v>
      </c>
      <c r="CS176" s="121">
        <v>75.328043921598905</v>
      </c>
      <c r="CT176" s="121">
        <v>75.360391978441882</v>
      </c>
      <c r="CU176" s="121">
        <v>75.271689155578287</v>
      </c>
      <c r="CV176" s="121">
        <v>75.235827964833277</v>
      </c>
      <c r="CW176" s="121">
        <v>75.268678910802024</v>
      </c>
      <c r="CX176" s="121">
        <v>75.25915878717548</v>
      </c>
      <c r="CY176" s="121">
        <v>75.412284018962993</v>
      </c>
      <c r="CZ176" s="121">
        <v>75.455718611920972</v>
      </c>
      <c r="DA176" s="121">
        <v>75.522342771015559</v>
      </c>
      <c r="DB176" s="121">
        <v>75.788590374710225</v>
      </c>
      <c r="DC176" s="121">
        <v>75.804542414377224</v>
      </c>
      <c r="DD176" s="121">
        <v>75.729159743254371</v>
      </c>
      <c r="DE176" s="121">
        <v>75.779875107634751</v>
      </c>
      <c r="DF176" s="121">
        <v>75.711127688138077</v>
      </c>
      <c r="DG176" s="121">
        <v>75.758488094913261</v>
      </c>
      <c r="DH176" s="121">
        <v>75.77715905656774</v>
      </c>
      <c r="DI176" s="121">
        <v>75.522873508106201</v>
      </c>
      <c r="DJ176" s="121">
        <v>75.690532613083363</v>
      </c>
      <c r="DK176" s="121">
        <v>75.79264145852494</v>
      </c>
      <c r="DL176" s="121">
        <v>75.97723870589202</v>
      </c>
      <c r="DM176" s="121">
        <v>76.101559735730788</v>
      </c>
      <c r="DN176" s="121">
        <v>76.08338146378712</v>
      </c>
      <c r="DO176" s="121">
        <v>76.184107397078137</v>
      </c>
      <c r="DP176" s="121">
        <v>75.945869254465876</v>
      </c>
      <c r="DQ176" s="121">
        <v>75.603907535520094</v>
      </c>
      <c r="DR176" s="121">
        <v>75.48671815552936</v>
      </c>
      <c r="DS176" s="121">
        <v>75.322459895089082</v>
      </c>
      <c r="DT176" s="121">
        <v>75.183674962013114</v>
      </c>
      <c r="DU176" s="121">
        <v>74.905974682839954</v>
      </c>
      <c r="DV176" s="121">
        <v>74.529709495462882</v>
      </c>
      <c r="DW176" s="121">
        <v>74.446638352324044</v>
      </c>
      <c r="DX176" s="121">
        <v>74.460381911419077</v>
      </c>
      <c r="DY176" s="121">
        <v>74.171572669653827</v>
      </c>
      <c r="DZ176" s="121">
        <v>74.149655075509628</v>
      </c>
      <c r="EA176" s="121">
        <v>74.27553613496643</v>
      </c>
      <c r="EB176" s="121">
        <v>74.248377152612477</v>
      </c>
      <c r="EC176" s="121">
        <v>74.268200714916873</v>
      </c>
      <c r="ED176" s="121">
        <v>74.322069041306221</v>
      </c>
      <c r="EE176" s="121">
        <v>74.584293487973568</v>
      </c>
      <c r="EF176" s="121">
        <v>74.701663226800818</v>
      </c>
      <c r="EG176" s="121">
        <v>74.795855683503802</v>
      </c>
      <c r="EH176" s="121">
        <v>74.884967893588311</v>
      </c>
      <c r="EI176" s="121">
        <v>74.928227219076462</v>
      </c>
      <c r="EJ176" s="121">
        <v>74.955228813943592</v>
      </c>
      <c r="EK176" s="121">
        <v>75.001618419318177</v>
      </c>
      <c r="EL176" s="128">
        <v>74.959602435623964</v>
      </c>
      <c r="EM176" s="108">
        <v>74.98780337256899</v>
      </c>
      <c r="EN176" s="128">
        <v>75.142647232268743</v>
      </c>
      <c r="EO176" s="128">
        <v>75.159880357312574</v>
      </c>
      <c r="EP176" s="121">
        <v>75.370049931214623</v>
      </c>
      <c r="EQ176" s="128">
        <v>75.021312548471343</v>
      </c>
      <c r="ER176" s="128">
        <v>74.924307419854415</v>
      </c>
      <c r="ES176" s="108">
        <v>75.041479314939281</v>
      </c>
      <c r="ET176" s="108">
        <v>74.969450969989609</v>
      </c>
      <c r="EU176" s="108">
        <v>75.043155320391421</v>
      </c>
      <c r="EV176" s="128">
        <v>75.236534403541725</v>
      </c>
      <c r="EW176" s="108">
        <v>75.186090118403058</v>
      </c>
      <c r="EX176" s="113">
        <v>75.243637062923654</v>
      </c>
      <c r="EY176" s="108">
        <v>75.238481346871339</v>
      </c>
      <c r="EZ176" s="128">
        <v>75.278703155886859</v>
      </c>
      <c r="FA176" s="108">
        <v>75.430690127966372</v>
      </c>
      <c r="FB176" s="128">
        <v>75.460292846986491</v>
      </c>
      <c r="FC176" s="108">
        <v>75.169187769647309</v>
      </c>
      <c r="FD176" s="108">
        <v>74.911923036272327</v>
      </c>
      <c r="FE176" s="128">
        <v>74.744984698606402</v>
      </c>
      <c r="FF176" s="108">
        <v>74.84646884495379</v>
      </c>
      <c r="FG176" s="128">
        <v>75.062676757990417</v>
      </c>
      <c r="FH176" s="108">
        <v>74.987486198358013</v>
      </c>
      <c r="FI176" s="121">
        <v>75.008565237431483</v>
      </c>
      <c r="FJ176" s="124">
        <v>74.998780527386373</v>
      </c>
      <c r="FK176" s="111"/>
      <c r="FL176" s="107"/>
      <c r="FM176" s="107"/>
      <c r="FN176" s="107"/>
      <c r="FO176" s="107"/>
      <c r="FP176" s="107"/>
      <c r="FQ176" s="107"/>
      <c r="FR176" s="107"/>
      <c r="FS176" s="107"/>
      <c r="FT176" s="107"/>
      <c r="FU176" s="107"/>
      <c r="FV176" s="107"/>
      <c r="FW176" s="107"/>
      <c r="FX176" s="107"/>
      <c r="FY176" s="107"/>
      <c r="FZ176" s="107"/>
      <c r="GA176" s="107"/>
      <c r="GB176" s="107"/>
      <c r="GC176" s="107"/>
      <c r="GD176" s="107"/>
      <c r="GE176" s="107"/>
      <c r="GF176" s="107"/>
      <c r="GG176" s="160"/>
    </row>
    <row r="177" spans="2:189" x14ac:dyDescent="0.2">
      <c r="B177" s="97">
        <v>45383</v>
      </c>
      <c r="C177" s="111">
        <v>70.422667390858052</v>
      </c>
      <c r="D177" s="111">
        <v>70.621486151623998</v>
      </c>
      <c r="E177" s="111">
        <v>70.638593680386805</v>
      </c>
      <c r="F177" s="111">
        <v>70.705399556203304</v>
      </c>
      <c r="G177" s="111">
        <v>70.49040918716814</v>
      </c>
      <c r="H177" s="111">
        <v>70.338702077892592</v>
      </c>
      <c r="I177" s="111">
        <v>70.38984940855012</v>
      </c>
      <c r="J177" s="111">
        <v>70.468865143978903</v>
      </c>
      <c r="K177" s="111">
        <v>70.586396738483302</v>
      </c>
      <c r="L177" s="111">
        <v>70.546146885197274</v>
      </c>
      <c r="M177" s="111">
        <v>70.481744775577454</v>
      </c>
      <c r="N177" s="111">
        <v>70.512158476249269</v>
      </c>
      <c r="O177" s="111">
        <v>70.450461862802683</v>
      </c>
      <c r="P177" s="111">
        <v>70.219556850312301</v>
      </c>
      <c r="Q177" s="121">
        <v>70.193490305775029</v>
      </c>
      <c r="R177" s="121">
        <v>70.101729677779844</v>
      </c>
      <c r="S177" s="121">
        <v>70.138636490615283</v>
      </c>
      <c r="T177" s="121">
        <v>70.137562065759923</v>
      </c>
      <c r="U177" s="121">
        <v>70.209211971483242</v>
      </c>
      <c r="V177" s="121">
        <v>70.22908015090843</v>
      </c>
      <c r="W177" s="121">
        <v>70.300041359133402</v>
      </c>
      <c r="X177" s="121">
        <v>70.452201672224717</v>
      </c>
      <c r="Y177" s="121">
        <v>70.511443672637995</v>
      </c>
      <c r="Z177" s="121">
        <v>70.641945584629084</v>
      </c>
      <c r="AA177" s="121">
        <v>70.887122662646917</v>
      </c>
      <c r="AB177" s="121">
        <v>71.041044980810511</v>
      </c>
      <c r="AC177" s="121">
        <v>71.137696071248868</v>
      </c>
      <c r="AD177" s="121">
        <v>71.101634962159025</v>
      </c>
      <c r="AE177" s="121">
        <v>71.040046304732613</v>
      </c>
      <c r="AF177" s="121">
        <v>71.254529932384543</v>
      </c>
      <c r="AG177" s="121">
        <v>71.365457532474394</v>
      </c>
      <c r="AH177" s="121">
        <v>71.314901854206013</v>
      </c>
      <c r="AI177" s="121">
        <v>71.118364827882189</v>
      </c>
      <c r="AJ177" s="121">
        <v>71.132358373769705</v>
      </c>
      <c r="AK177" s="121">
        <v>71.188761393331191</v>
      </c>
      <c r="AL177" s="121">
        <v>71.151267597650886</v>
      </c>
      <c r="AM177" s="121">
        <v>71.274963398719038</v>
      </c>
      <c r="AN177" s="121">
        <v>71.424128594535091</v>
      </c>
      <c r="AO177" s="121">
        <v>71.446098872681219</v>
      </c>
      <c r="AP177" s="121">
        <v>71.588711186046922</v>
      </c>
      <c r="AQ177" s="121">
        <v>71.807083744667295</v>
      </c>
      <c r="AR177" s="121">
        <v>71.963041879276645</v>
      </c>
      <c r="AS177" s="121">
        <v>71.92185025892735</v>
      </c>
      <c r="AT177" s="121">
        <v>72.02860916101497</v>
      </c>
      <c r="AU177" s="121">
        <v>72.295465904970527</v>
      </c>
      <c r="AV177" s="121">
        <v>72.380182655146925</v>
      </c>
      <c r="AW177" s="121">
        <v>72.607140655835494</v>
      </c>
      <c r="AX177" s="121">
        <v>72.817320606538473</v>
      </c>
      <c r="AY177" s="121">
        <v>72.741738538014246</v>
      </c>
      <c r="AZ177" s="121">
        <v>72.694456120650159</v>
      </c>
      <c r="BA177" s="121">
        <v>72.88072790765132</v>
      </c>
      <c r="BB177" s="121">
        <v>72.94646393533651</v>
      </c>
      <c r="BC177" s="121">
        <v>72.908040933155135</v>
      </c>
      <c r="BD177" s="121">
        <v>72.890509981000406</v>
      </c>
      <c r="BE177" s="121">
        <v>73.097742754789238</v>
      </c>
      <c r="BF177" s="121">
        <v>73.189327986433568</v>
      </c>
      <c r="BG177" s="121">
        <v>73.321334510530306</v>
      </c>
      <c r="BH177" s="121">
        <v>73.322275395192875</v>
      </c>
      <c r="BI177" s="121">
        <v>73.316528185089297</v>
      </c>
      <c r="BJ177" s="121">
        <v>73.188428308637157</v>
      </c>
      <c r="BK177" s="121">
        <v>73.259527218865486</v>
      </c>
      <c r="BL177" s="121">
        <v>73.354680953412753</v>
      </c>
      <c r="BM177" s="121">
        <v>73.428254507243835</v>
      </c>
      <c r="BN177" s="121">
        <v>73.641080919447731</v>
      </c>
      <c r="BO177" s="121">
        <v>73.841127416368423</v>
      </c>
      <c r="BP177" s="121">
        <v>73.905839876644194</v>
      </c>
      <c r="BQ177" s="121">
        <v>73.965809118169489</v>
      </c>
      <c r="BR177" s="121">
        <v>73.938979629645047</v>
      </c>
      <c r="BS177" s="121">
        <v>73.986211069725414</v>
      </c>
      <c r="BT177" s="121">
        <v>73.977046204738699</v>
      </c>
      <c r="BU177" s="121">
        <v>74.029962340256219</v>
      </c>
      <c r="BV177" s="121">
        <v>74.191163999810897</v>
      </c>
      <c r="BW177" s="121">
        <v>74.247784056863679</v>
      </c>
      <c r="BX177" s="121">
        <v>74.330967199170345</v>
      </c>
      <c r="BY177" s="121">
        <v>74.30927851055354</v>
      </c>
      <c r="BZ177" s="121">
        <v>74.267555457649209</v>
      </c>
      <c r="CA177" s="121">
        <v>74.251228430706647</v>
      </c>
      <c r="CB177" s="121">
        <v>74.26272577409145</v>
      </c>
      <c r="CC177" s="121">
        <v>74.378152775749911</v>
      </c>
      <c r="CD177" s="121">
        <v>74.345729130681633</v>
      </c>
      <c r="CE177" s="121">
        <v>74.429956854063931</v>
      </c>
      <c r="CF177" s="121">
        <v>74.571405052822456</v>
      </c>
      <c r="CG177" s="121">
        <v>74.566674357314383</v>
      </c>
      <c r="CH177" s="121">
        <v>74.7054713857313</v>
      </c>
      <c r="CI177" s="121">
        <v>74.897217261856014</v>
      </c>
      <c r="CJ177" s="121">
        <v>75.053467023218673</v>
      </c>
      <c r="CK177" s="121">
        <v>74.92214315691082</v>
      </c>
      <c r="CL177" s="121">
        <v>74.785529913228842</v>
      </c>
      <c r="CM177" s="121">
        <v>74.848418577120341</v>
      </c>
      <c r="CN177" s="121">
        <v>75.103791737704967</v>
      </c>
      <c r="CO177" s="121">
        <v>74.935489470324057</v>
      </c>
      <c r="CP177" s="121">
        <v>75.056710172354229</v>
      </c>
      <c r="CQ177" s="121">
        <v>75.122662431234133</v>
      </c>
      <c r="CR177" s="121">
        <v>75.301659008278506</v>
      </c>
      <c r="CS177" s="121">
        <v>75.328043921598905</v>
      </c>
      <c r="CT177" s="121">
        <v>75.360391978441882</v>
      </c>
      <c r="CU177" s="121">
        <v>75.271689155578287</v>
      </c>
      <c r="CV177" s="121">
        <v>75.235827964833277</v>
      </c>
      <c r="CW177" s="121">
        <v>75.268678910802024</v>
      </c>
      <c r="CX177" s="121">
        <v>75.25915878717548</v>
      </c>
      <c r="CY177" s="121">
        <v>75.412284018962993</v>
      </c>
      <c r="CZ177" s="121">
        <v>75.455718611920972</v>
      </c>
      <c r="DA177" s="121">
        <v>75.522342771015559</v>
      </c>
      <c r="DB177" s="121">
        <v>75.788590374710225</v>
      </c>
      <c r="DC177" s="121">
        <v>75.804542414377224</v>
      </c>
      <c r="DD177" s="121">
        <v>75.729159743254371</v>
      </c>
      <c r="DE177" s="121">
        <v>75.779875107634751</v>
      </c>
      <c r="DF177" s="121">
        <v>75.711127688138077</v>
      </c>
      <c r="DG177" s="121">
        <v>75.758488094913261</v>
      </c>
      <c r="DH177" s="121">
        <v>75.77715905656774</v>
      </c>
      <c r="DI177" s="121">
        <v>75.522873508106201</v>
      </c>
      <c r="DJ177" s="121">
        <v>75.690532613083363</v>
      </c>
      <c r="DK177" s="121">
        <v>75.79264145852494</v>
      </c>
      <c r="DL177" s="121">
        <v>75.97723870589202</v>
      </c>
      <c r="DM177" s="121">
        <v>76.101559735730788</v>
      </c>
      <c r="DN177" s="121">
        <v>76.08338146378712</v>
      </c>
      <c r="DO177" s="121">
        <v>76.184107397078137</v>
      </c>
      <c r="DP177" s="121">
        <v>75.945869254465876</v>
      </c>
      <c r="DQ177" s="121">
        <v>75.603907535520094</v>
      </c>
      <c r="DR177" s="121">
        <v>75.48671815552936</v>
      </c>
      <c r="DS177" s="121">
        <v>75.322459895089082</v>
      </c>
      <c r="DT177" s="121">
        <v>75.183674962013114</v>
      </c>
      <c r="DU177" s="121">
        <v>74.905974682839954</v>
      </c>
      <c r="DV177" s="121">
        <v>74.529709495462882</v>
      </c>
      <c r="DW177" s="121">
        <v>74.446638352324044</v>
      </c>
      <c r="DX177" s="121">
        <v>74.460381911419077</v>
      </c>
      <c r="DY177" s="121">
        <v>74.171572669653827</v>
      </c>
      <c r="DZ177" s="121">
        <v>74.149655075509628</v>
      </c>
      <c r="EA177" s="121">
        <v>74.27553613496643</v>
      </c>
      <c r="EB177" s="121">
        <v>74.248377152612477</v>
      </c>
      <c r="EC177" s="121">
        <v>74.268200714916873</v>
      </c>
      <c r="ED177" s="121">
        <v>74.322069041306221</v>
      </c>
      <c r="EE177" s="121">
        <v>74.584293487973568</v>
      </c>
      <c r="EF177" s="121">
        <v>74.701663226800818</v>
      </c>
      <c r="EG177" s="121">
        <v>74.795855683503802</v>
      </c>
      <c r="EH177" s="121">
        <v>74.884967893588311</v>
      </c>
      <c r="EI177" s="121">
        <v>74.928227219076462</v>
      </c>
      <c r="EJ177" s="121">
        <v>74.955228813943592</v>
      </c>
      <c r="EK177" s="121">
        <v>75.001618419318177</v>
      </c>
      <c r="EL177" s="128">
        <v>74.959602435623964</v>
      </c>
      <c r="EM177" s="108">
        <v>74.98780337256899</v>
      </c>
      <c r="EN177" s="128">
        <v>75.142647232268743</v>
      </c>
      <c r="EO177" s="128">
        <v>75.159880357312574</v>
      </c>
      <c r="EP177" s="121">
        <v>75.370049931214623</v>
      </c>
      <c r="EQ177" s="128">
        <v>75.021312548471343</v>
      </c>
      <c r="ER177" s="128">
        <v>74.924307419854415</v>
      </c>
      <c r="ES177" s="108">
        <v>75.041479314939281</v>
      </c>
      <c r="ET177" s="108">
        <v>74.969450969989609</v>
      </c>
      <c r="EU177" s="108">
        <v>75.043155320391421</v>
      </c>
      <c r="EV177" s="128">
        <v>75.236534403541725</v>
      </c>
      <c r="EW177" s="108">
        <v>75.186090118403058</v>
      </c>
      <c r="EX177" s="108">
        <v>75.243637062923654</v>
      </c>
      <c r="EY177" s="113">
        <v>75.238481346871339</v>
      </c>
      <c r="EZ177" s="128">
        <v>75.278703155886859</v>
      </c>
      <c r="FA177" s="108">
        <v>75.430690127966372</v>
      </c>
      <c r="FB177" s="128">
        <v>75.460292846986491</v>
      </c>
      <c r="FC177" s="108">
        <v>75.169187769647309</v>
      </c>
      <c r="FD177" s="108">
        <v>74.911923036272327</v>
      </c>
      <c r="FE177" s="128">
        <v>74.744984698606416</v>
      </c>
      <c r="FF177" s="108">
        <v>74.84646884495379</v>
      </c>
      <c r="FG177" s="128">
        <v>75.062676757990417</v>
      </c>
      <c r="FH177" s="108">
        <v>74.987486198358013</v>
      </c>
      <c r="FI177" s="121">
        <v>75.008565237431483</v>
      </c>
      <c r="FJ177" s="111">
        <v>74.845424346932504</v>
      </c>
      <c r="FK177" s="124">
        <v>74.48788745193859</v>
      </c>
      <c r="FL177" s="111"/>
      <c r="FM177" s="107"/>
      <c r="FN177" s="107"/>
      <c r="FO177" s="107"/>
      <c r="FP177" s="107"/>
      <c r="FQ177" s="107"/>
      <c r="FR177" s="107"/>
      <c r="FS177" s="107"/>
      <c r="FT177" s="107"/>
      <c r="FU177" s="107"/>
      <c r="FV177" s="107"/>
      <c r="FW177" s="107"/>
      <c r="FX177" s="107"/>
      <c r="FY177" s="107"/>
      <c r="FZ177" s="107"/>
      <c r="GA177" s="107"/>
      <c r="GB177" s="107"/>
      <c r="GC177" s="107"/>
      <c r="GD177" s="107"/>
      <c r="GE177" s="107"/>
      <c r="GF177" s="107"/>
      <c r="GG177" s="160"/>
    </row>
    <row r="178" spans="2:189" x14ac:dyDescent="0.2">
      <c r="B178" s="97">
        <v>45413</v>
      </c>
      <c r="C178" s="111">
        <v>70.422667390858052</v>
      </c>
      <c r="D178" s="111">
        <v>70.621486151623998</v>
      </c>
      <c r="E178" s="111">
        <v>70.638593680386805</v>
      </c>
      <c r="F178" s="111">
        <v>70.705399556203304</v>
      </c>
      <c r="G178" s="111">
        <v>70.49040918716814</v>
      </c>
      <c r="H178" s="111">
        <v>70.338702077892592</v>
      </c>
      <c r="I178" s="111">
        <v>70.38984940855012</v>
      </c>
      <c r="J178" s="111">
        <v>70.468865143978903</v>
      </c>
      <c r="K178" s="111">
        <v>70.586396738483302</v>
      </c>
      <c r="L178" s="111">
        <v>70.546146885197274</v>
      </c>
      <c r="M178" s="111">
        <v>70.481744775577454</v>
      </c>
      <c r="N178" s="111">
        <v>70.512158476249269</v>
      </c>
      <c r="O178" s="111">
        <v>70.450461862802683</v>
      </c>
      <c r="P178" s="111">
        <v>70.219556850312301</v>
      </c>
      <c r="Q178" s="121">
        <v>70.193490305775029</v>
      </c>
      <c r="R178" s="121">
        <v>70.101729677779844</v>
      </c>
      <c r="S178" s="121">
        <v>70.138636490615283</v>
      </c>
      <c r="T178" s="121">
        <v>70.137562065759923</v>
      </c>
      <c r="U178" s="121">
        <v>70.209211971483242</v>
      </c>
      <c r="V178" s="121">
        <v>70.22908015090843</v>
      </c>
      <c r="W178" s="121">
        <v>70.300041359133402</v>
      </c>
      <c r="X178" s="121">
        <v>70.452201672224717</v>
      </c>
      <c r="Y178" s="121">
        <v>70.511443672637995</v>
      </c>
      <c r="Z178" s="121">
        <v>70.641945584629084</v>
      </c>
      <c r="AA178" s="121">
        <v>70.887122662646917</v>
      </c>
      <c r="AB178" s="121">
        <v>71.041044980810511</v>
      </c>
      <c r="AC178" s="121">
        <v>71.137696071248868</v>
      </c>
      <c r="AD178" s="121">
        <v>71.101634962159025</v>
      </c>
      <c r="AE178" s="121">
        <v>71.040046304732613</v>
      </c>
      <c r="AF178" s="121">
        <v>71.254529932384543</v>
      </c>
      <c r="AG178" s="121">
        <v>71.365457532474394</v>
      </c>
      <c r="AH178" s="121">
        <v>71.314901854206013</v>
      </c>
      <c r="AI178" s="121">
        <v>71.118364827882189</v>
      </c>
      <c r="AJ178" s="121">
        <v>71.132358373769705</v>
      </c>
      <c r="AK178" s="121">
        <v>71.188761393331191</v>
      </c>
      <c r="AL178" s="121">
        <v>71.151267597650886</v>
      </c>
      <c r="AM178" s="121">
        <v>71.274963398719038</v>
      </c>
      <c r="AN178" s="121">
        <v>71.424128594535091</v>
      </c>
      <c r="AO178" s="121">
        <v>71.446098872681219</v>
      </c>
      <c r="AP178" s="121">
        <v>71.588711186046922</v>
      </c>
      <c r="AQ178" s="121">
        <v>71.807083744667295</v>
      </c>
      <c r="AR178" s="121">
        <v>71.963041879276645</v>
      </c>
      <c r="AS178" s="121">
        <v>71.92185025892735</v>
      </c>
      <c r="AT178" s="121">
        <v>72.02860916101497</v>
      </c>
      <c r="AU178" s="121">
        <v>72.295465904970527</v>
      </c>
      <c r="AV178" s="121">
        <v>72.380182655146925</v>
      </c>
      <c r="AW178" s="121">
        <v>72.607140655835494</v>
      </c>
      <c r="AX178" s="121">
        <v>72.817320606538473</v>
      </c>
      <c r="AY178" s="121">
        <v>72.741738538014246</v>
      </c>
      <c r="AZ178" s="121">
        <v>72.694456120650159</v>
      </c>
      <c r="BA178" s="121">
        <v>72.88072790765132</v>
      </c>
      <c r="BB178" s="121">
        <v>72.94646393533651</v>
      </c>
      <c r="BC178" s="121">
        <v>72.908040933155135</v>
      </c>
      <c r="BD178" s="121">
        <v>72.890509981000406</v>
      </c>
      <c r="BE178" s="121">
        <v>73.097742754789238</v>
      </c>
      <c r="BF178" s="121">
        <v>73.189327986433568</v>
      </c>
      <c r="BG178" s="121">
        <v>73.321334510530306</v>
      </c>
      <c r="BH178" s="121">
        <v>73.322275395192875</v>
      </c>
      <c r="BI178" s="121">
        <v>73.316528185089297</v>
      </c>
      <c r="BJ178" s="121">
        <v>73.188428308637157</v>
      </c>
      <c r="BK178" s="121">
        <v>73.259527218865486</v>
      </c>
      <c r="BL178" s="121">
        <v>73.354680953412753</v>
      </c>
      <c r="BM178" s="121">
        <v>73.428254507243835</v>
      </c>
      <c r="BN178" s="121">
        <v>73.641080919447731</v>
      </c>
      <c r="BO178" s="121">
        <v>73.841127416368423</v>
      </c>
      <c r="BP178" s="121">
        <v>73.905839876644194</v>
      </c>
      <c r="BQ178" s="121">
        <v>73.965809118169489</v>
      </c>
      <c r="BR178" s="121">
        <v>73.938979629645047</v>
      </c>
      <c r="BS178" s="121">
        <v>73.986211069725414</v>
      </c>
      <c r="BT178" s="121">
        <v>73.977046204738699</v>
      </c>
      <c r="BU178" s="121">
        <v>74.029962340256219</v>
      </c>
      <c r="BV178" s="121">
        <v>74.191163999810897</v>
      </c>
      <c r="BW178" s="121">
        <v>74.247784056863679</v>
      </c>
      <c r="BX178" s="121">
        <v>74.330967199170345</v>
      </c>
      <c r="BY178" s="121">
        <v>74.30927851055354</v>
      </c>
      <c r="BZ178" s="121">
        <v>74.267555457649209</v>
      </c>
      <c r="CA178" s="121">
        <v>74.251228430706647</v>
      </c>
      <c r="CB178" s="121">
        <v>74.26272577409145</v>
      </c>
      <c r="CC178" s="121">
        <v>74.378152775749911</v>
      </c>
      <c r="CD178" s="121">
        <v>74.345729130681633</v>
      </c>
      <c r="CE178" s="121">
        <v>74.429956854063931</v>
      </c>
      <c r="CF178" s="121">
        <v>74.571405052822456</v>
      </c>
      <c r="CG178" s="121">
        <v>74.566674357314383</v>
      </c>
      <c r="CH178" s="121">
        <v>74.7054713857313</v>
      </c>
      <c r="CI178" s="121">
        <v>74.897217261856014</v>
      </c>
      <c r="CJ178" s="121">
        <v>75.053467023218673</v>
      </c>
      <c r="CK178" s="121">
        <v>74.92214315691082</v>
      </c>
      <c r="CL178" s="121">
        <v>74.785529913228842</v>
      </c>
      <c r="CM178" s="121">
        <v>74.848418577120341</v>
      </c>
      <c r="CN178" s="121">
        <v>75.103791737704967</v>
      </c>
      <c r="CO178" s="121">
        <v>74.935489470324057</v>
      </c>
      <c r="CP178" s="121">
        <v>75.056710172354229</v>
      </c>
      <c r="CQ178" s="121">
        <v>75.122662431234133</v>
      </c>
      <c r="CR178" s="121">
        <v>75.301659008278506</v>
      </c>
      <c r="CS178" s="121">
        <v>75.328043921598905</v>
      </c>
      <c r="CT178" s="121">
        <v>75.360391978441882</v>
      </c>
      <c r="CU178" s="121">
        <v>75.271689155578287</v>
      </c>
      <c r="CV178" s="121">
        <v>75.235827964833277</v>
      </c>
      <c r="CW178" s="121">
        <v>75.268678910802024</v>
      </c>
      <c r="CX178" s="121">
        <v>75.25915878717548</v>
      </c>
      <c r="CY178" s="121">
        <v>75.412284018962993</v>
      </c>
      <c r="CZ178" s="121">
        <v>75.455718611920972</v>
      </c>
      <c r="DA178" s="121">
        <v>75.522342771015559</v>
      </c>
      <c r="DB178" s="121">
        <v>75.788590374710225</v>
      </c>
      <c r="DC178" s="121">
        <v>75.804542414377224</v>
      </c>
      <c r="DD178" s="121">
        <v>75.729159743254371</v>
      </c>
      <c r="DE178" s="121">
        <v>75.779875107634751</v>
      </c>
      <c r="DF178" s="121">
        <v>75.711127688138077</v>
      </c>
      <c r="DG178" s="121">
        <v>75.758488094913261</v>
      </c>
      <c r="DH178" s="121">
        <v>75.77715905656774</v>
      </c>
      <c r="DI178" s="121">
        <v>75.522873508106201</v>
      </c>
      <c r="DJ178" s="121">
        <v>75.690532613083363</v>
      </c>
      <c r="DK178" s="121">
        <v>75.79264145852494</v>
      </c>
      <c r="DL178" s="121">
        <v>75.97723870589202</v>
      </c>
      <c r="DM178" s="121">
        <v>76.101559735730788</v>
      </c>
      <c r="DN178" s="121">
        <v>76.08338146378712</v>
      </c>
      <c r="DO178" s="121">
        <v>76.184107397078137</v>
      </c>
      <c r="DP178" s="121">
        <v>75.945869254465876</v>
      </c>
      <c r="DQ178" s="121">
        <v>75.603907535520094</v>
      </c>
      <c r="DR178" s="121">
        <v>75.48671815552936</v>
      </c>
      <c r="DS178" s="121">
        <v>75.322459895089082</v>
      </c>
      <c r="DT178" s="121">
        <v>75.183674962013114</v>
      </c>
      <c r="DU178" s="121">
        <v>74.905974682839954</v>
      </c>
      <c r="DV178" s="121">
        <v>74.529709495462882</v>
      </c>
      <c r="DW178" s="121">
        <v>74.446638352324044</v>
      </c>
      <c r="DX178" s="121">
        <v>74.460381911419077</v>
      </c>
      <c r="DY178" s="121">
        <v>74.171572669653827</v>
      </c>
      <c r="DZ178" s="121">
        <v>74.149655075509628</v>
      </c>
      <c r="EA178" s="121">
        <v>74.27553613496643</v>
      </c>
      <c r="EB178" s="121">
        <v>74.248377152612477</v>
      </c>
      <c r="EC178" s="121">
        <v>74.268200714916873</v>
      </c>
      <c r="ED178" s="121">
        <v>74.322069041306221</v>
      </c>
      <c r="EE178" s="121">
        <v>74.584293487973568</v>
      </c>
      <c r="EF178" s="121">
        <v>74.701663226800818</v>
      </c>
      <c r="EG178" s="121">
        <v>74.795855683503802</v>
      </c>
      <c r="EH178" s="121">
        <v>74.884967893588311</v>
      </c>
      <c r="EI178" s="121">
        <v>74.928227219076462</v>
      </c>
      <c r="EJ178" s="121">
        <v>74.955228813943592</v>
      </c>
      <c r="EK178" s="121">
        <v>75.001618419318177</v>
      </c>
      <c r="EL178" s="128">
        <v>74.959602435623964</v>
      </c>
      <c r="EM178" s="108">
        <v>74.98780337256899</v>
      </c>
      <c r="EN178" s="128">
        <v>75.142647232268743</v>
      </c>
      <c r="EO178" s="128">
        <v>75.159880357312574</v>
      </c>
      <c r="EP178" s="121">
        <v>75.370049931214623</v>
      </c>
      <c r="EQ178" s="128">
        <v>75.021312548471343</v>
      </c>
      <c r="ER178" s="128">
        <v>74.924307419854415</v>
      </c>
      <c r="ES178" s="108">
        <v>75.041479314939281</v>
      </c>
      <c r="ET178" s="108">
        <v>74.969450969989609</v>
      </c>
      <c r="EU178" s="108">
        <v>75.043155320391421</v>
      </c>
      <c r="EV178" s="128">
        <v>75.236534403541725</v>
      </c>
      <c r="EW178" s="108">
        <v>75.186090118403058</v>
      </c>
      <c r="EX178" s="108">
        <v>75.243637062923654</v>
      </c>
      <c r="EY178" s="108">
        <v>75.238481346871339</v>
      </c>
      <c r="EZ178" s="135">
        <v>75.278703155886859</v>
      </c>
      <c r="FA178" s="108">
        <v>75.430690127966372</v>
      </c>
      <c r="FB178" s="128">
        <v>75.460292846986491</v>
      </c>
      <c r="FC178" s="108">
        <v>75.169187769647309</v>
      </c>
      <c r="FD178" s="108">
        <v>74.911923036272327</v>
      </c>
      <c r="FE178" s="128">
        <v>74.744984698606416</v>
      </c>
      <c r="FF178" s="108">
        <v>74.84646884495379</v>
      </c>
      <c r="FG178" s="128">
        <v>75.062676757990417</v>
      </c>
      <c r="FH178" s="108">
        <v>74.987486198358013</v>
      </c>
      <c r="FI178" s="121">
        <v>75.008565237431483</v>
      </c>
      <c r="FJ178" s="111">
        <v>74.845424346932504</v>
      </c>
      <c r="FK178" s="111">
        <v>74.48788745193859</v>
      </c>
      <c r="FL178" s="124">
        <v>74.451315607234932</v>
      </c>
      <c r="FM178" s="111"/>
      <c r="FN178" s="107"/>
      <c r="FO178" s="107"/>
      <c r="FP178" s="107"/>
      <c r="FQ178" s="107"/>
      <c r="FR178" s="107"/>
      <c r="FS178" s="107"/>
      <c r="FT178" s="107"/>
      <c r="FU178" s="107"/>
      <c r="FV178" s="107"/>
      <c r="FW178" s="107"/>
      <c r="FX178" s="107"/>
      <c r="FY178" s="107"/>
      <c r="FZ178" s="107"/>
      <c r="GA178" s="107"/>
      <c r="GB178" s="107"/>
      <c r="GC178" s="107"/>
      <c r="GD178" s="107"/>
      <c r="GE178" s="107"/>
      <c r="GF178" s="107"/>
      <c r="GG178" s="160"/>
    </row>
    <row r="179" spans="2:189" x14ac:dyDescent="0.2">
      <c r="B179" s="97">
        <v>45444</v>
      </c>
      <c r="C179" s="111">
        <v>70.422667390858052</v>
      </c>
      <c r="D179" s="111">
        <v>70.621486151623998</v>
      </c>
      <c r="E179" s="111">
        <v>70.638593680386805</v>
      </c>
      <c r="F179" s="111">
        <v>70.705399556203304</v>
      </c>
      <c r="G179" s="111">
        <v>70.49040918716814</v>
      </c>
      <c r="H179" s="111">
        <v>70.338702077892592</v>
      </c>
      <c r="I179" s="111">
        <v>70.38984940855012</v>
      </c>
      <c r="J179" s="111">
        <v>70.468865143978903</v>
      </c>
      <c r="K179" s="111">
        <v>70.586396738483302</v>
      </c>
      <c r="L179" s="111">
        <v>70.546146885197274</v>
      </c>
      <c r="M179" s="111">
        <v>70.481744775577454</v>
      </c>
      <c r="N179" s="111">
        <v>70.512158476249269</v>
      </c>
      <c r="O179" s="111">
        <v>70.450461862802683</v>
      </c>
      <c r="P179" s="111">
        <v>70.219556850312301</v>
      </c>
      <c r="Q179" s="121">
        <v>70.193490305775029</v>
      </c>
      <c r="R179" s="121">
        <v>70.101729677779844</v>
      </c>
      <c r="S179" s="121">
        <v>70.138636490615283</v>
      </c>
      <c r="T179" s="121">
        <v>70.137562065759923</v>
      </c>
      <c r="U179" s="121">
        <v>70.209211971483242</v>
      </c>
      <c r="V179" s="121">
        <v>70.22908015090843</v>
      </c>
      <c r="W179" s="121">
        <v>70.300041359133402</v>
      </c>
      <c r="X179" s="121">
        <v>70.452201672224717</v>
      </c>
      <c r="Y179" s="121">
        <v>70.511443672637995</v>
      </c>
      <c r="Z179" s="121">
        <v>70.641945584629084</v>
      </c>
      <c r="AA179" s="121">
        <v>70.887122662646917</v>
      </c>
      <c r="AB179" s="121">
        <v>71.041044980810511</v>
      </c>
      <c r="AC179" s="121">
        <v>71.137696071248868</v>
      </c>
      <c r="AD179" s="121">
        <v>71.101634962159025</v>
      </c>
      <c r="AE179" s="121">
        <v>71.040046304732613</v>
      </c>
      <c r="AF179" s="121">
        <v>71.254529932384543</v>
      </c>
      <c r="AG179" s="121">
        <v>71.365457532474394</v>
      </c>
      <c r="AH179" s="121">
        <v>71.314901854206013</v>
      </c>
      <c r="AI179" s="121">
        <v>71.118364827882189</v>
      </c>
      <c r="AJ179" s="121">
        <v>71.132358373769705</v>
      </c>
      <c r="AK179" s="121">
        <v>71.188761393331191</v>
      </c>
      <c r="AL179" s="121">
        <v>71.151267597650886</v>
      </c>
      <c r="AM179" s="121">
        <v>71.274963398719038</v>
      </c>
      <c r="AN179" s="121">
        <v>71.424128594535091</v>
      </c>
      <c r="AO179" s="121">
        <v>71.446098872681219</v>
      </c>
      <c r="AP179" s="121">
        <v>71.588711186046922</v>
      </c>
      <c r="AQ179" s="121">
        <v>71.807083744667295</v>
      </c>
      <c r="AR179" s="121">
        <v>71.963041879276645</v>
      </c>
      <c r="AS179" s="121">
        <v>71.92185025892735</v>
      </c>
      <c r="AT179" s="121">
        <v>72.02860916101497</v>
      </c>
      <c r="AU179" s="121">
        <v>72.295465904970527</v>
      </c>
      <c r="AV179" s="121">
        <v>72.380182655146925</v>
      </c>
      <c r="AW179" s="121">
        <v>72.607140655835494</v>
      </c>
      <c r="AX179" s="121">
        <v>72.817320606538473</v>
      </c>
      <c r="AY179" s="121">
        <v>72.741738538014246</v>
      </c>
      <c r="AZ179" s="121">
        <v>72.694456120650159</v>
      </c>
      <c r="BA179" s="121">
        <v>72.88072790765132</v>
      </c>
      <c r="BB179" s="121">
        <v>72.94646393533651</v>
      </c>
      <c r="BC179" s="121">
        <v>72.908040933155135</v>
      </c>
      <c r="BD179" s="121">
        <v>72.890509981000406</v>
      </c>
      <c r="BE179" s="121">
        <v>73.097742754789238</v>
      </c>
      <c r="BF179" s="121">
        <v>73.189327986433568</v>
      </c>
      <c r="BG179" s="121">
        <v>73.321334510530306</v>
      </c>
      <c r="BH179" s="121">
        <v>73.322275395192875</v>
      </c>
      <c r="BI179" s="121">
        <v>73.316528185089297</v>
      </c>
      <c r="BJ179" s="121">
        <v>73.188428308637157</v>
      </c>
      <c r="BK179" s="121">
        <v>73.259527218865486</v>
      </c>
      <c r="BL179" s="121">
        <v>73.354680953412753</v>
      </c>
      <c r="BM179" s="121">
        <v>73.428254507243835</v>
      </c>
      <c r="BN179" s="121">
        <v>73.641080919447731</v>
      </c>
      <c r="BO179" s="121">
        <v>73.841127416368423</v>
      </c>
      <c r="BP179" s="121">
        <v>73.905839876644194</v>
      </c>
      <c r="BQ179" s="121">
        <v>73.965809118169489</v>
      </c>
      <c r="BR179" s="121">
        <v>73.938979629645047</v>
      </c>
      <c r="BS179" s="121">
        <v>73.986211069725414</v>
      </c>
      <c r="BT179" s="121">
        <v>73.977046204738699</v>
      </c>
      <c r="BU179" s="121">
        <v>74.029962340256219</v>
      </c>
      <c r="BV179" s="121">
        <v>74.191163999810897</v>
      </c>
      <c r="BW179" s="121">
        <v>74.247784056863679</v>
      </c>
      <c r="BX179" s="121">
        <v>74.330967199170345</v>
      </c>
      <c r="BY179" s="121">
        <v>74.30927851055354</v>
      </c>
      <c r="BZ179" s="121">
        <v>74.267555457649209</v>
      </c>
      <c r="CA179" s="121">
        <v>74.251228430706647</v>
      </c>
      <c r="CB179" s="121">
        <v>74.26272577409145</v>
      </c>
      <c r="CC179" s="121">
        <v>74.378152775749911</v>
      </c>
      <c r="CD179" s="121">
        <v>74.345729130681633</v>
      </c>
      <c r="CE179" s="121">
        <v>74.429956854063931</v>
      </c>
      <c r="CF179" s="121">
        <v>74.571405052822456</v>
      </c>
      <c r="CG179" s="121">
        <v>74.566674357314383</v>
      </c>
      <c r="CH179" s="121">
        <v>74.7054713857313</v>
      </c>
      <c r="CI179" s="121">
        <v>74.897217261856014</v>
      </c>
      <c r="CJ179" s="121">
        <v>75.053467023218673</v>
      </c>
      <c r="CK179" s="121">
        <v>74.92214315691082</v>
      </c>
      <c r="CL179" s="121">
        <v>74.785529913228842</v>
      </c>
      <c r="CM179" s="121">
        <v>74.848418577120341</v>
      </c>
      <c r="CN179" s="121">
        <v>75.103791737704967</v>
      </c>
      <c r="CO179" s="121">
        <v>74.935489470324057</v>
      </c>
      <c r="CP179" s="121">
        <v>75.056710172354229</v>
      </c>
      <c r="CQ179" s="121">
        <v>75.122662431234133</v>
      </c>
      <c r="CR179" s="121">
        <v>75.301659008278506</v>
      </c>
      <c r="CS179" s="121">
        <v>75.328043921598905</v>
      </c>
      <c r="CT179" s="121">
        <v>75.360391978441882</v>
      </c>
      <c r="CU179" s="121">
        <v>75.271689155578287</v>
      </c>
      <c r="CV179" s="121">
        <v>75.235827964833277</v>
      </c>
      <c r="CW179" s="121">
        <v>75.268678910802024</v>
      </c>
      <c r="CX179" s="121">
        <v>75.25915878717548</v>
      </c>
      <c r="CY179" s="121">
        <v>75.412284018962993</v>
      </c>
      <c r="CZ179" s="121">
        <v>75.455718611920972</v>
      </c>
      <c r="DA179" s="121">
        <v>75.522342771015559</v>
      </c>
      <c r="DB179" s="121">
        <v>75.788590374710225</v>
      </c>
      <c r="DC179" s="121">
        <v>75.804542414377224</v>
      </c>
      <c r="DD179" s="121">
        <v>75.729159743254371</v>
      </c>
      <c r="DE179" s="121">
        <v>75.779875107634751</v>
      </c>
      <c r="DF179" s="121">
        <v>75.711127688138077</v>
      </c>
      <c r="DG179" s="121">
        <v>75.758488094913261</v>
      </c>
      <c r="DH179" s="121">
        <v>75.77715905656774</v>
      </c>
      <c r="DI179" s="121">
        <v>75.522873508106201</v>
      </c>
      <c r="DJ179" s="121">
        <v>75.690532613083363</v>
      </c>
      <c r="DK179" s="121">
        <v>75.79264145852494</v>
      </c>
      <c r="DL179" s="121">
        <v>75.97723870589202</v>
      </c>
      <c r="DM179" s="121">
        <v>76.101559735730788</v>
      </c>
      <c r="DN179" s="121">
        <v>76.08338146378712</v>
      </c>
      <c r="DO179" s="121">
        <v>76.184107397078137</v>
      </c>
      <c r="DP179" s="121">
        <v>75.945869254465876</v>
      </c>
      <c r="DQ179" s="121">
        <v>75.603907535520094</v>
      </c>
      <c r="DR179" s="121">
        <v>75.48671815552936</v>
      </c>
      <c r="DS179" s="121">
        <v>75.322459895089082</v>
      </c>
      <c r="DT179" s="121">
        <v>75.183674962013114</v>
      </c>
      <c r="DU179" s="121">
        <v>74.905974682839954</v>
      </c>
      <c r="DV179" s="121">
        <v>74.529709495462882</v>
      </c>
      <c r="DW179" s="121">
        <v>74.446638352324044</v>
      </c>
      <c r="DX179" s="121">
        <v>74.460381911419077</v>
      </c>
      <c r="DY179" s="121">
        <v>74.171572669653827</v>
      </c>
      <c r="DZ179" s="121">
        <v>74.149655075509628</v>
      </c>
      <c r="EA179" s="121">
        <v>74.27553613496643</v>
      </c>
      <c r="EB179" s="121">
        <v>74.248377152612477</v>
      </c>
      <c r="EC179" s="121">
        <v>74.268200714916873</v>
      </c>
      <c r="ED179" s="121">
        <v>74.322069041306221</v>
      </c>
      <c r="EE179" s="121">
        <v>74.584293487973568</v>
      </c>
      <c r="EF179" s="121">
        <v>74.701663226800818</v>
      </c>
      <c r="EG179" s="121">
        <v>74.795855683503802</v>
      </c>
      <c r="EH179" s="121">
        <v>74.884967893588311</v>
      </c>
      <c r="EI179" s="121">
        <v>74.928227219076462</v>
      </c>
      <c r="EJ179" s="121">
        <v>74.955228813943592</v>
      </c>
      <c r="EK179" s="121">
        <v>75.001618419318177</v>
      </c>
      <c r="EL179" s="128">
        <v>74.959602435623964</v>
      </c>
      <c r="EM179" s="108">
        <v>74.98780337256899</v>
      </c>
      <c r="EN179" s="128">
        <v>75.142647232268743</v>
      </c>
      <c r="EO179" s="128">
        <v>75.159880357312574</v>
      </c>
      <c r="EP179" s="121">
        <v>75.370049931214623</v>
      </c>
      <c r="EQ179" s="128">
        <v>75.021312548471343</v>
      </c>
      <c r="ER179" s="128">
        <v>74.924307419854415</v>
      </c>
      <c r="ES179" s="108">
        <v>75.041479314939281</v>
      </c>
      <c r="ET179" s="108">
        <v>74.969450969989609</v>
      </c>
      <c r="EU179" s="108">
        <v>75.043155320391421</v>
      </c>
      <c r="EV179" s="128">
        <v>75.236534403541725</v>
      </c>
      <c r="EW179" s="108">
        <v>75.186090118403058</v>
      </c>
      <c r="EX179" s="108">
        <v>75.243637062923654</v>
      </c>
      <c r="EY179" s="108">
        <v>75.238481346871339</v>
      </c>
      <c r="EZ179" s="128">
        <v>75.278703155886859</v>
      </c>
      <c r="FA179" s="113">
        <v>75.430690127966372</v>
      </c>
      <c r="FB179" s="128">
        <v>75.460292846986491</v>
      </c>
      <c r="FC179" s="108">
        <v>75.169187769647309</v>
      </c>
      <c r="FD179" s="108">
        <v>74.911923036272327</v>
      </c>
      <c r="FE179" s="128">
        <v>74.744984698606416</v>
      </c>
      <c r="FF179" s="108">
        <v>74.84646884495379</v>
      </c>
      <c r="FG179" s="128">
        <v>75.062676757990417</v>
      </c>
      <c r="FH179" s="108">
        <v>74.987486198358013</v>
      </c>
      <c r="FI179" s="121">
        <v>75.008565237431483</v>
      </c>
      <c r="FJ179" s="111">
        <v>74.845424346932504</v>
      </c>
      <c r="FK179" s="111">
        <v>74.48788745193859</v>
      </c>
      <c r="FL179" s="111">
        <v>74.451315607234932</v>
      </c>
      <c r="FM179" s="124">
        <v>74.298008082043182</v>
      </c>
      <c r="FN179" s="111"/>
      <c r="FO179" s="107"/>
      <c r="FP179" s="107"/>
      <c r="FQ179" s="107"/>
      <c r="FR179" s="107"/>
      <c r="FS179" s="107"/>
      <c r="FT179" s="107"/>
      <c r="FU179" s="107"/>
      <c r="FV179" s="107"/>
      <c r="FW179" s="107"/>
      <c r="FX179" s="107"/>
      <c r="FY179" s="107"/>
      <c r="FZ179" s="107"/>
      <c r="GA179" s="107"/>
      <c r="GB179" s="107"/>
      <c r="GC179" s="107"/>
      <c r="GD179" s="107"/>
      <c r="GE179" s="107"/>
      <c r="GF179" s="107"/>
      <c r="GG179" s="160"/>
    </row>
    <row r="180" spans="2:189" x14ac:dyDescent="0.2">
      <c r="B180" s="97">
        <v>45474</v>
      </c>
      <c r="C180" s="111">
        <v>70.422667390858052</v>
      </c>
      <c r="D180" s="111">
        <v>70.621486151623998</v>
      </c>
      <c r="E180" s="111">
        <v>70.638593680386805</v>
      </c>
      <c r="F180" s="111">
        <v>70.705399556203304</v>
      </c>
      <c r="G180" s="111">
        <v>70.49040918716814</v>
      </c>
      <c r="H180" s="111">
        <v>70.338702077892592</v>
      </c>
      <c r="I180" s="111">
        <v>70.38984940855012</v>
      </c>
      <c r="J180" s="111">
        <v>70.468865143978903</v>
      </c>
      <c r="K180" s="111">
        <v>70.586396738483302</v>
      </c>
      <c r="L180" s="111">
        <v>70.546146885197274</v>
      </c>
      <c r="M180" s="111">
        <v>70.481744775577454</v>
      </c>
      <c r="N180" s="111">
        <v>70.512158476249269</v>
      </c>
      <c r="O180" s="111">
        <v>70.450461862802683</v>
      </c>
      <c r="P180" s="111">
        <v>70.219556850312301</v>
      </c>
      <c r="Q180" s="121">
        <v>70.193490305775029</v>
      </c>
      <c r="R180" s="121">
        <v>70.101729677779844</v>
      </c>
      <c r="S180" s="121">
        <v>70.138636490615283</v>
      </c>
      <c r="T180" s="121">
        <v>70.137562065759923</v>
      </c>
      <c r="U180" s="121">
        <v>70.209211971483242</v>
      </c>
      <c r="V180" s="121">
        <v>70.22908015090843</v>
      </c>
      <c r="W180" s="121">
        <v>70.300041359133402</v>
      </c>
      <c r="X180" s="121">
        <v>70.452201672224717</v>
      </c>
      <c r="Y180" s="121">
        <v>70.511443672637995</v>
      </c>
      <c r="Z180" s="121">
        <v>70.641945584629084</v>
      </c>
      <c r="AA180" s="121">
        <v>70.887122662646917</v>
      </c>
      <c r="AB180" s="121">
        <v>71.041044980810511</v>
      </c>
      <c r="AC180" s="121">
        <v>71.137696071248868</v>
      </c>
      <c r="AD180" s="121">
        <v>71.101634962159025</v>
      </c>
      <c r="AE180" s="121">
        <v>71.040046304732613</v>
      </c>
      <c r="AF180" s="121">
        <v>71.254529932384543</v>
      </c>
      <c r="AG180" s="121">
        <v>71.365457532474394</v>
      </c>
      <c r="AH180" s="121">
        <v>71.314901854206013</v>
      </c>
      <c r="AI180" s="121">
        <v>71.118364827882189</v>
      </c>
      <c r="AJ180" s="121">
        <v>71.132358373769705</v>
      </c>
      <c r="AK180" s="121">
        <v>71.188761393331191</v>
      </c>
      <c r="AL180" s="121">
        <v>71.151267597650886</v>
      </c>
      <c r="AM180" s="121">
        <v>71.274963398719038</v>
      </c>
      <c r="AN180" s="121">
        <v>71.424128594535091</v>
      </c>
      <c r="AO180" s="121">
        <v>71.446098872681219</v>
      </c>
      <c r="AP180" s="121">
        <v>71.588711186046922</v>
      </c>
      <c r="AQ180" s="121">
        <v>71.807083744667295</v>
      </c>
      <c r="AR180" s="121">
        <v>71.963041879276645</v>
      </c>
      <c r="AS180" s="121">
        <v>71.92185025892735</v>
      </c>
      <c r="AT180" s="121">
        <v>72.02860916101497</v>
      </c>
      <c r="AU180" s="121">
        <v>72.295465904970527</v>
      </c>
      <c r="AV180" s="121">
        <v>72.380182655146925</v>
      </c>
      <c r="AW180" s="121">
        <v>72.607140655835494</v>
      </c>
      <c r="AX180" s="121">
        <v>72.817320606538473</v>
      </c>
      <c r="AY180" s="121">
        <v>72.741738538014246</v>
      </c>
      <c r="AZ180" s="121">
        <v>72.694456120650159</v>
      </c>
      <c r="BA180" s="121">
        <v>72.88072790765132</v>
      </c>
      <c r="BB180" s="121">
        <v>72.94646393533651</v>
      </c>
      <c r="BC180" s="121">
        <v>72.908040933155135</v>
      </c>
      <c r="BD180" s="121">
        <v>72.890509981000406</v>
      </c>
      <c r="BE180" s="121">
        <v>73.097742754789238</v>
      </c>
      <c r="BF180" s="121">
        <v>73.189327986433568</v>
      </c>
      <c r="BG180" s="121">
        <v>73.321334510530306</v>
      </c>
      <c r="BH180" s="121">
        <v>73.322275395192875</v>
      </c>
      <c r="BI180" s="121">
        <v>73.316528185089297</v>
      </c>
      <c r="BJ180" s="121">
        <v>73.188428308637157</v>
      </c>
      <c r="BK180" s="121">
        <v>73.259527218865486</v>
      </c>
      <c r="BL180" s="121">
        <v>73.354680953412753</v>
      </c>
      <c r="BM180" s="121">
        <v>73.428254507243835</v>
      </c>
      <c r="BN180" s="121">
        <v>73.641080919447731</v>
      </c>
      <c r="BO180" s="121">
        <v>73.841127416368423</v>
      </c>
      <c r="BP180" s="121">
        <v>73.905839876644194</v>
      </c>
      <c r="BQ180" s="121">
        <v>73.965809118169489</v>
      </c>
      <c r="BR180" s="121">
        <v>73.938979629645047</v>
      </c>
      <c r="BS180" s="121">
        <v>73.986211069725414</v>
      </c>
      <c r="BT180" s="121">
        <v>73.977046204738699</v>
      </c>
      <c r="BU180" s="121">
        <v>74.029962340256219</v>
      </c>
      <c r="BV180" s="121">
        <v>74.191163999810897</v>
      </c>
      <c r="BW180" s="121">
        <v>74.247784056863679</v>
      </c>
      <c r="BX180" s="121">
        <v>74.330967199170345</v>
      </c>
      <c r="BY180" s="121">
        <v>74.30927851055354</v>
      </c>
      <c r="BZ180" s="121">
        <v>74.267555457649209</v>
      </c>
      <c r="CA180" s="121">
        <v>74.251228430706647</v>
      </c>
      <c r="CB180" s="121">
        <v>74.26272577409145</v>
      </c>
      <c r="CC180" s="121">
        <v>74.378152775749911</v>
      </c>
      <c r="CD180" s="121">
        <v>74.345729130681633</v>
      </c>
      <c r="CE180" s="121">
        <v>74.429956854063931</v>
      </c>
      <c r="CF180" s="121">
        <v>74.571405052822456</v>
      </c>
      <c r="CG180" s="121">
        <v>74.566674357314383</v>
      </c>
      <c r="CH180" s="121">
        <v>74.7054713857313</v>
      </c>
      <c r="CI180" s="121">
        <v>74.897217261856014</v>
      </c>
      <c r="CJ180" s="121">
        <v>75.053467023218673</v>
      </c>
      <c r="CK180" s="121">
        <v>74.92214315691082</v>
      </c>
      <c r="CL180" s="121">
        <v>74.785529913228842</v>
      </c>
      <c r="CM180" s="121">
        <v>74.848418577120341</v>
      </c>
      <c r="CN180" s="121">
        <v>75.103791737704967</v>
      </c>
      <c r="CO180" s="121">
        <v>74.935489470324057</v>
      </c>
      <c r="CP180" s="121">
        <v>75.056710172354229</v>
      </c>
      <c r="CQ180" s="121">
        <v>75.122662431234133</v>
      </c>
      <c r="CR180" s="121">
        <v>75.301659008278506</v>
      </c>
      <c r="CS180" s="121">
        <v>75.328043921598905</v>
      </c>
      <c r="CT180" s="121">
        <v>75.360391978441882</v>
      </c>
      <c r="CU180" s="121">
        <v>75.271689155578287</v>
      </c>
      <c r="CV180" s="121">
        <v>75.235827964833277</v>
      </c>
      <c r="CW180" s="121">
        <v>75.268678910802024</v>
      </c>
      <c r="CX180" s="121">
        <v>75.25915878717548</v>
      </c>
      <c r="CY180" s="121">
        <v>75.412284018962993</v>
      </c>
      <c r="CZ180" s="121">
        <v>75.455718611920972</v>
      </c>
      <c r="DA180" s="121">
        <v>75.522342771015559</v>
      </c>
      <c r="DB180" s="121">
        <v>75.788590374710225</v>
      </c>
      <c r="DC180" s="121">
        <v>75.804542414377224</v>
      </c>
      <c r="DD180" s="121">
        <v>75.729159743254371</v>
      </c>
      <c r="DE180" s="121">
        <v>75.779875107634751</v>
      </c>
      <c r="DF180" s="121">
        <v>75.711127688138077</v>
      </c>
      <c r="DG180" s="121">
        <v>75.758488094913261</v>
      </c>
      <c r="DH180" s="121">
        <v>75.77715905656774</v>
      </c>
      <c r="DI180" s="121">
        <v>75.522873508106201</v>
      </c>
      <c r="DJ180" s="121">
        <v>75.690532613083363</v>
      </c>
      <c r="DK180" s="121">
        <v>75.79264145852494</v>
      </c>
      <c r="DL180" s="121">
        <v>75.97723870589202</v>
      </c>
      <c r="DM180" s="121">
        <v>76.101559735730788</v>
      </c>
      <c r="DN180" s="121">
        <v>76.08338146378712</v>
      </c>
      <c r="DO180" s="121">
        <v>76.184107397078137</v>
      </c>
      <c r="DP180" s="121">
        <v>75.945869254465876</v>
      </c>
      <c r="DQ180" s="121">
        <v>75.603907535520094</v>
      </c>
      <c r="DR180" s="121">
        <v>75.48671815552936</v>
      </c>
      <c r="DS180" s="121">
        <v>75.322459895089082</v>
      </c>
      <c r="DT180" s="121">
        <v>75.183674962013114</v>
      </c>
      <c r="DU180" s="121">
        <v>74.905974682839954</v>
      </c>
      <c r="DV180" s="121">
        <v>74.529709495462882</v>
      </c>
      <c r="DW180" s="121">
        <v>74.446638352324044</v>
      </c>
      <c r="DX180" s="121">
        <v>74.460381911419077</v>
      </c>
      <c r="DY180" s="121">
        <v>74.171572669653827</v>
      </c>
      <c r="DZ180" s="121">
        <v>74.149655075509628</v>
      </c>
      <c r="EA180" s="121">
        <v>74.27553613496643</v>
      </c>
      <c r="EB180" s="121">
        <v>74.248377152612477</v>
      </c>
      <c r="EC180" s="121">
        <v>74.268200714916873</v>
      </c>
      <c r="ED180" s="121">
        <v>74.322069041306221</v>
      </c>
      <c r="EE180" s="121">
        <v>74.584293487973568</v>
      </c>
      <c r="EF180" s="121">
        <v>74.701663226800818</v>
      </c>
      <c r="EG180" s="121">
        <v>74.795855683503802</v>
      </c>
      <c r="EH180" s="121">
        <v>74.884967893588311</v>
      </c>
      <c r="EI180" s="121">
        <v>74.928227219076462</v>
      </c>
      <c r="EJ180" s="121">
        <v>74.955228813943592</v>
      </c>
      <c r="EK180" s="121">
        <v>75.001618419318177</v>
      </c>
      <c r="EL180" s="128">
        <v>74.959602435623964</v>
      </c>
      <c r="EM180" s="108">
        <v>74.98780337256899</v>
      </c>
      <c r="EN180" s="128">
        <v>75.142647232268743</v>
      </c>
      <c r="EO180" s="128">
        <v>75.159880357312574</v>
      </c>
      <c r="EP180" s="121">
        <v>75.370049931214623</v>
      </c>
      <c r="EQ180" s="128">
        <v>75.021312548471343</v>
      </c>
      <c r="ER180" s="128">
        <v>74.924307419854415</v>
      </c>
      <c r="ES180" s="108">
        <v>75.041479314939281</v>
      </c>
      <c r="ET180" s="108">
        <v>74.969450969989609</v>
      </c>
      <c r="EU180" s="108">
        <v>75.043155320391421</v>
      </c>
      <c r="EV180" s="121">
        <v>75.236534403541725</v>
      </c>
      <c r="EW180" s="111">
        <v>75.186090118403058</v>
      </c>
      <c r="EX180" s="108">
        <v>75.243637062923654</v>
      </c>
      <c r="EY180" s="108">
        <v>75.238481346871339</v>
      </c>
      <c r="EZ180" s="121">
        <v>75.278703155886859</v>
      </c>
      <c r="FA180" s="108">
        <v>75.430690127966372</v>
      </c>
      <c r="FB180" s="141">
        <v>75.460292846986491</v>
      </c>
      <c r="FC180" s="108">
        <v>75.169187769647309</v>
      </c>
      <c r="FD180" s="108">
        <v>74.911923036272327</v>
      </c>
      <c r="FE180" s="128">
        <v>74.744984698606416</v>
      </c>
      <c r="FF180" s="108">
        <v>74.84646884495379</v>
      </c>
      <c r="FG180" s="128">
        <v>75.062676757990417</v>
      </c>
      <c r="FH180" s="108">
        <v>74.987486198358013</v>
      </c>
      <c r="FI180" s="121">
        <v>75.008565237431483</v>
      </c>
      <c r="FJ180" s="111">
        <v>74.845424346932504</v>
      </c>
      <c r="FK180" s="111">
        <v>74.48788745193859</v>
      </c>
      <c r="FL180" s="111">
        <v>74.451315607234932</v>
      </c>
      <c r="FM180" s="111">
        <v>74.298008082043182</v>
      </c>
      <c r="FN180" s="124">
        <v>74.361418750306527</v>
      </c>
      <c r="FO180" s="111"/>
      <c r="FP180" s="107"/>
      <c r="FQ180" s="107"/>
      <c r="FR180" s="107"/>
      <c r="FS180" s="107"/>
      <c r="FT180" s="107"/>
      <c r="FU180" s="107"/>
      <c r="FV180" s="107"/>
      <c r="FW180" s="107"/>
      <c r="FX180" s="107"/>
      <c r="FY180" s="107"/>
      <c r="FZ180" s="107"/>
      <c r="GA180" s="107"/>
      <c r="GB180" s="107"/>
      <c r="GC180" s="107"/>
      <c r="GD180" s="107"/>
      <c r="GE180" s="107"/>
      <c r="GF180" s="107"/>
      <c r="GG180" s="160"/>
    </row>
    <row r="181" spans="2:189" x14ac:dyDescent="0.2">
      <c r="B181" s="97">
        <v>45505</v>
      </c>
      <c r="C181" s="111">
        <v>70.422667390858052</v>
      </c>
      <c r="D181" s="111">
        <v>70.621486151623998</v>
      </c>
      <c r="E181" s="111">
        <v>70.638593680386805</v>
      </c>
      <c r="F181" s="111">
        <v>70.705399556203304</v>
      </c>
      <c r="G181" s="111">
        <v>70.49040918716814</v>
      </c>
      <c r="H181" s="111">
        <v>70.338702077892592</v>
      </c>
      <c r="I181" s="111">
        <v>70.38984940855012</v>
      </c>
      <c r="J181" s="111">
        <v>70.468865143978903</v>
      </c>
      <c r="K181" s="111">
        <v>70.586396738483302</v>
      </c>
      <c r="L181" s="111">
        <v>70.546146885197274</v>
      </c>
      <c r="M181" s="111">
        <v>70.481744775577454</v>
      </c>
      <c r="N181" s="111">
        <v>70.512158476249269</v>
      </c>
      <c r="O181" s="111">
        <v>70.450461862802683</v>
      </c>
      <c r="P181" s="111">
        <v>70.219556850312301</v>
      </c>
      <c r="Q181" s="121">
        <v>70.193490305775029</v>
      </c>
      <c r="R181" s="121">
        <v>70.101729677779844</v>
      </c>
      <c r="S181" s="121">
        <v>70.138636490615283</v>
      </c>
      <c r="T181" s="121">
        <v>70.137562065759923</v>
      </c>
      <c r="U181" s="121">
        <v>70.209211971483242</v>
      </c>
      <c r="V181" s="121">
        <v>70.22908015090843</v>
      </c>
      <c r="W181" s="121">
        <v>70.300041359133402</v>
      </c>
      <c r="X181" s="121">
        <v>70.452201672224717</v>
      </c>
      <c r="Y181" s="121">
        <v>70.511443672637995</v>
      </c>
      <c r="Z181" s="121">
        <v>70.641945584629084</v>
      </c>
      <c r="AA181" s="121">
        <v>70.887122662646917</v>
      </c>
      <c r="AB181" s="121">
        <v>71.041044980810511</v>
      </c>
      <c r="AC181" s="121">
        <v>71.137696071248868</v>
      </c>
      <c r="AD181" s="121">
        <v>71.101634962159025</v>
      </c>
      <c r="AE181" s="121">
        <v>71.040046304732613</v>
      </c>
      <c r="AF181" s="121">
        <v>71.254529932384543</v>
      </c>
      <c r="AG181" s="121">
        <v>71.365457532474394</v>
      </c>
      <c r="AH181" s="121">
        <v>71.314901854206013</v>
      </c>
      <c r="AI181" s="121">
        <v>71.118364827882189</v>
      </c>
      <c r="AJ181" s="121">
        <v>71.132358373769705</v>
      </c>
      <c r="AK181" s="121">
        <v>71.188761393331191</v>
      </c>
      <c r="AL181" s="121">
        <v>71.151267597650886</v>
      </c>
      <c r="AM181" s="121">
        <v>71.274963398719038</v>
      </c>
      <c r="AN181" s="121">
        <v>71.424128594535091</v>
      </c>
      <c r="AO181" s="121">
        <v>71.446098872681219</v>
      </c>
      <c r="AP181" s="121">
        <v>71.588711186046922</v>
      </c>
      <c r="AQ181" s="121">
        <v>71.807083744667295</v>
      </c>
      <c r="AR181" s="121">
        <v>71.963041879276645</v>
      </c>
      <c r="AS181" s="121">
        <v>71.92185025892735</v>
      </c>
      <c r="AT181" s="121">
        <v>72.02860916101497</v>
      </c>
      <c r="AU181" s="121">
        <v>72.295465904970527</v>
      </c>
      <c r="AV181" s="121">
        <v>72.380182655146925</v>
      </c>
      <c r="AW181" s="121">
        <v>72.607140655835494</v>
      </c>
      <c r="AX181" s="121">
        <v>72.817320606538473</v>
      </c>
      <c r="AY181" s="121">
        <v>72.741738538014246</v>
      </c>
      <c r="AZ181" s="121">
        <v>72.694456120650159</v>
      </c>
      <c r="BA181" s="121">
        <v>72.88072790765132</v>
      </c>
      <c r="BB181" s="121">
        <v>72.94646393533651</v>
      </c>
      <c r="BC181" s="121">
        <v>72.908040933155135</v>
      </c>
      <c r="BD181" s="121">
        <v>72.890509981000406</v>
      </c>
      <c r="BE181" s="121">
        <v>73.097742754789238</v>
      </c>
      <c r="BF181" s="121">
        <v>73.189327986433568</v>
      </c>
      <c r="BG181" s="121">
        <v>73.321334510530306</v>
      </c>
      <c r="BH181" s="121">
        <v>73.322275395192875</v>
      </c>
      <c r="BI181" s="121">
        <v>73.316528185089297</v>
      </c>
      <c r="BJ181" s="121">
        <v>73.188428308637157</v>
      </c>
      <c r="BK181" s="121">
        <v>73.259527218865486</v>
      </c>
      <c r="BL181" s="121">
        <v>73.354680953412753</v>
      </c>
      <c r="BM181" s="121">
        <v>73.428254507243835</v>
      </c>
      <c r="BN181" s="121">
        <v>73.641080919447731</v>
      </c>
      <c r="BO181" s="121">
        <v>73.841127416368423</v>
      </c>
      <c r="BP181" s="121">
        <v>73.905839876644194</v>
      </c>
      <c r="BQ181" s="121">
        <v>73.965809118169489</v>
      </c>
      <c r="BR181" s="121">
        <v>73.938979629645047</v>
      </c>
      <c r="BS181" s="121">
        <v>73.986211069725414</v>
      </c>
      <c r="BT181" s="121">
        <v>73.977046204738699</v>
      </c>
      <c r="BU181" s="121">
        <v>74.029962340256219</v>
      </c>
      <c r="BV181" s="121">
        <v>74.191163999810897</v>
      </c>
      <c r="BW181" s="121">
        <v>74.247784056863679</v>
      </c>
      <c r="BX181" s="121">
        <v>74.330967199170345</v>
      </c>
      <c r="BY181" s="121">
        <v>74.30927851055354</v>
      </c>
      <c r="BZ181" s="121">
        <v>74.267555457649209</v>
      </c>
      <c r="CA181" s="121">
        <v>74.251228430706647</v>
      </c>
      <c r="CB181" s="121">
        <v>74.26272577409145</v>
      </c>
      <c r="CC181" s="121">
        <v>74.378152775749911</v>
      </c>
      <c r="CD181" s="121">
        <v>74.345729130681633</v>
      </c>
      <c r="CE181" s="121">
        <v>74.429956854063931</v>
      </c>
      <c r="CF181" s="121">
        <v>74.571405052822456</v>
      </c>
      <c r="CG181" s="121">
        <v>74.566674357314383</v>
      </c>
      <c r="CH181" s="121">
        <v>74.7054713857313</v>
      </c>
      <c r="CI181" s="121">
        <v>74.897217261856014</v>
      </c>
      <c r="CJ181" s="121">
        <v>75.053467023218673</v>
      </c>
      <c r="CK181" s="121">
        <v>74.92214315691082</v>
      </c>
      <c r="CL181" s="121">
        <v>74.785529913228842</v>
      </c>
      <c r="CM181" s="121">
        <v>74.848418577120341</v>
      </c>
      <c r="CN181" s="121">
        <v>75.103791737704967</v>
      </c>
      <c r="CO181" s="121">
        <v>74.935489470324057</v>
      </c>
      <c r="CP181" s="121">
        <v>75.056710172354229</v>
      </c>
      <c r="CQ181" s="121">
        <v>75.122662431234133</v>
      </c>
      <c r="CR181" s="121">
        <v>75.301659008278506</v>
      </c>
      <c r="CS181" s="121">
        <v>75.328043921598905</v>
      </c>
      <c r="CT181" s="121">
        <v>75.360391978441882</v>
      </c>
      <c r="CU181" s="121">
        <v>75.271689155578287</v>
      </c>
      <c r="CV181" s="121">
        <v>75.235827964833277</v>
      </c>
      <c r="CW181" s="121">
        <v>75.268678910802024</v>
      </c>
      <c r="CX181" s="121">
        <v>75.25915878717548</v>
      </c>
      <c r="CY181" s="121">
        <v>75.412284018962993</v>
      </c>
      <c r="CZ181" s="121">
        <v>75.455718611920972</v>
      </c>
      <c r="DA181" s="121">
        <v>75.522342771015559</v>
      </c>
      <c r="DB181" s="121">
        <v>75.788590374710225</v>
      </c>
      <c r="DC181" s="121">
        <v>75.804542414377224</v>
      </c>
      <c r="DD181" s="121">
        <v>75.729159743254371</v>
      </c>
      <c r="DE181" s="121">
        <v>75.779875107634751</v>
      </c>
      <c r="DF181" s="121">
        <v>75.711127688138077</v>
      </c>
      <c r="DG181" s="121">
        <v>75.758488094913261</v>
      </c>
      <c r="DH181" s="121">
        <v>75.77715905656774</v>
      </c>
      <c r="DI181" s="121">
        <v>75.522873508106201</v>
      </c>
      <c r="DJ181" s="121">
        <v>75.690532613083363</v>
      </c>
      <c r="DK181" s="121">
        <v>75.79264145852494</v>
      </c>
      <c r="DL181" s="121">
        <v>75.97723870589202</v>
      </c>
      <c r="DM181" s="121">
        <v>76.101559735730788</v>
      </c>
      <c r="DN181" s="121">
        <v>76.08338146378712</v>
      </c>
      <c r="DO181" s="121">
        <v>76.184107397078137</v>
      </c>
      <c r="DP181" s="121">
        <v>75.945869254465876</v>
      </c>
      <c r="DQ181" s="121">
        <v>75.603907535520094</v>
      </c>
      <c r="DR181" s="121">
        <v>75.48671815552936</v>
      </c>
      <c r="DS181" s="121">
        <v>75.322459895089082</v>
      </c>
      <c r="DT181" s="121">
        <v>75.183674962013114</v>
      </c>
      <c r="DU181" s="121">
        <v>74.905974682839954</v>
      </c>
      <c r="DV181" s="121">
        <v>74.529709495462882</v>
      </c>
      <c r="DW181" s="121">
        <v>74.446638352324044</v>
      </c>
      <c r="DX181" s="121">
        <v>74.460381911419077</v>
      </c>
      <c r="DY181" s="121">
        <v>74.171572669653827</v>
      </c>
      <c r="DZ181" s="121">
        <v>74.149655075509628</v>
      </c>
      <c r="EA181" s="121">
        <v>74.27553613496643</v>
      </c>
      <c r="EB181" s="121">
        <v>74.248377152612477</v>
      </c>
      <c r="EC181" s="121">
        <v>74.268200714916873</v>
      </c>
      <c r="ED181" s="121">
        <v>74.322069041306221</v>
      </c>
      <c r="EE181" s="121">
        <v>74.584293487973568</v>
      </c>
      <c r="EF181" s="121">
        <v>74.701663226800818</v>
      </c>
      <c r="EG181" s="121">
        <v>74.795855683503802</v>
      </c>
      <c r="EH181" s="121">
        <v>74.884967893588311</v>
      </c>
      <c r="EI181" s="121">
        <v>74.928227219076462</v>
      </c>
      <c r="EJ181" s="121">
        <v>74.955228813943592</v>
      </c>
      <c r="EK181" s="121">
        <v>75.001618419318177</v>
      </c>
      <c r="EL181" s="128">
        <v>74.959602435623964</v>
      </c>
      <c r="EM181" s="108">
        <v>74.98780337256899</v>
      </c>
      <c r="EN181" s="128">
        <v>75.142647232268743</v>
      </c>
      <c r="EO181" s="128">
        <v>75.159880357312574</v>
      </c>
      <c r="EP181" s="121">
        <v>75.370049931214623</v>
      </c>
      <c r="EQ181" s="128">
        <v>75.021312548471343</v>
      </c>
      <c r="ER181" s="128">
        <v>74.924307419854415</v>
      </c>
      <c r="ES181" s="108">
        <v>75.041479314939281</v>
      </c>
      <c r="ET181" s="108">
        <v>74.969450969989609</v>
      </c>
      <c r="EU181" s="108">
        <v>75.043155320391421</v>
      </c>
      <c r="EV181" s="121">
        <v>75.236534403541725</v>
      </c>
      <c r="EW181" s="111">
        <v>75.186090118403058</v>
      </c>
      <c r="EX181" s="108">
        <v>75.243637062923654</v>
      </c>
      <c r="EY181" s="108">
        <v>75.238481346871339</v>
      </c>
      <c r="EZ181" s="121">
        <v>75.278703155886859</v>
      </c>
      <c r="FA181" s="108">
        <v>75.430690127966372</v>
      </c>
      <c r="FB181" s="121">
        <v>75.460292846986491</v>
      </c>
      <c r="FC181" s="113">
        <v>75.169187769647309</v>
      </c>
      <c r="FD181" s="108">
        <v>74.911923036272327</v>
      </c>
      <c r="FE181" s="128">
        <v>74.744984698606416</v>
      </c>
      <c r="FF181" s="108">
        <v>74.84646884495379</v>
      </c>
      <c r="FG181" s="128">
        <v>75.062676757990417</v>
      </c>
      <c r="FH181" s="108">
        <v>74.987486198358013</v>
      </c>
      <c r="FI181" s="121">
        <v>75.008565237431483</v>
      </c>
      <c r="FJ181" s="111">
        <v>74.845424346932504</v>
      </c>
      <c r="FK181" s="111">
        <v>74.48788745193859</v>
      </c>
      <c r="FL181" s="111">
        <v>74.451315607234932</v>
      </c>
      <c r="FM181" s="111">
        <v>74.298008082043182</v>
      </c>
      <c r="FN181" s="111">
        <v>74.361418750306527</v>
      </c>
      <c r="FO181" s="124">
        <v>74.517671939513392</v>
      </c>
      <c r="FP181" s="111"/>
      <c r="FQ181" s="107"/>
      <c r="FR181" s="107"/>
      <c r="FS181" s="107"/>
      <c r="FT181" s="107"/>
      <c r="FU181" s="107"/>
      <c r="FV181" s="107"/>
      <c r="FW181" s="107"/>
      <c r="FX181" s="107"/>
      <c r="FY181" s="107"/>
      <c r="FZ181" s="107"/>
      <c r="GA181" s="107"/>
      <c r="GB181" s="107"/>
      <c r="GC181" s="107"/>
      <c r="GD181" s="107"/>
      <c r="GE181" s="107"/>
      <c r="GF181" s="107"/>
      <c r="GG181" s="160"/>
    </row>
    <row r="182" spans="2:189" x14ac:dyDescent="0.2">
      <c r="B182" s="97">
        <v>45536</v>
      </c>
      <c r="C182" s="111">
        <v>70.422667390858052</v>
      </c>
      <c r="D182" s="111">
        <v>70.621486151623998</v>
      </c>
      <c r="E182" s="111">
        <v>70.638593680386805</v>
      </c>
      <c r="F182" s="111">
        <v>70.705399556203304</v>
      </c>
      <c r="G182" s="111">
        <v>70.49040918716814</v>
      </c>
      <c r="H182" s="111">
        <v>70.338702077892592</v>
      </c>
      <c r="I182" s="111">
        <v>70.38984940855012</v>
      </c>
      <c r="J182" s="111">
        <v>70.468865143978903</v>
      </c>
      <c r="K182" s="111">
        <v>70.586396738483302</v>
      </c>
      <c r="L182" s="111">
        <v>70.546146885197274</v>
      </c>
      <c r="M182" s="111">
        <v>70.481744775577454</v>
      </c>
      <c r="N182" s="111">
        <v>70.512158476249269</v>
      </c>
      <c r="O182" s="111">
        <v>70.450461862802683</v>
      </c>
      <c r="P182" s="111">
        <v>70.219556850312301</v>
      </c>
      <c r="Q182" s="121">
        <v>70.193490305775029</v>
      </c>
      <c r="R182" s="121">
        <v>70.101729677779844</v>
      </c>
      <c r="S182" s="121">
        <v>70.138636490615283</v>
      </c>
      <c r="T182" s="121">
        <v>70.137562065759923</v>
      </c>
      <c r="U182" s="121">
        <v>70.209211971483242</v>
      </c>
      <c r="V182" s="121">
        <v>70.22908015090843</v>
      </c>
      <c r="W182" s="121">
        <v>70.300041359133402</v>
      </c>
      <c r="X182" s="121">
        <v>70.452201672224717</v>
      </c>
      <c r="Y182" s="121">
        <v>70.511443672637995</v>
      </c>
      <c r="Z182" s="121">
        <v>70.641945584629084</v>
      </c>
      <c r="AA182" s="121">
        <v>70.887122662646917</v>
      </c>
      <c r="AB182" s="121">
        <v>71.041044980810511</v>
      </c>
      <c r="AC182" s="121">
        <v>71.137696071248868</v>
      </c>
      <c r="AD182" s="121">
        <v>71.101634962159025</v>
      </c>
      <c r="AE182" s="121">
        <v>71.040046304732613</v>
      </c>
      <c r="AF182" s="121">
        <v>71.254529932384543</v>
      </c>
      <c r="AG182" s="121">
        <v>71.365457532474394</v>
      </c>
      <c r="AH182" s="121">
        <v>71.314901854206013</v>
      </c>
      <c r="AI182" s="121">
        <v>71.118364827882189</v>
      </c>
      <c r="AJ182" s="121">
        <v>71.132358373769705</v>
      </c>
      <c r="AK182" s="121">
        <v>71.188761393331191</v>
      </c>
      <c r="AL182" s="121">
        <v>71.151267597650886</v>
      </c>
      <c r="AM182" s="121">
        <v>71.274963398719038</v>
      </c>
      <c r="AN182" s="121">
        <v>71.424128594535091</v>
      </c>
      <c r="AO182" s="121">
        <v>71.446098872681219</v>
      </c>
      <c r="AP182" s="121">
        <v>71.588711186046922</v>
      </c>
      <c r="AQ182" s="121">
        <v>71.807083744667295</v>
      </c>
      <c r="AR182" s="121">
        <v>71.963041879276645</v>
      </c>
      <c r="AS182" s="121">
        <v>71.92185025892735</v>
      </c>
      <c r="AT182" s="121">
        <v>72.02860916101497</v>
      </c>
      <c r="AU182" s="121">
        <v>72.295465904970527</v>
      </c>
      <c r="AV182" s="121">
        <v>72.380182655146925</v>
      </c>
      <c r="AW182" s="121">
        <v>72.607140655835494</v>
      </c>
      <c r="AX182" s="121">
        <v>72.817320606538473</v>
      </c>
      <c r="AY182" s="121">
        <v>72.741738538014246</v>
      </c>
      <c r="AZ182" s="121">
        <v>72.694456120650159</v>
      </c>
      <c r="BA182" s="121">
        <v>72.88072790765132</v>
      </c>
      <c r="BB182" s="121">
        <v>72.94646393533651</v>
      </c>
      <c r="BC182" s="121">
        <v>72.908040933155135</v>
      </c>
      <c r="BD182" s="121">
        <v>72.890509981000406</v>
      </c>
      <c r="BE182" s="121">
        <v>73.097742754789238</v>
      </c>
      <c r="BF182" s="121">
        <v>73.189327986433568</v>
      </c>
      <c r="BG182" s="121">
        <v>73.321334510530306</v>
      </c>
      <c r="BH182" s="121">
        <v>73.322275395192875</v>
      </c>
      <c r="BI182" s="121">
        <v>73.316528185089297</v>
      </c>
      <c r="BJ182" s="121">
        <v>73.188428308637157</v>
      </c>
      <c r="BK182" s="121">
        <v>73.259527218865486</v>
      </c>
      <c r="BL182" s="121">
        <v>73.354680953412753</v>
      </c>
      <c r="BM182" s="121">
        <v>73.428254507243835</v>
      </c>
      <c r="BN182" s="121">
        <v>73.641080919447731</v>
      </c>
      <c r="BO182" s="121">
        <v>73.841127416368423</v>
      </c>
      <c r="BP182" s="121">
        <v>73.905839876644194</v>
      </c>
      <c r="BQ182" s="121">
        <v>73.965809118169489</v>
      </c>
      <c r="BR182" s="121">
        <v>73.938979629645047</v>
      </c>
      <c r="BS182" s="121">
        <v>73.986211069725414</v>
      </c>
      <c r="BT182" s="121">
        <v>73.977046204738699</v>
      </c>
      <c r="BU182" s="121">
        <v>74.029962340256219</v>
      </c>
      <c r="BV182" s="121">
        <v>74.191163999810897</v>
      </c>
      <c r="BW182" s="121">
        <v>74.247784056863679</v>
      </c>
      <c r="BX182" s="121">
        <v>74.330967199170345</v>
      </c>
      <c r="BY182" s="121">
        <v>74.30927851055354</v>
      </c>
      <c r="BZ182" s="121">
        <v>74.267555457649209</v>
      </c>
      <c r="CA182" s="121">
        <v>74.251228430706647</v>
      </c>
      <c r="CB182" s="121">
        <v>74.26272577409145</v>
      </c>
      <c r="CC182" s="121">
        <v>74.378152775749911</v>
      </c>
      <c r="CD182" s="121">
        <v>74.345729130681633</v>
      </c>
      <c r="CE182" s="121">
        <v>74.429956854063931</v>
      </c>
      <c r="CF182" s="121">
        <v>74.571405052822456</v>
      </c>
      <c r="CG182" s="121">
        <v>74.566674357314383</v>
      </c>
      <c r="CH182" s="121">
        <v>74.7054713857313</v>
      </c>
      <c r="CI182" s="121">
        <v>74.897217261856014</v>
      </c>
      <c r="CJ182" s="121">
        <v>75.053467023218673</v>
      </c>
      <c r="CK182" s="121">
        <v>74.92214315691082</v>
      </c>
      <c r="CL182" s="121">
        <v>74.785529913228842</v>
      </c>
      <c r="CM182" s="121">
        <v>74.848418577120341</v>
      </c>
      <c r="CN182" s="121">
        <v>75.103791737704967</v>
      </c>
      <c r="CO182" s="121">
        <v>74.935489470324057</v>
      </c>
      <c r="CP182" s="121">
        <v>75.056710172354229</v>
      </c>
      <c r="CQ182" s="121">
        <v>75.122662431234133</v>
      </c>
      <c r="CR182" s="121">
        <v>75.301659008278506</v>
      </c>
      <c r="CS182" s="121">
        <v>75.328043921598905</v>
      </c>
      <c r="CT182" s="121">
        <v>75.360391978441882</v>
      </c>
      <c r="CU182" s="121">
        <v>75.271689155578287</v>
      </c>
      <c r="CV182" s="121">
        <v>75.235827964833277</v>
      </c>
      <c r="CW182" s="121">
        <v>75.268678910802024</v>
      </c>
      <c r="CX182" s="121">
        <v>75.25915878717548</v>
      </c>
      <c r="CY182" s="121">
        <v>75.412284018962993</v>
      </c>
      <c r="CZ182" s="121">
        <v>75.455718611920972</v>
      </c>
      <c r="DA182" s="121">
        <v>75.522342771015559</v>
      </c>
      <c r="DB182" s="121">
        <v>75.788590374710225</v>
      </c>
      <c r="DC182" s="121">
        <v>75.804542414377224</v>
      </c>
      <c r="DD182" s="121">
        <v>75.729159743254371</v>
      </c>
      <c r="DE182" s="121">
        <v>75.779875107634751</v>
      </c>
      <c r="DF182" s="121">
        <v>75.711127688138077</v>
      </c>
      <c r="DG182" s="121">
        <v>75.758488094913261</v>
      </c>
      <c r="DH182" s="121">
        <v>75.77715905656774</v>
      </c>
      <c r="DI182" s="121">
        <v>75.522873508106201</v>
      </c>
      <c r="DJ182" s="121">
        <v>75.690532613083363</v>
      </c>
      <c r="DK182" s="121">
        <v>75.79264145852494</v>
      </c>
      <c r="DL182" s="121">
        <v>75.97723870589202</v>
      </c>
      <c r="DM182" s="121">
        <v>76.101559735730788</v>
      </c>
      <c r="DN182" s="121">
        <v>76.08338146378712</v>
      </c>
      <c r="DO182" s="121">
        <v>76.184107397078137</v>
      </c>
      <c r="DP182" s="121">
        <v>75.945869254465876</v>
      </c>
      <c r="DQ182" s="121">
        <v>75.603907535520094</v>
      </c>
      <c r="DR182" s="121">
        <v>75.48671815552936</v>
      </c>
      <c r="DS182" s="121">
        <v>75.322459895089082</v>
      </c>
      <c r="DT182" s="121">
        <v>75.183674962013114</v>
      </c>
      <c r="DU182" s="121">
        <v>74.905974682839954</v>
      </c>
      <c r="DV182" s="121">
        <v>74.529709495462882</v>
      </c>
      <c r="DW182" s="121">
        <v>74.446638352324044</v>
      </c>
      <c r="DX182" s="121">
        <v>74.460381911419077</v>
      </c>
      <c r="DY182" s="121">
        <v>74.171572669653827</v>
      </c>
      <c r="DZ182" s="121">
        <v>74.149655075509628</v>
      </c>
      <c r="EA182" s="121">
        <v>74.27553613496643</v>
      </c>
      <c r="EB182" s="121">
        <v>74.248377152612477</v>
      </c>
      <c r="EC182" s="121">
        <v>74.268200714916873</v>
      </c>
      <c r="ED182" s="121">
        <v>74.322069041306221</v>
      </c>
      <c r="EE182" s="121">
        <v>74.584293487973568</v>
      </c>
      <c r="EF182" s="121">
        <v>74.701663226800818</v>
      </c>
      <c r="EG182" s="121">
        <v>74.795855683503802</v>
      </c>
      <c r="EH182" s="121">
        <v>74.884967893588311</v>
      </c>
      <c r="EI182" s="121">
        <v>74.928227219076462</v>
      </c>
      <c r="EJ182" s="121">
        <v>74.955228813943592</v>
      </c>
      <c r="EK182" s="121">
        <v>75.001618419318177</v>
      </c>
      <c r="EL182" s="128">
        <v>74.959602435623964</v>
      </c>
      <c r="EM182" s="108">
        <v>74.98780337256899</v>
      </c>
      <c r="EN182" s="128">
        <v>75.142647232268743</v>
      </c>
      <c r="EO182" s="128">
        <v>75.159880357312574</v>
      </c>
      <c r="EP182" s="121">
        <v>75.370049931214623</v>
      </c>
      <c r="EQ182" s="128">
        <v>75.021312548471343</v>
      </c>
      <c r="ER182" s="128">
        <v>74.924307419854415</v>
      </c>
      <c r="ES182" s="108">
        <v>75.041479314939281</v>
      </c>
      <c r="ET182" s="108">
        <v>74.969450969989609</v>
      </c>
      <c r="EU182" s="108">
        <v>75.043155320391421</v>
      </c>
      <c r="EV182" s="121">
        <v>75.236534403541725</v>
      </c>
      <c r="EW182" s="111">
        <v>75.186090118403058</v>
      </c>
      <c r="EX182" s="108">
        <v>75.243637062923654</v>
      </c>
      <c r="EY182" s="108">
        <v>75.238481346871339</v>
      </c>
      <c r="EZ182" s="121">
        <v>75.278703155886859</v>
      </c>
      <c r="FA182" s="108">
        <v>75.430690127966372</v>
      </c>
      <c r="FB182" s="121">
        <v>75.460292846986491</v>
      </c>
      <c r="FC182" s="108">
        <v>75.169187769647309</v>
      </c>
      <c r="FD182" s="113">
        <v>74.911923036272327</v>
      </c>
      <c r="FE182" s="128">
        <v>74.744984698606416</v>
      </c>
      <c r="FF182" s="108">
        <v>74.84646884495379</v>
      </c>
      <c r="FG182" s="128">
        <v>75.062676757990417</v>
      </c>
      <c r="FH182" s="108">
        <v>74.987486198358013</v>
      </c>
      <c r="FI182" s="121">
        <v>75.008565237431483</v>
      </c>
      <c r="FJ182" s="111">
        <v>74.845424346932504</v>
      </c>
      <c r="FK182" s="111">
        <v>74.48788745193859</v>
      </c>
      <c r="FL182" s="111">
        <v>74.451315607234932</v>
      </c>
      <c r="FM182" s="111">
        <v>74.298008082043182</v>
      </c>
      <c r="FN182" s="111">
        <v>74.361418750306527</v>
      </c>
      <c r="FO182" s="111">
        <v>74.517671939513392</v>
      </c>
      <c r="FP182" s="124">
        <v>74.785861327691222</v>
      </c>
      <c r="FQ182" s="111"/>
      <c r="FR182" s="107"/>
      <c r="FS182" s="107"/>
      <c r="FT182" s="107"/>
      <c r="FU182" s="107"/>
      <c r="FV182" s="107"/>
      <c r="FW182" s="107"/>
      <c r="FX182" s="107"/>
      <c r="FY182" s="107"/>
      <c r="FZ182" s="107"/>
      <c r="GA182" s="107"/>
      <c r="GB182" s="107"/>
      <c r="GC182" s="107"/>
      <c r="GD182" s="107"/>
      <c r="GE182" s="107"/>
      <c r="GF182" s="107"/>
      <c r="GG182" s="160"/>
    </row>
    <row r="183" spans="2:189" x14ac:dyDescent="0.2">
      <c r="B183" s="97">
        <v>45566</v>
      </c>
      <c r="C183" s="111">
        <v>70.422667390858052</v>
      </c>
      <c r="D183" s="111">
        <v>70.621486151623998</v>
      </c>
      <c r="E183" s="111">
        <v>70.638593680386805</v>
      </c>
      <c r="F183" s="111">
        <v>70.705399556203304</v>
      </c>
      <c r="G183" s="111">
        <v>70.49040918716814</v>
      </c>
      <c r="H183" s="111">
        <v>70.338702077892592</v>
      </c>
      <c r="I183" s="111">
        <v>70.38984940855012</v>
      </c>
      <c r="J183" s="111">
        <v>70.468865143978903</v>
      </c>
      <c r="K183" s="111">
        <v>70.586396738483302</v>
      </c>
      <c r="L183" s="111">
        <v>70.546146885197274</v>
      </c>
      <c r="M183" s="111">
        <v>70.481744775577454</v>
      </c>
      <c r="N183" s="111">
        <v>70.512158476249269</v>
      </c>
      <c r="O183" s="111">
        <v>70.450461862802683</v>
      </c>
      <c r="P183" s="111">
        <v>70.219556850312301</v>
      </c>
      <c r="Q183" s="121">
        <v>70.193490305775029</v>
      </c>
      <c r="R183" s="121">
        <v>70.101729677779844</v>
      </c>
      <c r="S183" s="121">
        <v>70.138636490615283</v>
      </c>
      <c r="T183" s="121">
        <v>70.137562065759923</v>
      </c>
      <c r="U183" s="121">
        <v>70.209211971483242</v>
      </c>
      <c r="V183" s="121">
        <v>70.22908015090843</v>
      </c>
      <c r="W183" s="121">
        <v>70.300041359133402</v>
      </c>
      <c r="X183" s="121">
        <v>70.452201672224717</v>
      </c>
      <c r="Y183" s="121">
        <v>70.511443672637995</v>
      </c>
      <c r="Z183" s="121">
        <v>70.641945584629084</v>
      </c>
      <c r="AA183" s="121">
        <v>70.887122662646917</v>
      </c>
      <c r="AB183" s="121">
        <v>71.041044980810511</v>
      </c>
      <c r="AC183" s="121">
        <v>71.137696071248868</v>
      </c>
      <c r="AD183" s="121">
        <v>71.101634962159025</v>
      </c>
      <c r="AE183" s="121">
        <v>71.040046304732613</v>
      </c>
      <c r="AF183" s="121">
        <v>71.254529932384543</v>
      </c>
      <c r="AG183" s="121">
        <v>71.365457532474394</v>
      </c>
      <c r="AH183" s="121">
        <v>71.314901854206013</v>
      </c>
      <c r="AI183" s="121">
        <v>71.118364827882189</v>
      </c>
      <c r="AJ183" s="121">
        <v>71.132358373769705</v>
      </c>
      <c r="AK183" s="121">
        <v>71.188761393331191</v>
      </c>
      <c r="AL183" s="121">
        <v>71.151267597650886</v>
      </c>
      <c r="AM183" s="121">
        <v>71.274963398719038</v>
      </c>
      <c r="AN183" s="121">
        <v>71.424128594535091</v>
      </c>
      <c r="AO183" s="121">
        <v>71.446098872681219</v>
      </c>
      <c r="AP183" s="121">
        <v>71.588711186046922</v>
      </c>
      <c r="AQ183" s="121">
        <v>71.807083744667295</v>
      </c>
      <c r="AR183" s="121">
        <v>71.963041879276645</v>
      </c>
      <c r="AS183" s="121">
        <v>71.92185025892735</v>
      </c>
      <c r="AT183" s="121">
        <v>72.02860916101497</v>
      </c>
      <c r="AU183" s="121">
        <v>72.295465904970527</v>
      </c>
      <c r="AV183" s="121">
        <v>72.380182655146925</v>
      </c>
      <c r="AW183" s="121">
        <v>72.607140655835494</v>
      </c>
      <c r="AX183" s="121">
        <v>72.817320606538473</v>
      </c>
      <c r="AY183" s="121">
        <v>72.741738538014246</v>
      </c>
      <c r="AZ183" s="121">
        <v>72.694456120650159</v>
      </c>
      <c r="BA183" s="121">
        <v>72.88072790765132</v>
      </c>
      <c r="BB183" s="121">
        <v>72.94646393533651</v>
      </c>
      <c r="BC183" s="121">
        <v>72.908040933155135</v>
      </c>
      <c r="BD183" s="121">
        <v>72.890509981000406</v>
      </c>
      <c r="BE183" s="121">
        <v>73.097742754789238</v>
      </c>
      <c r="BF183" s="121">
        <v>73.189327986433568</v>
      </c>
      <c r="BG183" s="121">
        <v>73.321334510530306</v>
      </c>
      <c r="BH183" s="121">
        <v>73.322275395192875</v>
      </c>
      <c r="BI183" s="121">
        <v>73.316528185089297</v>
      </c>
      <c r="BJ183" s="121">
        <v>73.188428308637157</v>
      </c>
      <c r="BK183" s="121">
        <v>73.259527218865486</v>
      </c>
      <c r="BL183" s="121">
        <v>73.354680953412753</v>
      </c>
      <c r="BM183" s="121">
        <v>73.428254507243835</v>
      </c>
      <c r="BN183" s="121">
        <v>73.641080919447731</v>
      </c>
      <c r="BO183" s="121">
        <v>73.841127416368423</v>
      </c>
      <c r="BP183" s="121">
        <v>73.905839876644194</v>
      </c>
      <c r="BQ183" s="121">
        <v>73.965809118169489</v>
      </c>
      <c r="BR183" s="121">
        <v>73.938979629645047</v>
      </c>
      <c r="BS183" s="121">
        <v>73.986211069725414</v>
      </c>
      <c r="BT183" s="121">
        <v>73.977046204738699</v>
      </c>
      <c r="BU183" s="121">
        <v>74.029962340256219</v>
      </c>
      <c r="BV183" s="121">
        <v>74.191163999810897</v>
      </c>
      <c r="BW183" s="121">
        <v>74.247784056863679</v>
      </c>
      <c r="BX183" s="121">
        <v>74.330967199170345</v>
      </c>
      <c r="BY183" s="121">
        <v>74.30927851055354</v>
      </c>
      <c r="BZ183" s="121">
        <v>74.267555457649209</v>
      </c>
      <c r="CA183" s="121">
        <v>74.251228430706647</v>
      </c>
      <c r="CB183" s="121">
        <v>74.26272577409145</v>
      </c>
      <c r="CC183" s="121">
        <v>74.378152775749911</v>
      </c>
      <c r="CD183" s="121">
        <v>74.345729130681633</v>
      </c>
      <c r="CE183" s="121">
        <v>74.429956854063931</v>
      </c>
      <c r="CF183" s="121">
        <v>74.571405052822456</v>
      </c>
      <c r="CG183" s="121">
        <v>74.566674357314383</v>
      </c>
      <c r="CH183" s="121">
        <v>74.7054713857313</v>
      </c>
      <c r="CI183" s="121">
        <v>74.897217261856014</v>
      </c>
      <c r="CJ183" s="121">
        <v>75.053467023218673</v>
      </c>
      <c r="CK183" s="121">
        <v>74.92214315691082</v>
      </c>
      <c r="CL183" s="121">
        <v>74.785529913228842</v>
      </c>
      <c r="CM183" s="121">
        <v>74.848418577120341</v>
      </c>
      <c r="CN183" s="121">
        <v>75.103791737704967</v>
      </c>
      <c r="CO183" s="121">
        <v>74.935489470324057</v>
      </c>
      <c r="CP183" s="121">
        <v>75.056710172354229</v>
      </c>
      <c r="CQ183" s="121">
        <v>75.122662431234133</v>
      </c>
      <c r="CR183" s="121">
        <v>75.301659008278506</v>
      </c>
      <c r="CS183" s="121">
        <v>75.328043921598905</v>
      </c>
      <c r="CT183" s="121">
        <v>75.360391978441882</v>
      </c>
      <c r="CU183" s="121">
        <v>75.271689155578287</v>
      </c>
      <c r="CV183" s="121">
        <v>75.235827964833277</v>
      </c>
      <c r="CW183" s="121">
        <v>75.268678910802024</v>
      </c>
      <c r="CX183" s="121">
        <v>75.25915878717548</v>
      </c>
      <c r="CY183" s="121">
        <v>75.412284018962993</v>
      </c>
      <c r="CZ183" s="121">
        <v>75.455718611920972</v>
      </c>
      <c r="DA183" s="121">
        <v>75.522342771015559</v>
      </c>
      <c r="DB183" s="121">
        <v>75.788590374710225</v>
      </c>
      <c r="DC183" s="121">
        <v>75.804542414377224</v>
      </c>
      <c r="DD183" s="121">
        <v>75.729159743254371</v>
      </c>
      <c r="DE183" s="121">
        <v>75.779875107634751</v>
      </c>
      <c r="DF183" s="121">
        <v>75.711127688138077</v>
      </c>
      <c r="DG183" s="121">
        <v>75.758488094913261</v>
      </c>
      <c r="DH183" s="121">
        <v>75.77715905656774</v>
      </c>
      <c r="DI183" s="121">
        <v>75.522873508106201</v>
      </c>
      <c r="DJ183" s="121">
        <v>75.690532613083363</v>
      </c>
      <c r="DK183" s="121">
        <v>75.79264145852494</v>
      </c>
      <c r="DL183" s="121">
        <v>75.97723870589202</v>
      </c>
      <c r="DM183" s="121">
        <v>76.101559735730788</v>
      </c>
      <c r="DN183" s="121">
        <v>76.08338146378712</v>
      </c>
      <c r="DO183" s="121">
        <v>76.184107397078137</v>
      </c>
      <c r="DP183" s="121">
        <v>75.945869254465876</v>
      </c>
      <c r="DQ183" s="121">
        <v>75.603907535520094</v>
      </c>
      <c r="DR183" s="121">
        <v>75.48671815552936</v>
      </c>
      <c r="DS183" s="121">
        <v>75.322459895089082</v>
      </c>
      <c r="DT183" s="121">
        <v>75.183674962013114</v>
      </c>
      <c r="DU183" s="121">
        <v>74.905974682839954</v>
      </c>
      <c r="DV183" s="121">
        <v>74.529709495462882</v>
      </c>
      <c r="DW183" s="121">
        <v>74.446638352324044</v>
      </c>
      <c r="DX183" s="121">
        <v>74.460381911419077</v>
      </c>
      <c r="DY183" s="121">
        <v>74.171572669653827</v>
      </c>
      <c r="DZ183" s="121">
        <v>74.149655075509628</v>
      </c>
      <c r="EA183" s="121">
        <v>74.27553613496643</v>
      </c>
      <c r="EB183" s="121">
        <v>74.248377152612477</v>
      </c>
      <c r="EC183" s="121">
        <v>74.268200714916873</v>
      </c>
      <c r="ED183" s="121">
        <v>74.322069041306221</v>
      </c>
      <c r="EE183" s="121">
        <v>74.584293487973568</v>
      </c>
      <c r="EF183" s="121">
        <v>74.701663226800818</v>
      </c>
      <c r="EG183" s="121">
        <v>74.795855683503802</v>
      </c>
      <c r="EH183" s="121">
        <v>74.884967893588311</v>
      </c>
      <c r="EI183" s="121">
        <v>74.928227219076462</v>
      </c>
      <c r="EJ183" s="121">
        <v>74.955228813943592</v>
      </c>
      <c r="EK183" s="121">
        <v>75.001618419318177</v>
      </c>
      <c r="EL183" s="128">
        <v>74.959602435623964</v>
      </c>
      <c r="EM183" s="108">
        <v>74.98780337256899</v>
      </c>
      <c r="EN183" s="128">
        <v>75.142647232268743</v>
      </c>
      <c r="EO183" s="128">
        <v>75.159880357312574</v>
      </c>
      <c r="EP183" s="121">
        <v>75.370049931214623</v>
      </c>
      <c r="EQ183" s="128">
        <v>75.021312548471343</v>
      </c>
      <c r="ER183" s="128">
        <v>74.924307419854415</v>
      </c>
      <c r="ES183" s="108">
        <v>75.041479314939281</v>
      </c>
      <c r="ET183" s="108">
        <v>74.969450969989609</v>
      </c>
      <c r="EU183" s="108">
        <v>75.043155320391421</v>
      </c>
      <c r="EV183" s="121">
        <v>75.236534403541725</v>
      </c>
      <c r="EW183" s="111">
        <v>75.186090118403058</v>
      </c>
      <c r="EX183" s="108">
        <v>75.243637062923654</v>
      </c>
      <c r="EY183" s="108">
        <v>75.238481346871339</v>
      </c>
      <c r="EZ183" s="121">
        <v>75.278703155886859</v>
      </c>
      <c r="FA183" s="108">
        <v>75.430690127966372</v>
      </c>
      <c r="FB183" s="121">
        <v>75.460292846986491</v>
      </c>
      <c r="FC183" s="108">
        <v>75.169187769647309</v>
      </c>
      <c r="FD183" s="108">
        <v>74.911923036272327</v>
      </c>
      <c r="FE183" s="135">
        <v>74.744984698606416</v>
      </c>
      <c r="FF183" s="108">
        <v>74.84646884495379</v>
      </c>
      <c r="FG183" s="128">
        <v>75.062676757990417</v>
      </c>
      <c r="FH183" s="108">
        <v>74.987486198358013</v>
      </c>
      <c r="FI183" s="121">
        <v>75.008565237431483</v>
      </c>
      <c r="FJ183" s="111">
        <v>74.845424346932504</v>
      </c>
      <c r="FK183" s="111">
        <v>74.48788745193859</v>
      </c>
      <c r="FL183" s="111">
        <v>74.451315607234932</v>
      </c>
      <c r="FM183" s="111">
        <v>74.298008082043182</v>
      </c>
      <c r="FN183" s="111">
        <v>74.361418750306527</v>
      </c>
      <c r="FO183" s="111">
        <v>74.517671939513392</v>
      </c>
      <c r="FP183" s="111">
        <v>74.785861327691222</v>
      </c>
      <c r="FQ183" s="124">
        <v>75.005738181652305</v>
      </c>
      <c r="FR183" s="111"/>
      <c r="FS183" s="107"/>
      <c r="FT183" s="107"/>
      <c r="FU183" s="107"/>
      <c r="FV183" s="107"/>
      <c r="FW183" s="107"/>
      <c r="FX183" s="107"/>
      <c r="FY183" s="107"/>
      <c r="FZ183" s="107"/>
      <c r="GA183" s="107"/>
      <c r="GB183" s="107"/>
      <c r="GC183" s="107"/>
      <c r="GD183" s="107"/>
      <c r="GE183" s="107"/>
      <c r="GF183" s="107"/>
      <c r="GG183" s="160"/>
    </row>
    <row r="184" spans="2:189" x14ac:dyDescent="0.2">
      <c r="B184" s="97">
        <v>45597</v>
      </c>
      <c r="C184" s="111">
        <v>70.422667390858052</v>
      </c>
      <c r="D184" s="111">
        <v>70.621486151623998</v>
      </c>
      <c r="E184" s="111">
        <v>70.638593680386805</v>
      </c>
      <c r="F184" s="111">
        <v>70.705399556203304</v>
      </c>
      <c r="G184" s="111">
        <v>70.49040918716814</v>
      </c>
      <c r="H184" s="111">
        <v>70.338702077892592</v>
      </c>
      <c r="I184" s="111">
        <v>70.38984940855012</v>
      </c>
      <c r="J184" s="111">
        <v>70.468865143978903</v>
      </c>
      <c r="K184" s="111">
        <v>70.586396738483302</v>
      </c>
      <c r="L184" s="111">
        <v>70.546146885197274</v>
      </c>
      <c r="M184" s="111">
        <v>70.481744775577454</v>
      </c>
      <c r="N184" s="111">
        <v>70.512158476249269</v>
      </c>
      <c r="O184" s="111">
        <v>70.450461862802683</v>
      </c>
      <c r="P184" s="111">
        <v>70.219556850312301</v>
      </c>
      <c r="Q184" s="121">
        <v>70.193490305775029</v>
      </c>
      <c r="R184" s="121">
        <v>70.101729677779844</v>
      </c>
      <c r="S184" s="121">
        <v>70.138636490615283</v>
      </c>
      <c r="T184" s="121">
        <v>70.137562065759923</v>
      </c>
      <c r="U184" s="121">
        <v>70.209211971483242</v>
      </c>
      <c r="V184" s="121">
        <v>70.22908015090843</v>
      </c>
      <c r="W184" s="121">
        <v>70.300041359133402</v>
      </c>
      <c r="X184" s="121">
        <v>70.452201672224717</v>
      </c>
      <c r="Y184" s="121">
        <v>70.511443672637995</v>
      </c>
      <c r="Z184" s="121">
        <v>70.641945584629084</v>
      </c>
      <c r="AA184" s="121">
        <v>70.887122662646917</v>
      </c>
      <c r="AB184" s="121">
        <v>71.041044980810511</v>
      </c>
      <c r="AC184" s="121">
        <v>71.137696071248868</v>
      </c>
      <c r="AD184" s="121">
        <v>71.101634962159025</v>
      </c>
      <c r="AE184" s="121">
        <v>71.040046304732613</v>
      </c>
      <c r="AF184" s="121">
        <v>71.254529932384543</v>
      </c>
      <c r="AG184" s="121">
        <v>71.365457532474394</v>
      </c>
      <c r="AH184" s="121">
        <v>71.314901854206013</v>
      </c>
      <c r="AI184" s="121">
        <v>71.118364827882189</v>
      </c>
      <c r="AJ184" s="121">
        <v>71.132358373769705</v>
      </c>
      <c r="AK184" s="121">
        <v>71.188761393331191</v>
      </c>
      <c r="AL184" s="121">
        <v>71.151267597650886</v>
      </c>
      <c r="AM184" s="121">
        <v>71.274963398719038</v>
      </c>
      <c r="AN184" s="121">
        <v>71.424128594535091</v>
      </c>
      <c r="AO184" s="121">
        <v>71.446098872681219</v>
      </c>
      <c r="AP184" s="121">
        <v>71.588711186046922</v>
      </c>
      <c r="AQ184" s="121">
        <v>71.807083744667295</v>
      </c>
      <c r="AR184" s="121">
        <v>71.963041879276645</v>
      </c>
      <c r="AS184" s="121">
        <v>71.92185025892735</v>
      </c>
      <c r="AT184" s="121">
        <v>72.02860916101497</v>
      </c>
      <c r="AU184" s="121">
        <v>72.295465904970527</v>
      </c>
      <c r="AV184" s="121">
        <v>72.380182655146925</v>
      </c>
      <c r="AW184" s="121">
        <v>72.607140655835494</v>
      </c>
      <c r="AX184" s="121">
        <v>72.817320606538473</v>
      </c>
      <c r="AY184" s="121">
        <v>72.741738538014246</v>
      </c>
      <c r="AZ184" s="121">
        <v>72.694456120650159</v>
      </c>
      <c r="BA184" s="121">
        <v>72.88072790765132</v>
      </c>
      <c r="BB184" s="121">
        <v>72.94646393533651</v>
      </c>
      <c r="BC184" s="121">
        <v>72.908040933155135</v>
      </c>
      <c r="BD184" s="121">
        <v>72.890509981000406</v>
      </c>
      <c r="BE184" s="121">
        <v>73.097742754789238</v>
      </c>
      <c r="BF184" s="121">
        <v>73.189327986433568</v>
      </c>
      <c r="BG184" s="121">
        <v>73.321334510530306</v>
      </c>
      <c r="BH184" s="121">
        <v>73.322275395192875</v>
      </c>
      <c r="BI184" s="121">
        <v>73.316528185089297</v>
      </c>
      <c r="BJ184" s="121">
        <v>73.188428308637157</v>
      </c>
      <c r="BK184" s="121">
        <v>73.259527218865486</v>
      </c>
      <c r="BL184" s="121">
        <v>73.354680953412753</v>
      </c>
      <c r="BM184" s="121">
        <v>73.428254507243835</v>
      </c>
      <c r="BN184" s="121">
        <v>73.641080919447731</v>
      </c>
      <c r="BO184" s="121">
        <v>73.841127416368423</v>
      </c>
      <c r="BP184" s="121">
        <v>73.905839876644194</v>
      </c>
      <c r="BQ184" s="121">
        <v>73.965809118169489</v>
      </c>
      <c r="BR184" s="121">
        <v>73.938979629645047</v>
      </c>
      <c r="BS184" s="121">
        <v>73.986211069725414</v>
      </c>
      <c r="BT184" s="121">
        <v>73.977046204738699</v>
      </c>
      <c r="BU184" s="121">
        <v>74.029962340256219</v>
      </c>
      <c r="BV184" s="121">
        <v>74.191163999810897</v>
      </c>
      <c r="BW184" s="121">
        <v>74.247784056863679</v>
      </c>
      <c r="BX184" s="121">
        <v>74.330967199170345</v>
      </c>
      <c r="BY184" s="121">
        <v>74.30927851055354</v>
      </c>
      <c r="BZ184" s="121">
        <v>74.267555457649209</v>
      </c>
      <c r="CA184" s="121">
        <v>74.251228430706647</v>
      </c>
      <c r="CB184" s="121">
        <v>74.26272577409145</v>
      </c>
      <c r="CC184" s="121">
        <v>74.378152775749911</v>
      </c>
      <c r="CD184" s="121">
        <v>74.345729130681633</v>
      </c>
      <c r="CE184" s="121">
        <v>74.429956854063931</v>
      </c>
      <c r="CF184" s="121">
        <v>74.571405052822456</v>
      </c>
      <c r="CG184" s="121">
        <v>74.566674357314383</v>
      </c>
      <c r="CH184" s="121">
        <v>74.7054713857313</v>
      </c>
      <c r="CI184" s="121">
        <v>74.897217261856014</v>
      </c>
      <c r="CJ184" s="121">
        <v>75.053467023218673</v>
      </c>
      <c r="CK184" s="121">
        <v>74.92214315691082</v>
      </c>
      <c r="CL184" s="121">
        <v>74.785529913228842</v>
      </c>
      <c r="CM184" s="121">
        <v>74.848418577120341</v>
      </c>
      <c r="CN184" s="121">
        <v>75.103791737704967</v>
      </c>
      <c r="CO184" s="121">
        <v>74.935489470324057</v>
      </c>
      <c r="CP184" s="121">
        <v>75.056710172354229</v>
      </c>
      <c r="CQ184" s="121">
        <v>75.122662431234133</v>
      </c>
      <c r="CR184" s="121">
        <v>75.301659008278506</v>
      </c>
      <c r="CS184" s="121">
        <v>75.328043921598905</v>
      </c>
      <c r="CT184" s="121">
        <v>75.360391978441882</v>
      </c>
      <c r="CU184" s="121">
        <v>75.271689155578287</v>
      </c>
      <c r="CV184" s="121">
        <v>75.235827964833277</v>
      </c>
      <c r="CW184" s="121">
        <v>75.268678910802024</v>
      </c>
      <c r="CX184" s="121">
        <v>75.25915878717548</v>
      </c>
      <c r="CY184" s="121">
        <v>75.412284018962993</v>
      </c>
      <c r="CZ184" s="121">
        <v>75.455718611920972</v>
      </c>
      <c r="DA184" s="121">
        <v>75.522342771015559</v>
      </c>
      <c r="DB184" s="121">
        <v>75.788590374710225</v>
      </c>
      <c r="DC184" s="121">
        <v>75.804542414377224</v>
      </c>
      <c r="DD184" s="121">
        <v>75.729159743254371</v>
      </c>
      <c r="DE184" s="121">
        <v>75.779875107634751</v>
      </c>
      <c r="DF184" s="121">
        <v>75.711127688138077</v>
      </c>
      <c r="DG184" s="121">
        <v>75.758488094913261</v>
      </c>
      <c r="DH184" s="121">
        <v>75.77715905656774</v>
      </c>
      <c r="DI184" s="121">
        <v>75.522873508106201</v>
      </c>
      <c r="DJ184" s="121">
        <v>75.690532613083363</v>
      </c>
      <c r="DK184" s="121">
        <v>75.79264145852494</v>
      </c>
      <c r="DL184" s="121">
        <v>75.97723870589202</v>
      </c>
      <c r="DM184" s="121">
        <v>76.101559735730788</v>
      </c>
      <c r="DN184" s="121">
        <v>76.08338146378712</v>
      </c>
      <c r="DO184" s="121">
        <v>76.184107397078137</v>
      </c>
      <c r="DP184" s="121">
        <v>75.945869254465876</v>
      </c>
      <c r="DQ184" s="121">
        <v>75.603907535520094</v>
      </c>
      <c r="DR184" s="121">
        <v>75.48671815552936</v>
      </c>
      <c r="DS184" s="121">
        <v>75.322459895089082</v>
      </c>
      <c r="DT184" s="121">
        <v>75.183674962013114</v>
      </c>
      <c r="DU184" s="121">
        <v>74.905974682839954</v>
      </c>
      <c r="DV184" s="121">
        <v>74.529709495462882</v>
      </c>
      <c r="DW184" s="121">
        <v>74.446638352324044</v>
      </c>
      <c r="DX184" s="121">
        <v>74.460381911419077</v>
      </c>
      <c r="DY184" s="121">
        <v>74.171572669653827</v>
      </c>
      <c r="DZ184" s="121">
        <v>74.149655075509628</v>
      </c>
      <c r="EA184" s="121">
        <v>74.27553613496643</v>
      </c>
      <c r="EB184" s="121">
        <v>74.248377152612477</v>
      </c>
      <c r="EC184" s="121">
        <v>74.268200714916873</v>
      </c>
      <c r="ED184" s="121">
        <v>74.322069041306221</v>
      </c>
      <c r="EE184" s="121">
        <v>74.584293487973568</v>
      </c>
      <c r="EF184" s="121">
        <v>74.701663226800818</v>
      </c>
      <c r="EG184" s="121">
        <v>74.795855683503802</v>
      </c>
      <c r="EH184" s="121">
        <v>74.884967893588311</v>
      </c>
      <c r="EI184" s="121">
        <v>74.928227219076462</v>
      </c>
      <c r="EJ184" s="121">
        <v>74.955228813943592</v>
      </c>
      <c r="EK184" s="121">
        <v>75.001618419318177</v>
      </c>
      <c r="EL184" s="128">
        <v>74.959602435623964</v>
      </c>
      <c r="EM184" s="108">
        <v>74.98780337256899</v>
      </c>
      <c r="EN184" s="128">
        <v>75.142647232268743</v>
      </c>
      <c r="EO184" s="128">
        <v>75.159880357312574</v>
      </c>
      <c r="EP184" s="121">
        <v>75.370049931214623</v>
      </c>
      <c r="EQ184" s="128">
        <v>75.021312548471343</v>
      </c>
      <c r="ER184" s="128">
        <v>74.924307419854415</v>
      </c>
      <c r="ES184" s="108">
        <v>75.041479314939281</v>
      </c>
      <c r="ET184" s="108">
        <v>74.969450969989609</v>
      </c>
      <c r="EU184" s="108">
        <v>75.043155320391421</v>
      </c>
      <c r="EV184" s="121">
        <v>75.236534403541725</v>
      </c>
      <c r="EW184" s="111">
        <v>75.186090118403058</v>
      </c>
      <c r="EX184" s="108">
        <v>75.243637062923654</v>
      </c>
      <c r="EY184" s="108">
        <v>75.238481346871339</v>
      </c>
      <c r="EZ184" s="121">
        <v>75.278703155886859</v>
      </c>
      <c r="FA184" s="108">
        <v>75.430690127966372</v>
      </c>
      <c r="FB184" s="121">
        <v>75.460292846986491</v>
      </c>
      <c r="FC184" s="108">
        <v>75.169187769647309</v>
      </c>
      <c r="FD184" s="108">
        <v>74.911923036272327</v>
      </c>
      <c r="FE184" s="128">
        <v>74.744984698606416</v>
      </c>
      <c r="FF184" s="113">
        <v>74.84646884495379</v>
      </c>
      <c r="FG184" s="128">
        <v>75.062676757990417</v>
      </c>
      <c r="FH184" s="108">
        <v>74.987486198358013</v>
      </c>
      <c r="FI184" s="121">
        <v>75.008565237431483</v>
      </c>
      <c r="FJ184" s="111">
        <v>74.845424346932504</v>
      </c>
      <c r="FK184" s="111">
        <v>74.48788745193859</v>
      </c>
      <c r="FL184" s="111">
        <v>74.451315607234932</v>
      </c>
      <c r="FM184" s="111">
        <v>74.298008082043182</v>
      </c>
      <c r="FN184" s="111">
        <v>74.361418750306527</v>
      </c>
      <c r="FO184" s="111">
        <v>74.517671939513392</v>
      </c>
      <c r="FP184" s="111">
        <v>74.785861327691222</v>
      </c>
      <c r="FQ184" s="111">
        <v>75.005738181652305</v>
      </c>
      <c r="FR184" s="124">
        <v>74.811054593512594</v>
      </c>
      <c r="FS184" s="111"/>
      <c r="FT184" s="107"/>
      <c r="FU184" s="107"/>
      <c r="FV184" s="107"/>
      <c r="FW184" s="107"/>
      <c r="FX184" s="107"/>
      <c r="FY184" s="107"/>
      <c r="FZ184" s="107"/>
      <c r="GA184" s="107"/>
      <c r="GB184" s="107"/>
      <c r="GC184" s="107"/>
      <c r="GD184" s="107"/>
      <c r="GE184" s="107"/>
      <c r="GF184" s="107"/>
      <c r="GG184" s="160"/>
    </row>
    <row r="185" spans="2:189" x14ac:dyDescent="0.2">
      <c r="B185" s="97">
        <v>45627</v>
      </c>
      <c r="C185" s="111">
        <v>70.422667390858052</v>
      </c>
      <c r="D185" s="111">
        <v>70.621486151623998</v>
      </c>
      <c r="E185" s="111">
        <v>70.638593680386805</v>
      </c>
      <c r="F185" s="111">
        <v>70.705399556203304</v>
      </c>
      <c r="G185" s="111">
        <v>70.49040918716814</v>
      </c>
      <c r="H185" s="111">
        <v>70.338702077892592</v>
      </c>
      <c r="I185" s="111">
        <v>70.38984940855012</v>
      </c>
      <c r="J185" s="111">
        <v>70.468865143978903</v>
      </c>
      <c r="K185" s="111">
        <v>70.586396738483302</v>
      </c>
      <c r="L185" s="111">
        <v>70.546146885197274</v>
      </c>
      <c r="M185" s="111">
        <v>70.481744775577454</v>
      </c>
      <c r="N185" s="111">
        <v>70.512158476249269</v>
      </c>
      <c r="O185" s="111">
        <v>70.450461862802683</v>
      </c>
      <c r="P185" s="111">
        <v>70.219556850312301</v>
      </c>
      <c r="Q185" s="121">
        <v>70.196525401601832</v>
      </c>
      <c r="R185" s="121">
        <v>70.107073622921433</v>
      </c>
      <c r="S185" s="121">
        <v>70.146236836211258</v>
      </c>
      <c r="T185" s="121">
        <v>70.147571774895738</v>
      </c>
      <c r="U185" s="121">
        <v>70.221357223978373</v>
      </c>
      <c r="V185" s="121">
        <v>70.243626362562495</v>
      </c>
      <c r="W185" s="121">
        <v>70.3167041654836</v>
      </c>
      <c r="X185" s="121">
        <v>70.471220816728803</v>
      </c>
      <c r="Y185" s="121">
        <v>70.532643359737918</v>
      </c>
      <c r="Z185" s="121">
        <v>70.665562799369852</v>
      </c>
      <c r="AA185" s="121">
        <v>70.912690189188382</v>
      </c>
      <c r="AB185" s="121">
        <v>71.068921010496695</v>
      </c>
      <c r="AC185" s="121">
        <v>71.168042256635403</v>
      </c>
      <c r="AD185" s="121">
        <v>71.133962631343024</v>
      </c>
      <c r="AE185" s="121">
        <v>71.0745423121583</v>
      </c>
      <c r="AF185" s="121">
        <v>71.29134205301078</v>
      </c>
      <c r="AG185" s="121">
        <v>71.404676549747975</v>
      </c>
      <c r="AH185" s="121">
        <v>71.356223639788553</v>
      </c>
      <c r="AI185" s="121">
        <v>71.161906843076366</v>
      </c>
      <c r="AJ185" s="121">
        <v>71.178218789923918</v>
      </c>
      <c r="AK185" s="121">
        <v>71.236576737507576</v>
      </c>
      <c r="AL185" s="121">
        <v>71.201588417087152</v>
      </c>
      <c r="AM185" s="121">
        <v>71.327646584957122</v>
      </c>
      <c r="AN185" s="121">
        <v>71.479119392934436</v>
      </c>
      <c r="AO185" s="121">
        <v>71.503300098896929</v>
      </c>
      <c r="AP185" s="121">
        <v>71.647801313284404</v>
      </c>
      <c r="AQ185" s="121">
        <v>71.868294494125578</v>
      </c>
      <c r="AR185" s="121">
        <v>72.026336223410979</v>
      </c>
      <c r="AS185" s="121">
        <v>71.987289039381025</v>
      </c>
      <c r="AT185" s="121">
        <v>72.096325701774575</v>
      </c>
      <c r="AU185" s="121">
        <v>72.365171627820928</v>
      </c>
      <c r="AV185" s="121">
        <v>72.451961443091591</v>
      </c>
      <c r="AW185" s="121">
        <v>72.680892825773583</v>
      </c>
      <c r="AX185" s="121">
        <v>72.89321057258411</v>
      </c>
      <c r="AY185" s="121">
        <v>72.81970445205404</v>
      </c>
      <c r="AZ185" s="121">
        <v>72.77474493288787</v>
      </c>
      <c r="BA185" s="121">
        <v>72.962625630667688</v>
      </c>
      <c r="BB185" s="121">
        <v>73.030284715646275</v>
      </c>
      <c r="BC185" s="121">
        <v>72.993684241061786</v>
      </c>
      <c r="BD185" s="121">
        <v>72.978186635600451</v>
      </c>
      <c r="BE185" s="121">
        <v>73.187051722302471</v>
      </c>
      <c r="BF185" s="121">
        <v>73.280445520678938</v>
      </c>
      <c r="BG185" s="121">
        <v>73.414199644066244</v>
      </c>
      <c r="BH185" s="121">
        <v>73.416902401416522</v>
      </c>
      <c r="BI185" s="121">
        <v>73.413032729151055</v>
      </c>
      <c r="BJ185" s="121">
        <v>73.28680444812818</v>
      </c>
      <c r="BK185" s="121">
        <v>73.359661540267055</v>
      </c>
      <c r="BL185" s="121">
        <v>73.456454387769298</v>
      </c>
      <c r="BM185" s="121">
        <v>73.531106682048176</v>
      </c>
      <c r="BN185" s="121">
        <v>73.745283162697874</v>
      </c>
      <c r="BO185" s="121">
        <v>73.946637731395242</v>
      </c>
      <c r="BP185" s="121">
        <v>74.013075666251211</v>
      </c>
      <c r="BQ185" s="121">
        <v>74.074323054433052</v>
      </c>
      <c r="BR185" s="121">
        <v>74.048943542883066</v>
      </c>
      <c r="BS185" s="121">
        <v>74.097656289130612</v>
      </c>
      <c r="BT185" s="121">
        <v>74.089907358778959</v>
      </c>
      <c r="BU185" s="121">
        <v>74.144341386003916</v>
      </c>
      <c r="BV185" s="121">
        <v>74.307146322983968</v>
      </c>
      <c r="BW185" s="121">
        <v>74.365198974974561</v>
      </c>
      <c r="BX185" s="121">
        <v>74.450163648698833</v>
      </c>
      <c r="BY185" s="121">
        <v>74.429913780294825</v>
      </c>
      <c r="BZ185" s="121">
        <v>74.389813535938913</v>
      </c>
      <c r="CA185" s="121">
        <v>74.374880668256438</v>
      </c>
      <c r="CB185" s="121">
        <v>74.387710269042771</v>
      </c>
      <c r="CC185" s="121">
        <v>74.504793567301462</v>
      </c>
      <c r="CD185" s="121">
        <v>74.47386708448667</v>
      </c>
      <c r="CE185" s="121">
        <v>74.559559633452892</v>
      </c>
      <c r="CF185" s="121">
        <v>74.702375175215977</v>
      </c>
      <c r="CG185" s="121">
        <v>74.698896436993891</v>
      </c>
      <c r="CH185" s="121">
        <v>74.83906059523143</v>
      </c>
      <c r="CI185" s="121">
        <v>75.03206757979919</v>
      </c>
      <c r="CJ185" s="121">
        <v>75.189411585526116</v>
      </c>
      <c r="CK185" s="121">
        <v>75.060047722419725</v>
      </c>
      <c r="CL185" s="121">
        <v>74.925200866042658</v>
      </c>
      <c r="CM185" s="121">
        <v>74.990045291172791</v>
      </c>
      <c r="CN185" s="121">
        <v>75.246698491496659</v>
      </c>
      <c r="CO185" s="121">
        <v>75.07991259979228</v>
      </c>
      <c r="CP185" s="121">
        <v>75.202629224127904</v>
      </c>
      <c r="CQ185" s="121">
        <v>75.270344353864701</v>
      </c>
      <c r="CR185" s="121">
        <v>75.450975054308188</v>
      </c>
      <c r="CS185" s="121">
        <v>75.47903385519183</v>
      </c>
      <c r="CT185" s="121">
        <v>75.512979847256091</v>
      </c>
      <c r="CU185" s="121">
        <v>75.425873025732528</v>
      </c>
      <c r="CV185" s="121">
        <v>75.391671878018542</v>
      </c>
      <c r="CW185" s="121">
        <v>75.426166134364706</v>
      </c>
      <c r="CX185" s="121">
        <v>75.417909341627677</v>
      </c>
      <c r="CY185" s="121">
        <v>75.57208095497343</v>
      </c>
      <c r="CZ185" s="121">
        <v>75.616957871487529</v>
      </c>
      <c r="DA185" s="121">
        <v>75.684935450946185</v>
      </c>
      <c r="DB185" s="121">
        <v>75.952764090465436</v>
      </c>
      <c r="DC185" s="121">
        <v>75.970441265998801</v>
      </c>
      <c r="DD185" s="121">
        <v>75.896574838390109</v>
      </c>
      <c r="DE185" s="121">
        <v>76.005450690961553</v>
      </c>
      <c r="DF185" s="121">
        <v>76.003529071805914</v>
      </c>
      <c r="DG185" s="121">
        <v>76.092420445522819</v>
      </c>
      <c r="DH185" s="121">
        <v>76.048378455813832</v>
      </c>
      <c r="DI185" s="121">
        <v>75.927246693412926</v>
      </c>
      <c r="DJ185" s="121">
        <v>76.004498900474587</v>
      </c>
      <c r="DK185" s="121">
        <v>76.035534079683814</v>
      </c>
      <c r="DL185" s="121">
        <v>76.220056183042715</v>
      </c>
      <c r="DM185" s="121">
        <v>76.375051155014162</v>
      </c>
      <c r="DN185" s="121">
        <v>76.37824381093094</v>
      </c>
      <c r="DO185" s="121">
        <v>76.487425977184017</v>
      </c>
      <c r="DP185" s="121">
        <v>75.919740087243255</v>
      </c>
      <c r="DQ185" s="121">
        <v>75.659182975569124</v>
      </c>
      <c r="DR185" s="121">
        <v>75.512308846552514</v>
      </c>
      <c r="DS185" s="121">
        <v>75.427300538895466</v>
      </c>
      <c r="DT185" s="121">
        <v>75.261204184812627</v>
      </c>
      <c r="DU185" s="121">
        <v>74.988932212469535</v>
      </c>
      <c r="DV185" s="121">
        <v>74.592237638348323</v>
      </c>
      <c r="DW185" s="121">
        <v>74.451305975879549</v>
      </c>
      <c r="DX185" s="121">
        <v>74.515890637705027</v>
      </c>
      <c r="DY185" s="121">
        <v>74.314191753235406</v>
      </c>
      <c r="DZ185" s="121">
        <v>74.327203600747609</v>
      </c>
      <c r="EA185" s="121">
        <v>74.499317034611863</v>
      </c>
      <c r="EB185" s="121">
        <v>74.409686541988236</v>
      </c>
      <c r="EC185" s="121">
        <v>74.426246554949316</v>
      </c>
      <c r="ED185" s="121">
        <v>74.485160714812949</v>
      </c>
      <c r="EE185" s="121">
        <v>74.738729095873197</v>
      </c>
      <c r="EF185" s="121">
        <v>74.836053178038</v>
      </c>
      <c r="EG185" s="121">
        <v>74.933061785031967</v>
      </c>
      <c r="EH185" s="121">
        <v>75.023070594935263</v>
      </c>
      <c r="EI185" s="121">
        <v>74.978825594159673</v>
      </c>
      <c r="EJ185" s="121">
        <v>74.9899137816669</v>
      </c>
      <c r="EK185" s="121">
        <v>75.052167371272688</v>
      </c>
      <c r="EL185" s="128">
        <v>75.047799843276593</v>
      </c>
      <c r="EM185" s="108">
        <v>75.039552473903299</v>
      </c>
      <c r="EN185" s="128">
        <v>75.098842530075416</v>
      </c>
      <c r="EO185" s="128">
        <v>75.158398410065658</v>
      </c>
      <c r="EP185" s="121">
        <v>75.417861420773264</v>
      </c>
      <c r="EQ185" s="128">
        <v>75.08293510867378</v>
      </c>
      <c r="ER185" s="128">
        <v>74.965191917338018</v>
      </c>
      <c r="ES185" s="108">
        <v>75.036277745068531</v>
      </c>
      <c r="ET185" s="108">
        <v>74.921079478398809</v>
      </c>
      <c r="EU185" s="108">
        <v>75.009996084717685</v>
      </c>
      <c r="EV185" s="121">
        <v>75.007150903798902</v>
      </c>
      <c r="EW185" s="111">
        <v>75.131316908888991</v>
      </c>
      <c r="EX185" s="108">
        <v>75.17265338892453</v>
      </c>
      <c r="EY185" s="108">
        <v>75.155842596841055</v>
      </c>
      <c r="EZ185" s="121">
        <v>75.273948926405581</v>
      </c>
      <c r="FA185" s="108">
        <v>75.478018622217959</v>
      </c>
      <c r="FB185" s="121">
        <v>75.467076775264402</v>
      </c>
      <c r="FC185" s="108">
        <v>75.218319536057862</v>
      </c>
      <c r="FD185" s="108">
        <v>74.926810551228101</v>
      </c>
      <c r="FE185" s="128">
        <v>74.681642337545952</v>
      </c>
      <c r="FF185" s="108">
        <v>74.840552378337406</v>
      </c>
      <c r="FG185" s="135">
        <v>74.86939463786932</v>
      </c>
      <c r="FH185" s="108">
        <v>74.85616426701057</v>
      </c>
      <c r="FI185" s="121">
        <v>74.849990215909997</v>
      </c>
      <c r="FJ185" s="111">
        <v>74.67449343310804</v>
      </c>
      <c r="FK185" s="111">
        <v>74.566705404558036</v>
      </c>
      <c r="FL185" s="111">
        <v>74.486831739252281</v>
      </c>
      <c r="FM185" s="111">
        <v>74.400076872432962</v>
      </c>
      <c r="FN185" s="111">
        <v>74.431289952911314</v>
      </c>
      <c r="FO185" s="111">
        <v>74.596510219458651</v>
      </c>
      <c r="FP185" s="111">
        <v>74.740362243639055</v>
      </c>
      <c r="FQ185" s="111">
        <v>74.976509342650942</v>
      </c>
      <c r="FR185" s="111">
        <v>74.88626391192436</v>
      </c>
      <c r="FS185" s="124">
        <v>74.889152678481949</v>
      </c>
      <c r="FT185" s="111"/>
      <c r="FU185" s="107"/>
      <c r="FV185" s="107"/>
      <c r="FW185" s="107"/>
      <c r="FX185" s="107"/>
      <c r="FY185" s="107"/>
      <c r="FZ185" s="107"/>
      <c r="GA185" s="107"/>
      <c r="GB185" s="107"/>
      <c r="GC185" s="107"/>
      <c r="GD185" s="107"/>
      <c r="GE185" s="107"/>
      <c r="GF185" s="107"/>
      <c r="GG185" s="160"/>
    </row>
    <row r="186" spans="2:189" x14ac:dyDescent="0.2">
      <c r="B186" s="97">
        <v>45658</v>
      </c>
      <c r="C186" s="111">
        <v>70.422667390858052</v>
      </c>
      <c r="D186" s="111">
        <v>70.621486151623998</v>
      </c>
      <c r="E186" s="111">
        <v>70.638593680386805</v>
      </c>
      <c r="F186" s="111">
        <v>70.705399556203304</v>
      </c>
      <c r="G186" s="111">
        <v>70.49040918716814</v>
      </c>
      <c r="H186" s="111">
        <v>70.338702077892592</v>
      </c>
      <c r="I186" s="111">
        <v>70.38984940855012</v>
      </c>
      <c r="J186" s="111">
        <v>70.468865143978903</v>
      </c>
      <c r="K186" s="111">
        <v>70.586396738483302</v>
      </c>
      <c r="L186" s="111">
        <v>70.546146885197274</v>
      </c>
      <c r="M186" s="111">
        <v>70.481744775577454</v>
      </c>
      <c r="N186" s="111">
        <v>70.512158476249269</v>
      </c>
      <c r="O186" s="111">
        <v>70.450461862802683</v>
      </c>
      <c r="P186" s="111">
        <v>70.219556850312301</v>
      </c>
      <c r="Q186" s="121">
        <v>70.196525401601832</v>
      </c>
      <c r="R186" s="121">
        <v>70.107073622921433</v>
      </c>
      <c r="S186" s="121">
        <v>70.146236836211258</v>
      </c>
      <c r="T186" s="121">
        <v>70.147571774895738</v>
      </c>
      <c r="U186" s="121">
        <v>70.221357223978373</v>
      </c>
      <c r="V186" s="121">
        <v>70.243626362562495</v>
      </c>
      <c r="W186" s="121">
        <v>70.3167041654836</v>
      </c>
      <c r="X186" s="121">
        <v>70.471220816728803</v>
      </c>
      <c r="Y186" s="121">
        <v>70.532643359737918</v>
      </c>
      <c r="Z186" s="121">
        <v>70.665562799369852</v>
      </c>
      <c r="AA186" s="121">
        <v>70.912690189188382</v>
      </c>
      <c r="AB186" s="121">
        <v>71.068921010496695</v>
      </c>
      <c r="AC186" s="121">
        <v>71.168042256635403</v>
      </c>
      <c r="AD186" s="121">
        <v>71.133962631343024</v>
      </c>
      <c r="AE186" s="121">
        <v>71.0745423121583</v>
      </c>
      <c r="AF186" s="121">
        <v>71.29134205301078</v>
      </c>
      <c r="AG186" s="121">
        <v>71.404676549747975</v>
      </c>
      <c r="AH186" s="121">
        <v>71.356223639788553</v>
      </c>
      <c r="AI186" s="121">
        <v>71.161906843076366</v>
      </c>
      <c r="AJ186" s="121">
        <v>71.178218789923918</v>
      </c>
      <c r="AK186" s="121">
        <v>71.236576737507576</v>
      </c>
      <c r="AL186" s="121">
        <v>71.201588417087152</v>
      </c>
      <c r="AM186" s="121">
        <v>71.327646584957122</v>
      </c>
      <c r="AN186" s="121">
        <v>71.479119392934436</v>
      </c>
      <c r="AO186" s="121">
        <v>71.503300098896929</v>
      </c>
      <c r="AP186" s="121">
        <v>71.647801313284404</v>
      </c>
      <c r="AQ186" s="121">
        <v>71.868294494125578</v>
      </c>
      <c r="AR186" s="121">
        <v>72.026336223410979</v>
      </c>
      <c r="AS186" s="121">
        <v>71.987289039381025</v>
      </c>
      <c r="AT186" s="121">
        <v>72.096325701774575</v>
      </c>
      <c r="AU186" s="121">
        <v>72.365171627820928</v>
      </c>
      <c r="AV186" s="121">
        <v>72.451961443091591</v>
      </c>
      <c r="AW186" s="121">
        <v>72.680892825773583</v>
      </c>
      <c r="AX186" s="121">
        <v>72.89321057258411</v>
      </c>
      <c r="AY186" s="121">
        <v>72.81970445205404</v>
      </c>
      <c r="AZ186" s="121">
        <v>72.77474493288787</v>
      </c>
      <c r="BA186" s="121">
        <v>72.962625630667688</v>
      </c>
      <c r="BB186" s="121">
        <v>73.030284715646275</v>
      </c>
      <c r="BC186" s="121">
        <v>72.993684241061786</v>
      </c>
      <c r="BD186" s="121">
        <v>72.978186635600451</v>
      </c>
      <c r="BE186" s="121">
        <v>73.187051722302471</v>
      </c>
      <c r="BF186" s="121">
        <v>73.280445520678938</v>
      </c>
      <c r="BG186" s="121">
        <v>73.414199644066244</v>
      </c>
      <c r="BH186" s="121">
        <v>73.416902401416522</v>
      </c>
      <c r="BI186" s="121">
        <v>73.413032729151055</v>
      </c>
      <c r="BJ186" s="121">
        <v>73.28680444812818</v>
      </c>
      <c r="BK186" s="121">
        <v>73.359661540267055</v>
      </c>
      <c r="BL186" s="121">
        <v>73.456454387769298</v>
      </c>
      <c r="BM186" s="121">
        <v>73.531106682048176</v>
      </c>
      <c r="BN186" s="121">
        <v>73.745283162697874</v>
      </c>
      <c r="BO186" s="121">
        <v>73.946637731395242</v>
      </c>
      <c r="BP186" s="121">
        <v>74.013075666251211</v>
      </c>
      <c r="BQ186" s="121">
        <v>74.074323054433052</v>
      </c>
      <c r="BR186" s="121">
        <v>74.048943542883066</v>
      </c>
      <c r="BS186" s="121">
        <v>74.097656289130612</v>
      </c>
      <c r="BT186" s="121">
        <v>74.089907358778959</v>
      </c>
      <c r="BU186" s="121">
        <v>74.144341386003916</v>
      </c>
      <c r="BV186" s="121">
        <v>74.307146322983968</v>
      </c>
      <c r="BW186" s="121">
        <v>74.365198974974561</v>
      </c>
      <c r="BX186" s="121">
        <v>74.450163648698833</v>
      </c>
      <c r="BY186" s="121">
        <v>74.429913780294825</v>
      </c>
      <c r="BZ186" s="121">
        <v>74.389813535938913</v>
      </c>
      <c r="CA186" s="121">
        <v>74.374880668256438</v>
      </c>
      <c r="CB186" s="121">
        <v>74.387710269042771</v>
      </c>
      <c r="CC186" s="121">
        <v>74.504793567301462</v>
      </c>
      <c r="CD186" s="121">
        <v>74.47386708448667</v>
      </c>
      <c r="CE186" s="121">
        <v>74.559559633452892</v>
      </c>
      <c r="CF186" s="121">
        <v>74.702375175215977</v>
      </c>
      <c r="CG186" s="121">
        <v>74.698896436993891</v>
      </c>
      <c r="CH186" s="121">
        <v>74.83906059523143</v>
      </c>
      <c r="CI186" s="121">
        <v>75.03206757979919</v>
      </c>
      <c r="CJ186" s="121">
        <v>75.189411585526116</v>
      </c>
      <c r="CK186" s="121">
        <v>75.060047722419725</v>
      </c>
      <c r="CL186" s="121">
        <v>74.925200866042658</v>
      </c>
      <c r="CM186" s="121">
        <v>74.990045291172791</v>
      </c>
      <c r="CN186" s="121">
        <v>75.246698491496659</v>
      </c>
      <c r="CO186" s="121">
        <v>75.07991259979228</v>
      </c>
      <c r="CP186" s="121">
        <v>75.202629224127904</v>
      </c>
      <c r="CQ186" s="121">
        <v>75.270344353864701</v>
      </c>
      <c r="CR186" s="121">
        <v>75.450975054308188</v>
      </c>
      <c r="CS186" s="121">
        <v>75.47903385519183</v>
      </c>
      <c r="CT186" s="121">
        <v>75.512979847256091</v>
      </c>
      <c r="CU186" s="121">
        <v>75.425873025732528</v>
      </c>
      <c r="CV186" s="121">
        <v>75.391671878018542</v>
      </c>
      <c r="CW186" s="121">
        <v>75.426166134364706</v>
      </c>
      <c r="CX186" s="121">
        <v>75.417909341627677</v>
      </c>
      <c r="CY186" s="121">
        <v>75.57208095497343</v>
      </c>
      <c r="CZ186" s="121">
        <v>75.616957871487529</v>
      </c>
      <c r="DA186" s="121">
        <v>75.684935450946185</v>
      </c>
      <c r="DB186" s="121">
        <v>75.952764090465436</v>
      </c>
      <c r="DC186" s="121">
        <v>75.970441265998801</v>
      </c>
      <c r="DD186" s="121">
        <v>75.896574838390109</v>
      </c>
      <c r="DE186" s="121">
        <v>76.005450690961553</v>
      </c>
      <c r="DF186" s="121">
        <v>76.003529071805914</v>
      </c>
      <c r="DG186" s="121">
        <v>76.092420445522819</v>
      </c>
      <c r="DH186" s="121">
        <v>76.048378455813832</v>
      </c>
      <c r="DI186" s="121">
        <v>75.927246693412926</v>
      </c>
      <c r="DJ186" s="121">
        <v>76.004498900474587</v>
      </c>
      <c r="DK186" s="121">
        <v>76.035534079683814</v>
      </c>
      <c r="DL186" s="121">
        <v>76.220056183042715</v>
      </c>
      <c r="DM186" s="121">
        <v>76.375051155014162</v>
      </c>
      <c r="DN186" s="121">
        <v>76.37824381093094</v>
      </c>
      <c r="DO186" s="121">
        <v>76.487425977184017</v>
      </c>
      <c r="DP186" s="121">
        <v>75.919740087243255</v>
      </c>
      <c r="DQ186" s="121">
        <v>75.659182975569124</v>
      </c>
      <c r="DR186" s="121">
        <v>75.512308846552514</v>
      </c>
      <c r="DS186" s="121">
        <v>75.427300538895466</v>
      </c>
      <c r="DT186" s="121">
        <v>75.261204184812627</v>
      </c>
      <c r="DU186" s="121">
        <v>74.988932212469535</v>
      </c>
      <c r="DV186" s="121">
        <v>74.592237638348323</v>
      </c>
      <c r="DW186" s="121">
        <v>74.451305975879549</v>
      </c>
      <c r="DX186" s="121">
        <v>74.515890637705027</v>
      </c>
      <c r="DY186" s="121">
        <v>74.314191753235406</v>
      </c>
      <c r="DZ186" s="121">
        <v>74.327203600747609</v>
      </c>
      <c r="EA186" s="121">
        <v>74.499317034611863</v>
      </c>
      <c r="EB186" s="121">
        <v>74.409686541988236</v>
      </c>
      <c r="EC186" s="121">
        <v>74.426246554949316</v>
      </c>
      <c r="ED186" s="121">
        <v>74.485160714812949</v>
      </c>
      <c r="EE186" s="121">
        <v>74.738729095873197</v>
      </c>
      <c r="EF186" s="121">
        <v>74.836053178038</v>
      </c>
      <c r="EG186" s="121">
        <v>74.933061785031967</v>
      </c>
      <c r="EH186" s="121">
        <v>75.023070594935263</v>
      </c>
      <c r="EI186" s="121">
        <v>74.978825594159673</v>
      </c>
      <c r="EJ186" s="121">
        <v>74.9899137816669</v>
      </c>
      <c r="EK186" s="121">
        <v>75.052167371272688</v>
      </c>
      <c r="EL186" s="128">
        <v>75.047799843276593</v>
      </c>
      <c r="EM186" s="108">
        <v>75.039552473903299</v>
      </c>
      <c r="EN186" s="128">
        <v>75.098842530075416</v>
      </c>
      <c r="EO186" s="128">
        <v>75.158398410065658</v>
      </c>
      <c r="EP186" s="121">
        <v>75.417861420773264</v>
      </c>
      <c r="EQ186" s="128">
        <v>75.08293510867378</v>
      </c>
      <c r="ER186" s="128">
        <v>74.965191917338018</v>
      </c>
      <c r="ES186" s="108">
        <v>75.036277745068531</v>
      </c>
      <c r="ET186" s="108">
        <v>74.921079478398809</v>
      </c>
      <c r="EU186" s="108">
        <v>75.009996084717685</v>
      </c>
      <c r="EV186" s="121">
        <v>75.007150903798902</v>
      </c>
      <c r="EW186" s="111">
        <v>75.131316908888991</v>
      </c>
      <c r="EX186" s="108">
        <v>75.17265338892453</v>
      </c>
      <c r="EY186" s="108">
        <v>75.155842596841055</v>
      </c>
      <c r="EZ186" s="121">
        <v>75.273948926405581</v>
      </c>
      <c r="FA186" s="108">
        <v>75.478018622217959</v>
      </c>
      <c r="FB186" s="121">
        <v>75.467076775264402</v>
      </c>
      <c r="FC186" s="108">
        <v>75.218319536057862</v>
      </c>
      <c r="FD186" s="108">
        <v>74.926810551228101</v>
      </c>
      <c r="FE186" s="128">
        <v>74.681642337545952</v>
      </c>
      <c r="FF186" s="108">
        <v>74.840552378337406</v>
      </c>
      <c r="FG186" s="128">
        <v>74.86939463786932</v>
      </c>
      <c r="FH186" s="113">
        <v>74.85616426701057</v>
      </c>
      <c r="FI186" s="121">
        <v>74.849990215909997</v>
      </c>
      <c r="FJ186" s="111">
        <v>74.67449343310804</v>
      </c>
      <c r="FK186" s="111">
        <v>74.566705404558036</v>
      </c>
      <c r="FL186" s="111">
        <v>74.486831739252281</v>
      </c>
      <c r="FM186" s="111">
        <v>74.400076872432962</v>
      </c>
      <c r="FN186" s="111">
        <v>74.431289952911314</v>
      </c>
      <c r="FO186" s="111">
        <v>74.596510219458651</v>
      </c>
      <c r="FP186" s="111">
        <v>74.740362243639055</v>
      </c>
      <c r="FQ186" s="111">
        <v>74.976509342650942</v>
      </c>
      <c r="FR186" s="111">
        <v>74.88626391192436</v>
      </c>
      <c r="FS186" s="111">
        <v>74.889152678481949</v>
      </c>
      <c r="FT186" s="124">
        <v>74.841084069870902</v>
      </c>
      <c r="FU186" s="111"/>
      <c r="FV186" s="107"/>
      <c r="FW186" s="107"/>
      <c r="FX186" s="107"/>
      <c r="FY186" s="107"/>
      <c r="FZ186" s="107"/>
      <c r="GA186" s="107"/>
      <c r="GB186" s="107"/>
      <c r="GC186" s="107"/>
      <c r="GD186" s="107"/>
      <c r="GE186" s="107"/>
      <c r="GF186" s="107"/>
      <c r="GG186" s="160"/>
    </row>
    <row r="187" spans="2:189" x14ac:dyDescent="0.2">
      <c r="B187" s="97">
        <v>45689</v>
      </c>
      <c r="C187" s="111">
        <v>70.422667390858052</v>
      </c>
      <c r="D187" s="111">
        <v>70.621486151623998</v>
      </c>
      <c r="E187" s="111">
        <v>70.638593680386805</v>
      </c>
      <c r="F187" s="111">
        <v>70.705399556203304</v>
      </c>
      <c r="G187" s="111">
        <v>70.49040918716814</v>
      </c>
      <c r="H187" s="111">
        <v>70.338702077892592</v>
      </c>
      <c r="I187" s="111">
        <v>70.38984940855012</v>
      </c>
      <c r="J187" s="111">
        <v>70.468865143978903</v>
      </c>
      <c r="K187" s="111">
        <v>70.586396738483302</v>
      </c>
      <c r="L187" s="111">
        <v>70.546146885197274</v>
      </c>
      <c r="M187" s="111">
        <v>70.481744775577454</v>
      </c>
      <c r="N187" s="111">
        <v>70.512158476249269</v>
      </c>
      <c r="O187" s="111">
        <v>70.450461862802683</v>
      </c>
      <c r="P187" s="111">
        <v>70.219556850312301</v>
      </c>
      <c r="Q187" s="121">
        <v>70.196525401601832</v>
      </c>
      <c r="R187" s="121">
        <v>70.107073622921433</v>
      </c>
      <c r="S187" s="121">
        <v>70.146236836211258</v>
      </c>
      <c r="T187" s="121">
        <v>70.147571774895738</v>
      </c>
      <c r="U187" s="121">
        <v>70.221357223978373</v>
      </c>
      <c r="V187" s="121">
        <v>70.243626362562495</v>
      </c>
      <c r="W187" s="121">
        <v>70.3167041654836</v>
      </c>
      <c r="X187" s="121">
        <v>70.471220816728803</v>
      </c>
      <c r="Y187" s="121">
        <v>70.532643359737918</v>
      </c>
      <c r="Z187" s="121">
        <v>70.665562799369852</v>
      </c>
      <c r="AA187" s="121">
        <v>70.912690189188382</v>
      </c>
      <c r="AB187" s="121">
        <v>71.068921010496695</v>
      </c>
      <c r="AC187" s="121">
        <v>71.168042256635403</v>
      </c>
      <c r="AD187" s="121">
        <v>71.133962631343024</v>
      </c>
      <c r="AE187" s="121">
        <v>71.0745423121583</v>
      </c>
      <c r="AF187" s="121">
        <v>71.29134205301078</v>
      </c>
      <c r="AG187" s="121">
        <v>71.404676549747975</v>
      </c>
      <c r="AH187" s="121">
        <v>71.356223639788553</v>
      </c>
      <c r="AI187" s="121">
        <v>71.161906843076366</v>
      </c>
      <c r="AJ187" s="121">
        <v>71.178218789923918</v>
      </c>
      <c r="AK187" s="121">
        <v>71.236576737507576</v>
      </c>
      <c r="AL187" s="121">
        <v>71.201588417087152</v>
      </c>
      <c r="AM187" s="121">
        <v>71.327646584957122</v>
      </c>
      <c r="AN187" s="121">
        <v>71.479119392934436</v>
      </c>
      <c r="AO187" s="121">
        <v>71.503300098896929</v>
      </c>
      <c r="AP187" s="121">
        <v>71.647801313284404</v>
      </c>
      <c r="AQ187" s="121">
        <v>71.868294494125578</v>
      </c>
      <c r="AR187" s="121">
        <v>72.026336223410979</v>
      </c>
      <c r="AS187" s="121">
        <v>71.987289039381025</v>
      </c>
      <c r="AT187" s="121">
        <v>72.096325701774575</v>
      </c>
      <c r="AU187" s="121">
        <v>72.365171627820928</v>
      </c>
      <c r="AV187" s="121">
        <v>72.451961443091591</v>
      </c>
      <c r="AW187" s="121">
        <v>72.680892825773583</v>
      </c>
      <c r="AX187" s="121">
        <v>72.89321057258411</v>
      </c>
      <c r="AY187" s="121">
        <v>72.81970445205404</v>
      </c>
      <c r="AZ187" s="121">
        <v>72.77474493288787</v>
      </c>
      <c r="BA187" s="121">
        <v>72.962625630667688</v>
      </c>
      <c r="BB187" s="121">
        <v>73.030284715646275</v>
      </c>
      <c r="BC187" s="121">
        <v>72.993684241061786</v>
      </c>
      <c r="BD187" s="121">
        <v>72.978186635600451</v>
      </c>
      <c r="BE187" s="121">
        <v>73.187051722302471</v>
      </c>
      <c r="BF187" s="121">
        <v>73.280445520678938</v>
      </c>
      <c r="BG187" s="121">
        <v>73.414199644066244</v>
      </c>
      <c r="BH187" s="121">
        <v>73.416902401416522</v>
      </c>
      <c r="BI187" s="121">
        <v>73.413032729151055</v>
      </c>
      <c r="BJ187" s="121">
        <v>73.28680444812818</v>
      </c>
      <c r="BK187" s="121">
        <v>73.359661540267055</v>
      </c>
      <c r="BL187" s="121">
        <v>73.456454387769298</v>
      </c>
      <c r="BM187" s="121">
        <v>73.531106682048176</v>
      </c>
      <c r="BN187" s="121">
        <v>73.745283162697874</v>
      </c>
      <c r="BO187" s="121">
        <v>73.946637731395242</v>
      </c>
      <c r="BP187" s="121">
        <v>74.013075666251211</v>
      </c>
      <c r="BQ187" s="121">
        <v>74.074323054433052</v>
      </c>
      <c r="BR187" s="121">
        <v>74.048943542883066</v>
      </c>
      <c r="BS187" s="121">
        <v>74.097656289130612</v>
      </c>
      <c r="BT187" s="121">
        <v>74.089907358778959</v>
      </c>
      <c r="BU187" s="121">
        <v>74.144341386003916</v>
      </c>
      <c r="BV187" s="121">
        <v>74.307146322983968</v>
      </c>
      <c r="BW187" s="121">
        <v>74.365198974974561</v>
      </c>
      <c r="BX187" s="121">
        <v>74.450163648698833</v>
      </c>
      <c r="BY187" s="121">
        <v>74.429913780294825</v>
      </c>
      <c r="BZ187" s="121">
        <v>74.389813535938913</v>
      </c>
      <c r="CA187" s="121">
        <v>74.374880668256438</v>
      </c>
      <c r="CB187" s="121">
        <v>74.387710269042771</v>
      </c>
      <c r="CC187" s="121">
        <v>74.504793567301462</v>
      </c>
      <c r="CD187" s="121">
        <v>74.47386708448667</v>
      </c>
      <c r="CE187" s="121">
        <v>74.559559633452892</v>
      </c>
      <c r="CF187" s="121">
        <v>74.702375175215977</v>
      </c>
      <c r="CG187" s="121">
        <v>74.698896436993891</v>
      </c>
      <c r="CH187" s="121">
        <v>74.83906059523143</v>
      </c>
      <c r="CI187" s="121">
        <v>75.03206757979919</v>
      </c>
      <c r="CJ187" s="121">
        <v>75.189411585526116</v>
      </c>
      <c r="CK187" s="121">
        <v>75.060047722419725</v>
      </c>
      <c r="CL187" s="121">
        <v>74.925200866042658</v>
      </c>
      <c r="CM187" s="121">
        <v>74.990045291172791</v>
      </c>
      <c r="CN187" s="121">
        <v>75.246698491496659</v>
      </c>
      <c r="CO187" s="121">
        <v>75.07991259979228</v>
      </c>
      <c r="CP187" s="121">
        <v>75.202629224127904</v>
      </c>
      <c r="CQ187" s="121">
        <v>75.270344353864701</v>
      </c>
      <c r="CR187" s="121">
        <v>75.450975054308188</v>
      </c>
      <c r="CS187" s="121">
        <v>75.47903385519183</v>
      </c>
      <c r="CT187" s="121">
        <v>75.512979847256091</v>
      </c>
      <c r="CU187" s="121">
        <v>75.425873025732528</v>
      </c>
      <c r="CV187" s="121">
        <v>75.391671878018542</v>
      </c>
      <c r="CW187" s="121">
        <v>75.426166134364706</v>
      </c>
      <c r="CX187" s="121">
        <v>75.417909341627677</v>
      </c>
      <c r="CY187" s="121">
        <v>75.57208095497343</v>
      </c>
      <c r="CZ187" s="121">
        <v>75.616957871487529</v>
      </c>
      <c r="DA187" s="121">
        <v>75.684935450946185</v>
      </c>
      <c r="DB187" s="121">
        <v>75.952764090465436</v>
      </c>
      <c r="DC187" s="121">
        <v>75.970441265998801</v>
      </c>
      <c r="DD187" s="121">
        <v>75.896574838390109</v>
      </c>
      <c r="DE187" s="121">
        <v>76.005450690961553</v>
      </c>
      <c r="DF187" s="121">
        <v>76.003529071805914</v>
      </c>
      <c r="DG187" s="121">
        <v>76.092420445522819</v>
      </c>
      <c r="DH187" s="121">
        <v>76.048378455813832</v>
      </c>
      <c r="DI187" s="121">
        <v>75.927246693412926</v>
      </c>
      <c r="DJ187" s="121">
        <v>76.004498900474587</v>
      </c>
      <c r="DK187" s="121">
        <v>76.035534079683814</v>
      </c>
      <c r="DL187" s="121">
        <v>76.220056183042715</v>
      </c>
      <c r="DM187" s="121">
        <v>76.375051155014162</v>
      </c>
      <c r="DN187" s="121">
        <v>76.37824381093094</v>
      </c>
      <c r="DO187" s="121">
        <v>76.487425977184017</v>
      </c>
      <c r="DP187" s="121">
        <v>75.919740087243255</v>
      </c>
      <c r="DQ187" s="121">
        <v>75.659182975569124</v>
      </c>
      <c r="DR187" s="121">
        <v>75.512308846552514</v>
      </c>
      <c r="DS187" s="121">
        <v>75.427300538895466</v>
      </c>
      <c r="DT187" s="121">
        <v>75.261204184812627</v>
      </c>
      <c r="DU187" s="121">
        <v>74.988932212469535</v>
      </c>
      <c r="DV187" s="121">
        <v>74.592237638348323</v>
      </c>
      <c r="DW187" s="121">
        <v>74.451305975879549</v>
      </c>
      <c r="DX187" s="121">
        <v>74.515890637705027</v>
      </c>
      <c r="DY187" s="121">
        <v>74.314191753235406</v>
      </c>
      <c r="DZ187" s="121">
        <v>74.327203600747609</v>
      </c>
      <c r="EA187" s="121">
        <v>74.499317034611863</v>
      </c>
      <c r="EB187" s="121">
        <v>74.409686541988236</v>
      </c>
      <c r="EC187" s="121">
        <v>74.426246554949316</v>
      </c>
      <c r="ED187" s="121">
        <v>74.485160714812949</v>
      </c>
      <c r="EE187" s="121">
        <v>74.738729095873197</v>
      </c>
      <c r="EF187" s="121">
        <v>74.836053178038</v>
      </c>
      <c r="EG187" s="121">
        <v>74.933061785031967</v>
      </c>
      <c r="EH187" s="121">
        <v>75.023070594935263</v>
      </c>
      <c r="EI187" s="121">
        <v>74.978825594159673</v>
      </c>
      <c r="EJ187" s="121">
        <v>74.9899137816669</v>
      </c>
      <c r="EK187" s="121">
        <v>75.052167371272688</v>
      </c>
      <c r="EL187" s="128">
        <v>75.047799843276593</v>
      </c>
      <c r="EM187" s="108">
        <v>75.039552473903299</v>
      </c>
      <c r="EN187" s="128">
        <v>75.098842530075416</v>
      </c>
      <c r="EO187" s="128">
        <v>75.158398410065658</v>
      </c>
      <c r="EP187" s="121">
        <v>75.417861420773264</v>
      </c>
      <c r="EQ187" s="128">
        <v>75.08293510867378</v>
      </c>
      <c r="ER187" s="128">
        <v>74.965191917338018</v>
      </c>
      <c r="ES187" s="108">
        <v>75.036277745068531</v>
      </c>
      <c r="ET187" s="108">
        <v>74.921079478398809</v>
      </c>
      <c r="EU187" s="108">
        <v>75.009996084717685</v>
      </c>
      <c r="EV187" s="121">
        <v>75.007150903798902</v>
      </c>
      <c r="EW187" s="111">
        <v>75.131316908888991</v>
      </c>
      <c r="EX187" s="108">
        <v>75.17265338892453</v>
      </c>
      <c r="EY187" s="108">
        <v>75.155842596841055</v>
      </c>
      <c r="EZ187" s="121">
        <v>75.273948926405581</v>
      </c>
      <c r="FA187" s="108">
        <v>75.478018622217959</v>
      </c>
      <c r="FB187" s="121">
        <v>75.467076775264402</v>
      </c>
      <c r="FC187" s="108">
        <v>75.218319536057862</v>
      </c>
      <c r="FD187" s="108">
        <v>74.926810551228101</v>
      </c>
      <c r="FE187" s="128">
        <v>74.681642337545952</v>
      </c>
      <c r="FF187" s="108">
        <v>74.840552378337406</v>
      </c>
      <c r="FG187" s="128">
        <v>74.86939463786932</v>
      </c>
      <c r="FH187" s="108">
        <v>74.85616426701057</v>
      </c>
      <c r="FI187" s="141">
        <v>74.849990215909997</v>
      </c>
      <c r="FJ187" s="111">
        <v>74.67449343310804</v>
      </c>
      <c r="FK187" s="111">
        <v>74.566705404558036</v>
      </c>
      <c r="FL187" s="111">
        <v>74.486831739252281</v>
      </c>
      <c r="FM187" s="111">
        <v>74.400076872432962</v>
      </c>
      <c r="FN187" s="111">
        <v>74.431289952911314</v>
      </c>
      <c r="FO187" s="111">
        <v>74.596510219458651</v>
      </c>
      <c r="FP187" s="111">
        <v>74.740362243639055</v>
      </c>
      <c r="FQ187" s="111">
        <v>74.976509342650942</v>
      </c>
      <c r="FR187" s="111">
        <v>74.88626391192436</v>
      </c>
      <c r="FS187" s="111">
        <v>74.889152678481949</v>
      </c>
      <c r="FT187" s="111">
        <v>74.841084069870902</v>
      </c>
      <c r="FU187" s="124">
        <v>74.938223133424088</v>
      </c>
      <c r="FV187" s="111"/>
      <c r="FW187" s="107"/>
      <c r="FX187" s="107"/>
      <c r="FY187" s="107"/>
      <c r="FZ187" s="107"/>
      <c r="GA187" s="107"/>
      <c r="GB187" s="107"/>
      <c r="GC187" s="107"/>
      <c r="GD187" s="107"/>
      <c r="GE187" s="107"/>
      <c r="GF187" s="107"/>
      <c r="GG187" s="160"/>
    </row>
    <row r="188" spans="2:189" x14ac:dyDescent="0.2">
      <c r="B188" s="97">
        <v>45717</v>
      </c>
      <c r="C188" s="111">
        <v>70.422667390858052</v>
      </c>
      <c r="D188" s="111">
        <v>70.621486151623998</v>
      </c>
      <c r="E188" s="111">
        <v>70.638593680386805</v>
      </c>
      <c r="F188" s="111">
        <v>70.705399556203304</v>
      </c>
      <c r="G188" s="111">
        <v>70.49040918716814</v>
      </c>
      <c r="H188" s="111">
        <v>70.338702077892592</v>
      </c>
      <c r="I188" s="111">
        <v>70.38984940855012</v>
      </c>
      <c r="J188" s="111">
        <v>70.468865143978903</v>
      </c>
      <c r="K188" s="111">
        <v>70.586396738483302</v>
      </c>
      <c r="L188" s="111">
        <v>70.546146885197274</v>
      </c>
      <c r="M188" s="111">
        <v>70.481744775577454</v>
      </c>
      <c r="N188" s="111">
        <v>70.512158476249269</v>
      </c>
      <c r="O188" s="111">
        <v>70.450461862802683</v>
      </c>
      <c r="P188" s="111">
        <v>70.219556850312301</v>
      </c>
      <c r="Q188" s="121">
        <v>70.196525401601832</v>
      </c>
      <c r="R188" s="121">
        <v>70.107073622921433</v>
      </c>
      <c r="S188" s="121">
        <v>70.146236836211258</v>
      </c>
      <c r="T188" s="121">
        <v>70.147571774895738</v>
      </c>
      <c r="U188" s="121">
        <v>70.221357223978373</v>
      </c>
      <c r="V188" s="121">
        <v>70.243626362562495</v>
      </c>
      <c r="W188" s="121">
        <v>70.3167041654836</v>
      </c>
      <c r="X188" s="121">
        <v>70.471220816728803</v>
      </c>
      <c r="Y188" s="121">
        <v>70.532643359737918</v>
      </c>
      <c r="Z188" s="121">
        <v>70.665562799369852</v>
      </c>
      <c r="AA188" s="121">
        <v>70.912690189188382</v>
      </c>
      <c r="AB188" s="121">
        <v>71.068921010496695</v>
      </c>
      <c r="AC188" s="121">
        <v>71.168042256635403</v>
      </c>
      <c r="AD188" s="121">
        <v>71.133962631343024</v>
      </c>
      <c r="AE188" s="121">
        <v>71.0745423121583</v>
      </c>
      <c r="AF188" s="121">
        <v>71.29134205301078</v>
      </c>
      <c r="AG188" s="121">
        <v>71.404676549747975</v>
      </c>
      <c r="AH188" s="121">
        <v>71.356223639788553</v>
      </c>
      <c r="AI188" s="121">
        <v>71.161906843076366</v>
      </c>
      <c r="AJ188" s="121">
        <v>71.178218789923918</v>
      </c>
      <c r="AK188" s="121">
        <v>71.236576737507576</v>
      </c>
      <c r="AL188" s="121">
        <v>71.201588417087152</v>
      </c>
      <c r="AM188" s="121">
        <v>71.327646584957122</v>
      </c>
      <c r="AN188" s="121">
        <v>71.479119392934436</v>
      </c>
      <c r="AO188" s="121">
        <v>71.503300098896929</v>
      </c>
      <c r="AP188" s="121">
        <v>71.647801313284404</v>
      </c>
      <c r="AQ188" s="121">
        <v>71.868294494125578</v>
      </c>
      <c r="AR188" s="121">
        <v>72.026336223410979</v>
      </c>
      <c r="AS188" s="121">
        <v>71.987289039381025</v>
      </c>
      <c r="AT188" s="121">
        <v>72.096325701774575</v>
      </c>
      <c r="AU188" s="121">
        <v>72.365171627820928</v>
      </c>
      <c r="AV188" s="121">
        <v>72.451961443091591</v>
      </c>
      <c r="AW188" s="121">
        <v>72.680892825773583</v>
      </c>
      <c r="AX188" s="121">
        <v>72.89321057258411</v>
      </c>
      <c r="AY188" s="121">
        <v>72.81970445205404</v>
      </c>
      <c r="AZ188" s="121">
        <v>72.77474493288787</v>
      </c>
      <c r="BA188" s="121">
        <v>72.962625630667688</v>
      </c>
      <c r="BB188" s="121">
        <v>73.030284715646275</v>
      </c>
      <c r="BC188" s="121">
        <v>72.993684241061786</v>
      </c>
      <c r="BD188" s="121">
        <v>72.978186635600451</v>
      </c>
      <c r="BE188" s="121">
        <v>73.187051722302471</v>
      </c>
      <c r="BF188" s="121">
        <v>73.280445520678938</v>
      </c>
      <c r="BG188" s="121">
        <v>73.414199644066244</v>
      </c>
      <c r="BH188" s="121">
        <v>73.416902401416522</v>
      </c>
      <c r="BI188" s="121">
        <v>73.413032729151055</v>
      </c>
      <c r="BJ188" s="121">
        <v>73.28680444812818</v>
      </c>
      <c r="BK188" s="121">
        <v>73.359661540267055</v>
      </c>
      <c r="BL188" s="121">
        <v>73.456454387769298</v>
      </c>
      <c r="BM188" s="121">
        <v>73.531106682048176</v>
      </c>
      <c r="BN188" s="121">
        <v>73.745283162697874</v>
      </c>
      <c r="BO188" s="121">
        <v>73.946637731395242</v>
      </c>
      <c r="BP188" s="121">
        <v>74.013075666251211</v>
      </c>
      <c r="BQ188" s="121">
        <v>74.074323054433052</v>
      </c>
      <c r="BR188" s="121">
        <v>74.048943542883066</v>
      </c>
      <c r="BS188" s="121">
        <v>74.097656289130612</v>
      </c>
      <c r="BT188" s="121">
        <v>74.089907358778959</v>
      </c>
      <c r="BU188" s="121">
        <v>74.144341386003916</v>
      </c>
      <c r="BV188" s="121">
        <v>74.307146322983968</v>
      </c>
      <c r="BW188" s="121">
        <v>74.365198974974561</v>
      </c>
      <c r="BX188" s="121">
        <v>74.450163648698833</v>
      </c>
      <c r="BY188" s="121">
        <v>74.429913780294825</v>
      </c>
      <c r="BZ188" s="121">
        <v>74.389813535938913</v>
      </c>
      <c r="CA188" s="121">
        <v>74.374880668256438</v>
      </c>
      <c r="CB188" s="121">
        <v>74.387710269042771</v>
      </c>
      <c r="CC188" s="121">
        <v>74.504793567301462</v>
      </c>
      <c r="CD188" s="121">
        <v>74.47386708448667</v>
      </c>
      <c r="CE188" s="121">
        <v>74.559559633452892</v>
      </c>
      <c r="CF188" s="121">
        <v>74.702375175215977</v>
      </c>
      <c r="CG188" s="121">
        <v>74.698896436993891</v>
      </c>
      <c r="CH188" s="121">
        <v>74.83906059523143</v>
      </c>
      <c r="CI188" s="121">
        <v>75.03206757979919</v>
      </c>
      <c r="CJ188" s="121">
        <v>75.189411585526116</v>
      </c>
      <c r="CK188" s="121">
        <v>75.060047722419725</v>
      </c>
      <c r="CL188" s="121">
        <v>74.925200866042658</v>
      </c>
      <c r="CM188" s="121">
        <v>74.990045291172791</v>
      </c>
      <c r="CN188" s="121">
        <v>75.246698491496659</v>
      </c>
      <c r="CO188" s="121">
        <v>75.07991259979228</v>
      </c>
      <c r="CP188" s="121">
        <v>75.202629224127904</v>
      </c>
      <c r="CQ188" s="121">
        <v>75.270344353864701</v>
      </c>
      <c r="CR188" s="121">
        <v>75.450975054308188</v>
      </c>
      <c r="CS188" s="121">
        <v>75.47903385519183</v>
      </c>
      <c r="CT188" s="121">
        <v>75.512979847256091</v>
      </c>
      <c r="CU188" s="121">
        <v>75.425873025732528</v>
      </c>
      <c r="CV188" s="121">
        <v>75.391671878018542</v>
      </c>
      <c r="CW188" s="121">
        <v>75.426166134364706</v>
      </c>
      <c r="CX188" s="121">
        <v>75.417909341627677</v>
      </c>
      <c r="CY188" s="121">
        <v>75.57208095497343</v>
      </c>
      <c r="CZ188" s="121">
        <v>75.616957871487529</v>
      </c>
      <c r="DA188" s="121">
        <v>75.684935450946185</v>
      </c>
      <c r="DB188" s="121">
        <v>75.952764090465436</v>
      </c>
      <c r="DC188" s="121">
        <v>75.970441265998801</v>
      </c>
      <c r="DD188" s="121">
        <v>75.902745264837549</v>
      </c>
      <c r="DE188" s="121">
        <v>76.00805927935248</v>
      </c>
      <c r="DF188" s="121">
        <v>75.999809844361991</v>
      </c>
      <c r="DG188" s="121">
        <v>76.087779457665533</v>
      </c>
      <c r="DH188" s="121">
        <v>76.03963300798307</v>
      </c>
      <c r="DI188" s="121">
        <v>75.92364283869189</v>
      </c>
      <c r="DJ188" s="121">
        <v>76.00730194543705</v>
      </c>
      <c r="DK188" s="121">
        <v>76.038640543712816</v>
      </c>
      <c r="DL188" s="121">
        <v>76.218734498876088</v>
      </c>
      <c r="DM188" s="121">
        <v>76.378310518244135</v>
      </c>
      <c r="DN188" s="121">
        <v>76.378729942608558</v>
      </c>
      <c r="DO188" s="121">
        <v>76.490866736886744</v>
      </c>
      <c r="DP188" s="121">
        <v>75.928121847399737</v>
      </c>
      <c r="DQ188" s="121">
        <v>75.660802765847521</v>
      </c>
      <c r="DR188" s="121">
        <v>75.503952620635147</v>
      </c>
      <c r="DS188" s="121">
        <v>75.420195354028678</v>
      </c>
      <c r="DT188" s="121">
        <v>75.25116829575515</v>
      </c>
      <c r="DU188" s="121">
        <v>74.987927797240943</v>
      </c>
      <c r="DV188" s="121">
        <v>74.600905322323044</v>
      </c>
      <c r="DW188" s="121">
        <v>74.457238986191271</v>
      </c>
      <c r="DX188" s="121">
        <v>74.515761482935233</v>
      </c>
      <c r="DY188" s="121">
        <v>74.319784751389435</v>
      </c>
      <c r="DZ188" s="121">
        <v>74.323280083871026</v>
      </c>
      <c r="EA188" s="121">
        <v>74.500333436925231</v>
      </c>
      <c r="EB188" s="121">
        <v>74.419269291119079</v>
      </c>
      <c r="EC188" s="121">
        <v>74.426016580932227</v>
      </c>
      <c r="ED188" s="121">
        <v>74.470474315994608</v>
      </c>
      <c r="EE188" s="121">
        <v>74.727432239670151</v>
      </c>
      <c r="EF188" s="121">
        <v>74.824026864860855</v>
      </c>
      <c r="EG188" s="121">
        <v>74.935241841336349</v>
      </c>
      <c r="EH188" s="121">
        <v>75.046031217079573</v>
      </c>
      <c r="EI188" s="121">
        <v>74.986594009437624</v>
      </c>
      <c r="EJ188" s="121">
        <v>74.991310881628721</v>
      </c>
      <c r="EK188" s="121">
        <v>75.05785834596098</v>
      </c>
      <c r="EL188" s="128">
        <v>75.038850146241586</v>
      </c>
      <c r="EM188" s="108">
        <v>75.037549106051515</v>
      </c>
      <c r="EN188" s="128">
        <v>75.109352399520063</v>
      </c>
      <c r="EO188" s="128">
        <v>75.156947819909789</v>
      </c>
      <c r="EP188" s="121">
        <v>75.398738568094416</v>
      </c>
      <c r="EQ188" s="128">
        <v>75.066732683469567</v>
      </c>
      <c r="ER188" s="128">
        <v>74.950820544823742</v>
      </c>
      <c r="ES188" s="108">
        <v>75.041202135253656</v>
      </c>
      <c r="ET188" s="108">
        <v>74.956682829119671</v>
      </c>
      <c r="EU188" s="108">
        <v>75.02175481523166</v>
      </c>
      <c r="EV188" s="121">
        <v>75.010315927034171</v>
      </c>
      <c r="EW188" s="111">
        <v>75.136188250553531</v>
      </c>
      <c r="EX188" s="108">
        <v>75.16007543739542</v>
      </c>
      <c r="EY188" s="108">
        <v>75.15151207009346</v>
      </c>
      <c r="EZ188" s="121">
        <v>75.28328338883118</v>
      </c>
      <c r="FA188" s="108">
        <v>75.475189034810768</v>
      </c>
      <c r="FB188" s="121">
        <v>75.444497185838344</v>
      </c>
      <c r="FC188" s="108">
        <v>75.198419885391672</v>
      </c>
      <c r="FD188" s="108">
        <v>74.910496321384699</v>
      </c>
      <c r="FE188" s="128">
        <v>74.688656682486794</v>
      </c>
      <c r="FF188" s="108">
        <v>74.887733375994429</v>
      </c>
      <c r="FG188" s="128">
        <v>74.883157063576917</v>
      </c>
      <c r="FH188" s="108">
        <v>74.859895030498521</v>
      </c>
      <c r="FI188" s="121">
        <v>74.852974396274078</v>
      </c>
      <c r="FJ188" s="116">
        <v>74.659177279638797</v>
      </c>
      <c r="FK188" s="111">
        <v>74.55901190200197</v>
      </c>
      <c r="FL188" s="111">
        <v>74.495675414989066</v>
      </c>
      <c r="FM188" s="111">
        <v>74.396208533706854</v>
      </c>
      <c r="FN188" s="111">
        <v>74.407764323915487</v>
      </c>
      <c r="FO188" s="111">
        <v>74.574397057150151</v>
      </c>
      <c r="FP188" s="111">
        <v>74.722902674145047</v>
      </c>
      <c r="FQ188" s="111">
        <v>74.985703831661851</v>
      </c>
      <c r="FR188" s="111">
        <v>74.937975580477485</v>
      </c>
      <c r="FS188" s="111">
        <v>74.902472586787169</v>
      </c>
      <c r="FT188" s="111">
        <v>74.850934796288655</v>
      </c>
      <c r="FU188" s="111">
        <v>74.956007115185059</v>
      </c>
      <c r="FV188" s="124">
        <v>75.006017765513917</v>
      </c>
      <c r="FW188" s="111"/>
      <c r="FX188" s="107"/>
      <c r="FY188" s="107"/>
      <c r="FZ188" s="107"/>
      <c r="GA188" s="107"/>
      <c r="GB188" s="107"/>
      <c r="GC188" s="107"/>
      <c r="GD188" s="107"/>
      <c r="GE188" s="107"/>
      <c r="GF188" s="107"/>
      <c r="GG188" s="160"/>
    </row>
    <row r="189" spans="2:189" x14ac:dyDescent="0.2">
      <c r="B189" s="97">
        <v>45748</v>
      </c>
      <c r="C189" s="111">
        <v>70.422667390858052</v>
      </c>
      <c r="D189" s="111">
        <v>70.621486151623998</v>
      </c>
      <c r="E189" s="111">
        <v>70.638593680386805</v>
      </c>
      <c r="F189" s="111">
        <v>70.705399556203304</v>
      </c>
      <c r="G189" s="111">
        <v>70.49040918716814</v>
      </c>
      <c r="H189" s="111">
        <v>70.338702077892592</v>
      </c>
      <c r="I189" s="111">
        <v>70.38984940855012</v>
      </c>
      <c r="J189" s="111">
        <v>70.468865143978903</v>
      </c>
      <c r="K189" s="111">
        <v>70.586396738483302</v>
      </c>
      <c r="L189" s="111">
        <v>70.546146885197274</v>
      </c>
      <c r="M189" s="111">
        <v>70.481744775577454</v>
      </c>
      <c r="N189" s="111">
        <v>70.512158476249269</v>
      </c>
      <c r="O189" s="111">
        <v>70.450461862802683</v>
      </c>
      <c r="P189" s="111">
        <v>70.219556850312301</v>
      </c>
      <c r="Q189" s="121">
        <v>70.196525401601832</v>
      </c>
      <c r="R189" s="121">
        <v>70.107073622921433</v>
      </c>
      <c r="S189" s="121">
        <v>70.146236836211258</v>
      </c>
      <c r="T189" s="121">
        <v>70.147571774895738</v>
      </c>
      <c r="U189" s="121">
        <v>70.221357223978373</v>
      </c>
      <c r="V189" s="121">
        <v>70.243626362562495</v>
      </c>
      <c r="W189" s="121">
        <v>70.3167041654836</v>
      </c>
      <c r="X189" s="121">
        <v>70.471220816728803</v>
      </c>
      <c r="Y189" s="121">
        <v>70.532643359737918</v>
      </c>
      <c r="Z189" s="121">
        <v>70.665562799369852</v>
      </c>
      <c r="AA189" s="121">
        <v>70.912690189188382</v>
      </c>
      <c r="AB189" s="121">
        <v>71.068921010496695</v>
      </c>
      <c r="AC189" s="121">
        <v>71.168042256635403</v>
      </c>
      <c r="AD189" s="121">
        <v>71.133962631343024</v>
      </c>
      <c r="AE189" s="121">
        <v>71.0745423121583</v>
      </c>
      <c r="AF189" s="121">
        <v>71.29134205301078</v>
      </c>
      <c r="AG189" s="121">
        <v>71.404676549747975</v>
      </c>
      <c r="AH189" s="121">
        <v>71.356223639788553</v>
      </c>
      <c r="AI189" s="121">
        <v>71.161906843076366</v>
      </c>
      <c r="AJ189" s="121">
        <v>71.178218789923918</v>
      </c>
      <c r="AK189" s="121">
        <v>71.236576737507576</v>
      </c>
      <c r="AL189" s="121">
        <v>71.201588417087152</v>
      </c>
      <c r="AM189" s="121">
        <v>71.327646584957122</v>
      </c>
      <c r="AN189" s="121">
        <v>71.479119392934436</v>
      </c>
      <c r="AO189" s="121">
        <v>71.503300098896929</v>
      </c>
      <c r="AP189" s="121">
        <v>71.647801313284404</v>
      </c>
      <c r="AQ189" s="121">
        <v>71.868294494125578</v>
      </c>
      <c r="AR189" s="121">
        <v>72.026336223410979</v>
      </c>
      <c r="AS189" s="121">
        <v>71.987289039381025</v>
      </c>
      <c r="AT189" s="121">
        <v>72.096325701774575</v>
      </c>
      <c r="AU189" s="121">
        <v>72.365171627820928</v>
      </c>
      <c r="AV189" s="121">
        <v>72.451961443091591</v>
      </c>
      <c r="AW189" s="121">
        <v>72.680892825773583</v>
      </c>
      <c r="AX189" s="121">
        <v>72.89321057258411</v>
      </c>
      <c r="AY189" s="121">
        <v>72.81970445205404</v>
      </c>
      <c r="AZ189" s="121">
        <v>72.77474493288787</v>
      </c>
      <c r="BA189" s="121">
        <v>72.962625630667688</v>
      </c>
      <c r="BB189" s="121">
        <v>73.030284715646275</v>
      </c>
      <c r="BC189" s="121">
        <v>72.993684241061786</v>
      </c>
      <c r="BD189" s="121">
        <v>72.978186635600451</v>
      </c>
      <c r="BE189" s="121">
        <v>73.187051722302471</v>
      </c>
      <c r="BF189" s="121">
        <v>73.280445520678938</v>
      </c>
      <c r="BG189" s="121">
        <v>73.414199644066244</v>
      </c>
      <c r="BH189" s="121">
        <v>73.416902401416522</v>
      </c>
      <c r="BI189" s="121">
        <v>73.413032729151055</v>
      </c>
      <c r="BJ189" s="121">
        <v>73.28680444812818</v>
      </c>
      <c r="BK189" s="121">
        <v>73.359661540267055</v>
      </c>
      <c r="BL189" s="121">
        <v>73.456454387769298</v>
      </c>
      <c r="BM189" s="121">
        <v>73.531106682048176</v>
      </c>
      <c r="BN189" s="121">
        <v>73.745283162697874</v>
      </c>
      <c r="BO189" s="121">
        <v>73.946637731395242</v>
      </c>
      <c r="BP189" s="121">
        <v>74.013075666251211</v>
      </c>
      <c r="BQ189" s="121">
        <v>74.074323054433052</v>
      </c>
      <c r="BR189" s="121">
        <v>74.048943542883066</v>
      </c>
      <c r="BS189" s="121">
        <v>74.097656289130612</v>
      </c>
      <c r="BT189" s="121">
        <v>74.089907358778959</v>
      </c>
      <c r="BU189" s="121">
        <v>74.144341386003916</v>
      </c>
      <c r="BV189" s="121">
        <v>74.307146322983968</v>
      </c>
      <c r="BW189" s="121">
        <v>74.365198974974561</v>
      </c>
      <c r="BX189" s="121">
        <v>74.450163648698833</v>
      </c>
      <c r="BY189" s="121">
        <v>74.429913780294825</v>
      </c>
      <c r="BZ189" s="121">
        <v>74.389813535938913</v>
      </c>
      <c r="CA189" s="121">
        <v>74.374880668256438</v>
      </c>
      <c r="CB189" s="121">
        <v>74.387710269042771</v>
      </c>
      <c r="CC189" s="121">
        <v>74.504793567301462</v>
      </c>
      <c r="CD189" s="121">
        <v>74.47386708448667</v>
      </c>
      <c r="CE189" s="121">
        <v>74.559559633452892</v>
      </c>
      <c r="CF189" s="121">
        <v>74.702375175215977</v>
      </c>
      <c r="CG189" s="121">
        <v>74.698896436993891</v>
      </c>
      <c r="CH189" s="121">
        <v>74.83906059523143</v>
      </c>
      <c r="CI189" s="121">
        <v>75.03206757979919</v>
      </c>
      <c r="CJ189" s="121">
        <v>75.189411585526116</v>
      </c>
      <c r="CK189" s="121">
        <v>75.060047722419725</v>
      </c>
      <c r="CL189" s="121">
        <v>74.925200866042658</v>
      </c>
      <c r="CM189" s="121">
        <v>74.990045291172791</v>
      </c>
      <c r="CN189" s="121">
        <v>75.246698491496659</v>
      </c>
      <c r="CO189" s="121">
        <v>75.07991259979228</v>
      </c>
      <c r="CP189" s="121">
        <v>75.202629224127904</v>
      </c>
      <c r="CQ189" s="121">
        <v>75.270344353864701</v>
      </c>
      <c r="CR189" s="121">
        <v>75.450975054308188</v>
      </c>
      <c r="CS189" s="121">
        <v>75.47903385519183</v>
      </c>
      <c r="CT189" s="121">
        <v>75.512979847256091</v>
      </c>
      <c r="CU189" s="121">
        <v>75.425873025732528</v>
      </c>
      <c r="CV189" s="121">
        <v>75.391671878018542</v>
      </c>
      <c r="CW189" s="121">
        <v>75.426166134364706</v>
      </c>
      <c r="CX189" s="121">
        <v>75.417909341627677</v>
      </c>
      <c r="CY189" s="121">
        <v>75.57208095497343</v>
      </c>
      <c r="CZ189" s="121">
        <v>75.616957871487529</v>
      </c>
      <c r="DA189" s="121">
        <v>75.684935450946185</v>
      </c>
      <c r="DB189" s="121">
        <v>75.952764090465436</v>
      </c>
      <c r="DC189" s="121">
        <v>75.970441265998801</v>
      </c>
      <c r="DD189" s="121">
        <v>75.902745264837549</v>
      </c>
      <c r="DE189" s="121">
        <v>76.00805927935248</v>
      </c>
      <c r="DF189" s="121">
        <v>75.999809844361991</v>
      </c>
      <c r="DG189" s="121">
        <v>76.087779457665533</v>
      </c>
      <c r="DH189" s="121">
        <v>76.03963300798307</v>
      </c>
      <c r="DI189" s="121">
        <v>75.92364283869189</v>
      </c>
      <c r="DJ189" s="121">
        <v>76.00730194543705</v>
      </c>
      <c r="DK189" s="121">
        <v>76.038640543712816</v>
      </c>
      <c r="DL189" s="121">
        <v>76.218734498876088</v>
      </c>
      <c r="DM189" s="121">
        <v>76.378310518244135</v>
      </c>
      <c r="DN189" s="121">
        <v>76.378729942608558</v>
      </c>
      <c r="DO189" s="121">
        <v>76.490866736886744</v>
      </c>
      <c r="DP189" s="121">
        <v>75.928121847399737</v>
      </c>
      <c r="DQ189" s="121">
        <v>75.660802765847521</v>
      </c>
      <c r="DR189" s="121">
        <v>75.503952620635147</v>
      </c>
      <c r="DS189" s="121">
        <v>75.420195354028678</v>
      </c>
      <c r="DT189" s="121">
        <v>75.25116829575515</v>
      </c>
      <c r="DU189" s="121">
        <v>74.987927797240943</v>
      </c>
      <c r="DV189" s="121">
        <v>74.600905322323044</v>
      </c>
      <c r="DW189" s="121">
        <v>74.457238986191271</v>
      </c>
      <c r="DX189" s="121">
        <v>74.515761482935233</v>
      </c>
      <c r="DY189" s="121">
        <v>74.319784751389435</v>
      </c>
      <c r="DZ189" s="121">
        <v>74.323280083871026</v>
      </c>
      <c r="EA189" s="121">
        <v>74.500333436925231</v>
      </c>
      <c r="EB189" s="121">
        <v>74.419269291119079</v>
      </c>
      <c r="EC189" s="121">
        <v>74.426016580932227</v>
      </c>
      <c r="ED189" s="121">
        <v>74.470474315994608</v>
      </c>
      <c r="EE189" s="121">
        <v>74.727432239670151</v>
      </c>
      <c r="EF189" s="121">
        <v>74.824026864860855</v>
      </c>
      <c r="EG189" s="121">
        <v>74.935241841336349</v>
      </c>
      <c r="EH189" s="121">
        <v>75.046031217079573</v>
      </c>
      <c r="EI189" s="121">
        <v>74.986594009437624</v>
      </c>
      <c r="EJ189" s="121">
        <v>74.991310881628721</v>
      </c>
      <c r="EK189" s="121">
        <v>75.05785834596098</v>
      </c>
      <c r="EL189" s="128">
        <v>75.038850146241586</v>
      </c>
      <c r="EM189" s="108">
        <v>75.037549106051515</v>
      </c>
      <c r="EN189" s="128">
        <v>75.109352399520063</v>
      </c>
      <c r="EO189" s="128">
        <v>75.156947819909789</v>
      </c>
      <c r="EP189" s="121">
        <v>75.398738568094416</v>
      </c>
      <c r="EQ189" s="128">
        <v>75.066732683469567</v>
      </c>
      <c r="ER189" s="128">
        <v>74.950820544823742</v>
      </c>
      <c r="ES189" s="108">
        <v>75.041202135253656</v>
      </c>
      <c r="ET189" s="108">
        <v>74.956682829119671</v>
      </c>
      <c r="EU189" s="108">
        <v>75.02175481523166</v>
      </c>
      <c r="EV189" s="121">
        <v>75.010315927034171</v>
      </c>
      <c r="EW189" s="111">
        <v>75.136188250553531</v>
      </c>
      <c r="EX189" s="108">
        <v>75.16007543739542</v>
      </c>
      <c r="EY189" s="108">
        <v>75.15151207009346</v>
      </c>
      <c r="EZ189" s="121">
        <v>75.28328338883118</v>
      </c>
      <c r="FA189" s="108">
        <v>75.475189034810768</v>
      </c>
      <c r="FB189" s="121">
        <v>75.444497185838344</v>
      </c>
      <c r="FC189" s="108">
        <v>75.198419885391672</v>
      </c>
      <c r="FD189" s="108">
        <v>74.910496321384699</v>
      </c>
      <c r="FE189" s="128">
        <v>74.688656682486794</v>
      </c>
      <c r="FF189" s="108">
        <v>74.887733375994429</v>
      </c>
      <c r="FG189" s="128">
        <v>74.883157063576917</v>
      </c>
      <c r="FH189" s="108">
        <v>74.859895030498521</v>
      </c>
      <c r="FI189" s="121">
        <v>74.852974396274078</v>
      </c>
      <c r="FJ189" s="111">
        <v>74.659177279638797</v>
      </c>
      <c r="FK189" s="116">
        <v>74.55901190200197</v>
      </c>
      <c r="FL189" s="111">
        <v>74.495675414989066</v>
      </c>
      <c r="FM189" s="111">
        <v>74.396208533706854</v>
      </c>
      <c r="FN189" s="111">
        <v>74.407764323915487</v>
      </c>
      <c r="FO189" s="111">
        <v>74.574397057150151</v>
      </c>
      <c r="FP189" s="111">
        <v>74.722902674145047</v>
      </c>
      <c r="FQ189" s="111">
        <v>74.985703831661851</v>
      </c>
      <c r="FR189" s="111">
        <v>74.937975580477485</v>
      </c>
      <c r="FS189" s="111">
        <v>74.902472586787169</v>
      </c>
      <c r="FT189" s="111">
        <v>74.850934796288655</v>
      </c>
      <c r="FU189" s="111">
        <v>74.956007115185059</v>
      </c>
      <c r="FV189" s="111">
        <v>75.006017765513917</v>
      </c>
      <c r="FW189" s="124">
        <v>75.066049868007099</v>
      </c>
      <c r="FX189" s="111"/>
      <c r="FY189" s="107"/>
      <c r="FZ189" s="107"/>
      <c r="GA189" s="107"/>
      <c r="GB189" s="107"/>
      <c r="GC189" s="107"/>
      <c r="GD189" s="107"/>
      <c r="GE189" s="107"/>
      <c r="GF189" s="107"/>
      <c r="GG189" s="160"/>
    </row>
    <row r="190" spans="2:189" x14ac:dyDescent="0.2">
      <c r="B190" s="97">
        <v>45778</v>
      </c>
      <c r="C190" s="111">
        <v>70.422667390858052</v>
      </c>
      <c r="D190" s="111">
        <v>70.621486151623998</v>
      </c>
      <c r="E190" s="111">
        <v>70.638593680386805</v>
      </c>
      <c r="F190" s="111">
        <v>70.705399556203304</v>
      </c>
      <c r="G190" s="111">
        <v>70.49040918716814</v>
      </c>
      <c r="H190" s="111">
        <v>70.338702077892592</v>
      </c>
      <c r="I190" s="111">
        <v>70.38984940855012</v>
      </c>
      <c r="J190" s="111">
        <v>70.468865143978903</v>
      </c>
      <c r="K190" s="111">
        <v>70.586396738483302</v>
      </c>
      <c r="L190" s="111">
        <v>70.546146885197274</v>
      </c>
      <c r="M190" s="111">
        <v>70.481744775577454</v>
      </c>
      <c r="N190" s="111">
        <v>70.512158476249269</v>
      </c>
      <c r="O190" s="111">
        <v>70.450461862802683</v>
      </c>
      <c r="P190" s="111">
        <v>70.219556850312301</v>
      </c>
      <c r="Q190" s="121">
        <v>70.196525401601832</v>
      </c>
      <c r="R190" s="121">
        <v>70.107073622921433</v>
      </c>
      <c r="S190" s="121">
        <v>70.146236836211258</v>
      </c>
      <c r="T190" s="121">
        <v>70.147571774895738</v>
      </c>
      <c r="U190" s="121">
        <v>70.221357223978373</v>
      </c>
      <c r="V190" s="121">
        <v>70.243626362562495</v>
      </c>
      <c r="W190" s="121">
        <v>70.3167041654836</v>
      </c>
      <c r="X190" s="121">
        <v>70.471220816728803</v>
      </c>
      <c r="Y190" s="121">
        <v>70.532643359737918</v>
      </c>
      <c r="Z190" s="121">
        <v>70.665562799369852</v>
      </c>
      <c r="AA190" s="121">
        <v>70.912690189188382</v>
      </c>
      <c r="AB190" s="121">
        <v>71.068921010496695</v>
      </c>
      <c r="AC190" s="121">
        <v>71.168042256635403</v>
      </c>
      <c r="AD190" s="121">
        <v>71.133962631343024</v>
      </c>
      <c r="AE190" s="121">
        <v>71.0745423121583</v>
      </c>
      <c r="AF190" s="121">
        <v>71.29134205301078</v>
      </c>
      <c r="AG190" s="121">
        <v>71.404676549747975</v>
      </c>
      <c r="AH190" s="121">
        <v>71.356223639788553</v>
      </c>
      <c r="AI190" s="121">
        <v>71.161906843076366</v>
      </c>
      <c r="AJ190" s="121">
        <v>71.178218789923918</v>
      </c>
      <c r="AK190" s="121">
        <v>71.236576737507576</v>
      </c>
      <c r="AL190" s="121">
        <v>71.201588417087152</v>
      </c>
      <c r="AM190" s="121">
        <v>71.327646584957122</v>
      </c>
      <c r="AN190" s="121">
        <v>71.479119392934436</v>
      </c>
      <c r="AO190" s="121">
        <v>71.503300098896929</v>
      </c>
      <c r="AP190" s="121">
        <v>71.647801313284404</v>
      </c>
      <c r="AQ190" s="121">
        <v>71.868294494125578</v>
      </c>
      <c r="AR190" s="121">
        <v>72.026336223410979</v>
      </c>
      <c r="AS190" s="121">
        <v>71.987289039381025</v>
      </c>
      <c r="AT190" s="121">
        <v>72.096325701774575</v>
      </c>
      <c r="AU190" s="121">
        <v>72.365171627820928</v>
      </c>
      <c r="AV190" s="121">
        <v>72.451961443091591</v>
      </c>
      <c r="AW190" s="121">
        <v>72.680892825773583</v>
      </c>
      <c r="AX190" s="121">
        <v>72.89321057258411</v>
      </c>
      <c r="AY190" s="121">
        <v>72.81970445205404</v>
      </c>
      <c r="AZ190" s="121">
        <v>72.77474493288787</v>
      </c>
      <c r="BA190" s="121">
        <v>72.962625630667688</v>
      </c>
      <c r="BB190" s="121">
        <v>73.030284715646275</v>
      </c>
      <c r="BC190" s="121">
        <v>72.993684241061786</v>
      </c>
      <c r="BD190" s="121">
        <v>72.978186635600451</v>
      </c>
      <c r="BE190" s="121">
        <v>73.187051722302471</v>
      </c>
      <c r="BF190" s="121">
        <v>73.280445520678938</v>
      </c>
      <c r="BG190" s="121">
        <v>73.414199644066244</v>
      </c>
      <c r="BH190" s="121">
        <v>73.416902401416522</v>
      </c>
      <c r="BI190" s="121">
        <v>73.413032729151055</v>
      </c>
      <c r="BJ190" s="121">
        <v>73.28680444812818</v>
      </c>
      <c r="BK190" s="121">
        <v>73.359661540267055</v>
      </c>
      <c r="BL190" s="121">
        <v>73.456454387769298</v>
      </c>
      <c r="BM190" s="121">
        <v>73.531106682048176</v>
      </c>
      <c r="BN190" s="121">
        <v>73.745283162697874</v>
      </c>
      <c r="BO190" s="121">
        <v>73.946637731395242</v>
      </c>
      <c r="BP190" s="121">
        <v>74.013075666251211</v>
      </c>
      <c r="BQ190" s="121">
        <v>74.074323054433052</v>
      </c>
      <c r="BR190" s="121">
        <v>74.048943542883066</v>
      </c>
      <c r="BS190" s="121">
        <v>74.097656289130612</v>
      </c>
      <c r="BT190" s="121">
        <v>74.089907358778959</v>
      </c>
      <c r="BU190" s="121">
        <v>74.144341386003916</v>
      </c>
      <c r="BV190" s="121">
        <v>74.307146322983968</v>
      </c>
      <c r="BW190" s="121">
        <v>74.365198974974561</v>
      </c>
      <c r="BX190" s="121">
        <v>74.450163648698833</v>
      </c>
      <c r="BY190" s="121">
        <v>74.429913780294825</v>
      </c>
      <c r="BZ190" s="121">
        <v>74.389813535938913</v>
      </c>
      <c r="CA190" s="121">
        <v>74.374880668256438</v>
      </c>
      <c r="CB190" s="121">
        <v>74.387710269042771</v>
      </c>
      <c r="CC190" s="121">
        <v>74.504793567301462</v>
      </c>
      <c r="CD190" s="121">
        <v>74.47386708448667</v>
      </c>
      <c r="CE190" s="121">
        <v>74.559559633452892</v>
      </c>
      <c r="CF190" s="121">
        <v>74.702375175215977</v>
      </c>
      <c r="CG190" s="121">
        <v>74.698896436993891</v>
      </c>
      <c r="CH190" s="121">
        <v>74.83906059523143</v>
      </c>
      <c r="CI190" s="121">
        <v>75.03206757979919</v>
      </c>
      <c r="CJ190" s="121">
        <v>75.189411585526116</v>
      </c>
      <c r="CK190" s="121">
        <v>75.060047722419725</v>
      </c>
      <c r="CL190" s="121">
        <v>74.925200866042658</v>
      </c>
      <c r="CM190" s="121">
        <v>74.990045291172791</v>
      </c>
      <c r="CN190" s="121">
        <v>75.246698491496659</v>
      </c>
      <c r="CO190" s="121">
        <v>75.07991259979228</v>
      </c>
      <c r="CP190" s="121">
        <v>75.202629224127904</v>
      </c>
      <c r="CQ190" s="121">
        <v>75.270344353864701</v>
      </c>
      <c r="CR190" s="121">
        <v>75.450975054308188</v>
      </c>
      <c r="CS190" s="121">
        <v>75.47903385519183</v>
      </c>
      <c r="CT190" s="121">
        <v>75.512979847256091</v>
      </c>
      <c r="CU190" s="121">
        <v>75.425873025732528</v>
      </c>
      <c r="CV190" s="121">
        <v>75.391671878018542</v>
      </c>
      <c r="CW190" s="121">
        <v>75.426166134364706</v>
      </c>
      <c r="CX190" s="121">
        <v>75.417909341627677</v>
      </c>
      <c r="CY190" s="121">
        <v>75.57208095497343</v>
      </c>
      <c r="CZ190" s="121">
        <v>75.616957871487529</v>
      </c>
      <c r="DA190" s="121">
        <v>75.684935450946185</v>
      </c>
      <c r="DB190" s="121">
        <v>75.952764090465436</v>
      </c>
      <c r="DC190" s="121">
        <v>75.970441265998801</v>
      </c>
      <c r="DD190" s="121">
        <v>75.902745264837549</v>
      </c>
      <c r="DE190" s="121">
        <v>76.00805927935248</v>
      </c>
      <c r="DF190" s="121">
        <v>75.999809844361991</v>
      </c>
      <c r="DG190" s="121">
        <v>76.087779457665533</v>
      </c>
      <c r="DH190" s="121">
        <v>76.03963300798307</v>
      </c>
      <c r="DI190" s="121">
        <v>75.92364283869189</v>
      </c>
      <c r="DJ190" s="121">
        <v>76.00730194543705</v>
      </c>
      <c r="DK190" s="121">
        <v>76.038640543712816</v>
      </c>
      <c r="DL190" s="121">
        <v>76.218734498876088</v>
      </c>
      <c r="DM190" s="121">
        <v>76.378310518244135</v>
      </c>
      <c r="DN190" s="121">
        <v>76.378729942608558</v>
      </c>
      <c r="DO190" s="121">
        <v>76.490866736886744</v>
      </c>
      <c r="DP190" s="121">
        <v>75.928121847399737</v>
      </c>
      <c r="DQ190" s="121">
        <v>75.660802765847521</v>
      </c>
      <c r="DR190" s="121">
        <v>75.503952620635147</v>
      </c>
      <c r="DS190" s="121">
        <v>75.420195354028678</v>
      </c>
      <c r="DT190" s="121">
        <v>75.25116829575515</v>
      </c>
      <c r="DU190" s="121">
        <v>74.987927797240943</v>
      </c>
      <c r="DV190" s="121">
        <v>74.600905322323044</v>
      </c>
      <c r="DW190" s="121">
        <v>74.457238986191271</v>
      </c>
      <c r="DX190" s="121">
        <v>74.515761482935233</v>
      </c>
      <c r="DY190" s="121">
        <v>74.319784751389435</v>
      </c>
      <c r="DZ190" s="121">
        <v>74.323280083871026</v>
      </c>
      <c r="EA190" s="121">
        <v>74.500333436925231</v>
      </c>
      <c r="EB190" s="121">
        <v>74.419269291119079</v>
      </c>
      <c r="EC190" s="121">
        <v>74.426016580932227</v>
      </c>
      <c r="ED190" s="121">
        <v>74.470474315994608</v>
      </c>
      <c r="EE190" s="121">
        <v>74.727432239670151</v>
      </c>
      <c r="EF190" s="121">
        <v>74.824026864860855</v>
      </c>
      <c r="EG190" s="121">
        <v>74.935241841336349</v>
      </c>
      <c r="EH190" s="121">
        <v>75.046031217079573</v>
      </c>
      <c r="EI190" s="121">
        <v>74.986594009437624</v>
      </c>
      <c r="EJ190" s="121">
        <v>74.991310881628721</v>
      </c>
      <c r="EK190" s="121">
        <v>75.05785834596098</v>
      </c>
      <c r="EL190" s="128">
        <v>75.038850146241586</v>
      </c>
      <c r="EM190" s="108">
        <v>75.037549106051515</v>
      </c>
      <c r="EN190" s="128">
        <v>75.109352399520063</v>
      </c>
      <c r="EO190" s="128">
        <v>75.156947819909789</v>
      </c>
      <c r="EP190" s="121">
        <v>75.398738568094416</v>
      </c>
      <c r="EQ190" s="128">
        <v>75.066732683469567</v>
      </c>
      <c r="ER190" s="128">
        <v>74.950820544823742</v>
      </c>
      <c r="ES190" s="108">
        <v>75.041202135253656</v>
      </c>
      <c r="ET190" s="108">
        <v>74.956682829119671</v>
      </c>
      <c r="EU190" s="108">
        <v>75.02175481523166</v>
      </c>
      <c r="EV190" s="121">
        <v>75.010315927034171</v>
      </c>
      <c r="EW190" s="111">
        <v>75.136188250553531</v>
      </c>
      <c r="EX190" s="108">
        <v>75.16007543739542</v>
      </c>
      <c r="EY190" s="108">
        <v>75.15151207009346</v>
      </c>
      <c r="EZ190" s="121">
        <v>75.28328338883118</v>
      </c>
      <c r="FA190" s="108">
        <v>75.475189034810768</v>
      </c>
      <c r="FB190" s="121">
        <v>75.444497185838344</v>
      </c>
      <c r="FC190" s="108">
        <v>75.198419885391672</v>
      </c>
      <c r="FD190" s="108">
        <v>74.910496321384699</v>
      </c>
      <c r="FE190" s="128">
        <v>74.688656682486794</v>
      </c>
      <c r="FF190" s="108">
        <v>74.887733375994429</v>
      </c>
      <c r="FG190" s="128">
        <v>74.883157063576917</v>
      </c>
      <c r="FH190" s="108">
        <v>74.859895030498521</v>
      </c>
      <c r="FI190" s="121">
        <v>74.852974396274078</v>
      </c>
      <c r="FJ190" s="111">
        <v>74.659177279638797</v>
      </c>
      <c r="FK190" s="111">
        <v>74.55901190200197</v>
      </c>
      <c r="FL190" s="116">
        <v>74.495675414989066</v>
      </c>
      <c r="FM190" s="111">
        <v>74.396208533706854</v>
      </c>
      <c r="FN190" s="111">
        <v>74.407764323915487</v>
      </c>
      <c r="FO190" s="111">
        <v>74.574397057150151</v>
      </c>
      <c r="FP190" s="111">
        <v>74.722902674145047</v>
      </c>
      <c r="FQ190" s="111">
        <v>74.985703831661851</v>
      </c>
      <c r="FR190" s="111">
        <v>74.937975580477485</v>
      </c>
      <c r="FS190" s="111">
        <v>74.902472586787169</v>
      </c>
      <c r="FT190" s="111">
        <v>74.850934796288655</v>
      </c>
      <c r="FU190" s="111">
        <v>74.956007115185059</v>
      </c>
      <c r="FV190" s="111">
        <v>75.006017765513917</v>
      </c>
      <c r="FW190" s="111">
        <v>75.066049868007099</v>
      </c>
      <c r="FX190" s="124">
        <v>74.999445427577271</v>
      </c>
      <c r="FY190" s="111"/>
      <c r="FZ190" s="107"/>
      <c r="GA190" s="107"/>
      <c r="GB190" s="107"/>
      <c r="GC190" s="107"/>
      <c r="GD190" s="107"/>
      <c r="GE190" s="107"/>
      <c r="GF190" s="107"/>
      <c r="GG190" s="160"/>
    </row>
    <row r="191" spans="2:189" x14ac:dyDescent="0.2">
      <c r="B191" s="97">
        <v>45809</v>
      </c>
      <c r="C191" s="111">
        <v>70.422667390858052</v>
      </c>
      <c r="D191" s="111">
        <v>70.621486151623998</v>
      </c>
      <c r="E191" s="111">
        <v>70.638593680386805</v>
      </c>
      <c r="F191" s="111">
        <v>70.705399556203304</v>
      </c>
      <c r="G191" s="111">
        <v>70.49040918716814</v>
      </c>
      <c r="H191" s="111">
        <v>70.338702077892592</v>
      </c>
      <c r="I191" s="111">
        <v>70.38984940855012</v>
      </c>
      <c r="J191" s="111">
        <v>70.468865143978903</v>
      </c>
      <c r="K191" s="111">
        <v>70.586396738483302</v>
      </c>
      <c r="L191" s="111">
        <v>70.546146885197274</v>
      </c>
      <c r="M191" s="111">
        <v>70.481744775577454</v>
      </c>
      <c r="N191" s="111">
        <v>70.512158476249269</v>
      </c>
      <c r="O191" s="111">
        <v>70.450461862802683</v>
      </c>
      <c r="P191" s="111">
        <v>70.219556850312301</v>
      </c>
      <c r="Q191" s="121">
        <v>70.196525401601832</v>
      </c>
      <c r="R191" s="121">
        <v>70.107073622921433</v>
      </c>
      <c r="S191" s="121">
        <v>70.146236836211258</v>
      </c>
      <c r="T191" s="121">
        <v>70.147571774895738</v>
      </c>
      <c r="U191" s="121">
        <v>70.221357223978373</v>
      </c>
      <c r="V191" s="121">
        <v>70.243626362562495</v>
      </c>
      <c r="W191" s="121">
        <v>70.3167041654836</v>
      </c>
      <c r="X191" s="121">
        <v>70.471220816728803</v>
      </c>
      <c r="Y191" s="121">
        <v>70.532643359737918</v>
      </c>
      <c r="Z191" s="121">
        <v>70.665562799369852</v>
      </c>
      <c r="AA191" s="121">
        <v>70.912690189188382</v>
      </c>
      <c r="AB191" s="121">
        <v>71.068921010496695</v>
      </c>
      <c r="AC191" s="121">
        <v>71.168042256635403</v>
      </c>
      <c r="AD191" s="121">
        <v>71.133962631343024</v>
      </c>
      <c r="AE191" s="121">
        <v>71.0745423121583</v>
      </c>
      <c r="AF191" s="121">
        <v>71.29134205301078</v>
      </c>
      <c r="AG191" s="121">
        <v>71.404676549747975</v>
      </c>
      <c r="AH191" s="121">
        <v>71.356223639788553</v>
      </c>
      <c r="AI191" s="121">
        <v>71.161906843076366</v>
      </c>
      <c r="AJ191" s="121">
        <v>71.178218789923918</v>
      </c>
      <c r="AK191" s="121">
        <v>71.236576737507576</v>
      </c>
      <c r="AL191" s="121">
        <v>71.201588417087152</v>
      </c>
      <c r="AM191" s="121">
        <v>71.327646584957122</v>
      </c>
      <c r="AN191" s="121">
        <v>71.479119392934436</v>
      </c>
      <c r="AO191" s="121">
        <v>71.503300098896929</v>
      </c>
      <c r="AP191" s="121">
        <v>71.647801313284404</v>
      </c>
      <c r="AQ191" s="121">
        <v>71.868294494125578</v>
      </c>
      <c r="AR191" s="121">
        <v>72.026336223410979</v>
      </c>
      <c r="AS191" s="121">
        <v>71.987289039381025</v>
      </c>
      <c r="AT191" s="121">
        <v>72.096325701774575</v>
      </c>
      <c r="AU191" s="121">
        <v>72.365171627820928</v>
      </c>
      <c r="AV191" s="121">
        <v>72.451961443091591</v>
      </c>
      <c r="AW191" s="121">
        <v>72.680892825773583</v>
      </c>
      <c r="AX191" s="121">
        <v>72.89321057258411</v>
      </c>
      <c r="AY191" s="121">
        <v>72.81970445205404</v>
      </c>
      <c r="AZ191" s="121">
        <v>72.77474493288787</v>
      </c>
      <c r="BA191" s="121">
        <v>72.962625630667688</v>
      </c>
      <c r="BB191" s="121">
        <v>73.030284715646275</v>
      </c>
      <c r="BC191" s="121">
        <v>72.993684241061786</v>
      </c>
      <c r="BD191" s="121">
        <v>72.978186635600451</v>
      </c>
      <c r="BE191" s="121">
        <v>73.187051722302471</v>
      </c>
      <c r="BF191" s="121">
        <v>73.280445520678938</v>
      </c>
      <c r="BG191" s="121">
        <v>73.414199644066244</v>
      </c>
      <c r="BH191" s="121">
        <v>73.416902401416522</v>
      </c>
      <c r="BI191" s="121">
        <v>73.413032729151055</v>
      </c>
      <c r="BJ191" s="121">
        <v>73.28680444812818</v>
      </c>
      <c r="BK191" s="121">
        <v>73.359661540267055</v>
      </c>
      <c r="BL191" s="121">
        <v>73.456454387769298</v>
      </c>
      <c r="BM191" s="121">
        <v>73.531106682048176</v>
      </c>
      <c r="BN191" s="121">
        <v>73.745283162697874</v>
      </c>
      <c r="BO191" s="121">
        <v>73.946637731395242</v>
      </c>
      <c r="BP191" s="121">
        <v>74.013075666251211</v>
      </c>
      <c r="BQ191" s="121">
        <v>74.074323054433052</v>
      </c>
      <c r="BR191" s="121">
        <v>74.048943542883066</v>
      </c>
      <c r="BS191" s="121">
        <v>74.097656289130612</v>
      </c>
      <c r="BT191" s="121">
        <v>74.089907358778959</v>
      </c>
      <c r="BU191" s="121">
        <v>74.144341386003916</v>
      </c>
      <c r="BV191" s="121">
        <v>74.307146322983968</v>
      </c>
      <c r="BW191" s="121">
        <v>74.365198974974561</v>
      </c>
      <c r="BX191" s="121">
        <v>74.450163648698833</v>
      </c>
      <c r="BY191" s="121">
        <v>74.429913780294825</v>
      </c>
      <c r="BZ191" s="121">
        <v>74.389813535938913</v>
      </c>
      <c r="CA191" s="121">
        <v>74.374880668256438</v>
      </c>
      <c r="CB191" s="121">
        <v>74.387710269042771</v>
      </c>
      <c r="CC191" s="121">
        <v>74.504793567301462</v>
      </c>
      <c r="CD191" s="121">
        <v>74.47386708448667</v>
      </c>
      <c r="CE191" s="121">
        <v>74.559559633452892</v>
      </c>
      <c r="CF191" s="121">
        <v>74.702375175215977</v>
      </c>
      <c r="CG191" s="121">
        <v>74.698896436993891</v>
      </c>
      <c r="CH191" s="121">
        <v>74.83906059523143</v>
      </c>
      <c r="CI191" s="121">
        <v>75.03206757979919</v>
      </c>
      <c r="CJ191" s="121">
        <v>75.189411585526116</v>
      </c>
      <c r="CK191" s="121">
        <v>75.060047722419725</v>
      </c>
      <c r="CL191" s="121">
        <v>74.925200866042658</v>
      </c>
      <c r="CM191" s="121">
        <v>74.990045291172791</v>
      </c>
      <c r="CN191" s="121">
        <v>75.246698491496659</v>
      </c>
      <c r="CO191" s="121">
        <v>75.07991259979228</v>
      </c>
      <c r="CP191" s="121">
        <v>75.202629224127904</v>
      </c>
      <c r="CQ191" s="121">
        <v>75.270344353864701</v>
      </c>
      <c r="CR191" s="121">
        <v>75.450975054308188</v>
      </c>
      <c r="CS191" s="121">
        <v>75.47903385519183</v>
      </c>
      <c r="CT191" s="121">
        <v>75.512979847256091</v>
      </c>
      <c r="CU191" s="121">
        <v>75.425873025732528</v>
      </c>
      <c r="CV191" s="121">
        <v>75.391671878018542</v>
      </c>
      <c r="CW191" s="121">
        <v>75.426166134364706</v>
      </c>
      <c r="CX191" s="121">
        <v>75.417909341627677</v>
      </c>
      <c r="CY191" s="121">
        <v>75.57208095497343</v>
      </c>
      <c r="CZ191" s="121">
        <v>75.616957871487529</v>
      </c>
      <c r="DA191" s="121">
        <v>75.684935450946185</v>
      </c>
      <c r="DB191" s="121">
        <v>75.952764090465436</v>
      </c>
      <c r="DC191" s="121">
        <v>75.970441265998801</v>
      </c>
      <c r="DD191" s="121">
        <v>75.902745264837549</v>
      </c>
      <c r="DE191" s="121">
        <v>76.00805927935248</v>
      </c>
      <c r="DF191" s="121">
        <v>75.999809844361991</v>
      </c>
      <c r="DG191" s="121">
        <v>76.087779457665533</v>
      </c>
      <c r="DH191" s="121">
        <v>76.03963300798307</v>
      </c>
      <c r="DI191" s="121">
        <v>75.92364283869189</v>
      </c>
      <c r="DJ191" s="121">
        <v>76.00730194543705</v>
      </c>
      <c r="DK191" s="121">
        <v>76.038640543712816</v>
      </c>
      <c r="DL191" s="121">
        <v>76.218734498876088</v>
      </c>
      <c r="DM191" s="121">
        <v>76.378310518244135</v>
      </c>
      <c r="DN191" s="121">
        <v>76.378729942608558</v>
      </c>
      <c r="DO191" s="121">
        <v>76.490866736886744</v>
      </c>
      <c r="DP191" s="121">
        <v>75.928121847399737</v>
      </c>
      <c r="DQ191" s="121">
        <v>75.660802765847521</v>
      </c>
      <c r="DR191" s="121">
        <v>75.503952620635147</v>
      </c>
      <c r="DS191" s="121">
        <v>75.420195354028678</v>
      </c>
      <c r="DT191" s="121">
        <v>75.25116829575515</v>
      </c>
      <c r="DU191" s="121">
        <v>74.987927797240943</v>
      </c>
      <c r="DV191" s="121">
        <v>74.600905322323044</v>
      </c>
      <c r="DW191" s="121">
        <v>74.457238986191271</v>
      </c>
      <c r="DX191" s="121">
        <v>74.515761482935233</v>
      </c>
      <c r="DY191" s="121">
        <v>74.319784751389435</v>
      </c>
      <c r="DZ191" s="121">
        <v>74.323280083871026</v>
      </c>
      <c r="EA191" s="121">
        <v>74.500333436925231</v>
      </c>
      <c r="EB191" s="121">
        <v>74.419269291119079</v>
      </c>
      <c r="EC191" s="121">
        <v>74.426016580932227</v>
      </c>
      <c r="ED191" s="121">
        <v>74.470474315994608</v>
      </c>
      <c r="EE191" s="121">
        <v>74.727432239670151</v>
      </c>
      <c r="EF191" s="121">
        <v>74.824026864860855</v>
      </c>
      <c r="EG191" s="121">
        <v>74.935241841336349</v>
      </c>
      <c r="EH191" s="121">
        <v>75.046031217079573</v>
      </c>
      <c r="EI191" s="121">
        <v>74.986594009437624</v>
      </c>
      <c r="EJ191" s="121">
        <v>74.991310881628721</v>
      </c>
      <c r="EK191" s="121">
        <v>75.05785834596098</v>
      </c>
      <c r="EL191" s="128">
        <v>75.038850146241586</v>
      </c>
      <c r="EM191" s="108">
        <v>75.037549106051515</v>
      </c>
      <c r="EN191" s="128">
        <v>75.109352399520063</v>
      </c>
      <c r="EO191" s="128">
        <v>75.156947819909789</v>
      </c>
      <c r="EP191" s="121">
        <v>75.398738568094416</v>
      </c>
      <c r="EQ191" s="128">
        <v>75.066732683469567</v>
      </c>
      <c r="ER191" s="128">
        <v>74.950820544823742</v>
      </c>
      <c r="ES191" s="108">
        <v>75.041202135253656</v>
      </c>
      <c r="ET191" s="108">
        <v>74.956682829119671</v>
      </c>
      <c r="EU191" s="108">
        <v>75.02175481523166</v>
      </c>
      <c r="EV191" s="121">
        <v>75.010315927034171</v>
      </c>
      <c r="EW191" s="111">
        <v>75.136188250553531</v>
      </c>
      <c r="EX191" s="108">
        <v>75.16007543739542</v>
      </c>
      <c r="EY191" s="108">
        <v>75.15151207009346</v>
      </c>
      <c r="EZ191" s="121">
        <v>75.28328338883118</v>
      </c>
      <c r="FA191" s="108">
        <v>75.475189034810768</v>
      </c>
      <c r="FB191" s="121">
        <v>75.444497185838344</v>
      </c>
      <c r="FC191" s="108">
        <v>75.198419885391672</v>
      </c>
      <c r="FD191" s="108">
        <v>74.910496321384699</v>
      </c>
      <c r="FE191" s="128">
        <v>74.688656682486794</v>
      </c>
      <c r="FF191" s="108">
        <v>74.887733375994429</v>
      </c>
      <c r="FG191" s="128">
        <v>74.883157063576917</v>
      </c>
      <c r="FH191" s="108">
        <v>74.859895030498521</v>
      </c>
      <c r="FI191" s="121">
        <v>74.852974396274078</v>
      </c>
      <c r="FJ191" s="111">
        <v>74.659177279638797</v>
      </c>
      <c r="FK191" s="111">
        <v>74.55901190200197</v>
      </c>
      <c r="FL191" s="111">
        <v>74.495675414989066</v>
      </c>
      <c r="FM191" s="116">
        <v>74.396208533706854</v>
      </c>
      <c r="FN191" s="111">
        <v>74.407764323915487</v>
      </c>
      <c r="FO191" s="111">
        <v>74.574397057150151</v>
      </c>
      <c r="FP191" s="111">
        <v>74.722902674145047</v>
      </c>
      <c r="FQ191" s="111">
        <v>74.985703831661851</v>
      </c>
      <c r="FR191" s="111">
        <v>74.937975580477485</v>
      </c>
      <c r="FS191" s="111">
        <v>74.902472586787169</v>
      </c>
      <c r="FT191" s="111">
        <v>74.850934796288655</v>
      </c>
      <c r="FU191" s="111">
        <v>74.956007115185059</v>
      </c>
      <c r="FV191" s="111">
        <v>75.006017765513917</v>
      </c>
      <c r="FW191" s="111">
        <v>75.066049868007099</v>
      </c>
      <c r="FX191" s="111">
        <v>74.999445427577271</v>
      </c>
      <c r="FY191" s="124">
        <v>75.057705153172918</v>
      </c>
      <c r="FZ191" s="111"/>
      <c r="GA191" s="107"/>
      <c r="GB191" s="107"/>
      <c r="GC191" s="107"/>
      <c r="GD191" s="107"/>
      <c r="GE191" s="107"/>
      <c r="GF191" s="107"/>
      <c r="GG191" s="160"/>
    </row>
    <row r="192" spans="2:189" x14ac:dyDescent="0.2">
      <c r="B192" s="97">
        <v>45839</v>
      </c>
      <c r="C192" s="111">
        <v>70.422667390858052</v>
      </c>
      <c r="D192" s="111">
        <v>70.621486151623998</v>
      </c>
      <c r="E192" s="111">
        <v>70.638593680386805</v>
      </c>
      <c r="F192" s="111">
        <v>70.705399556203304</v>
      </c>
      <c r="G192" s="111">
        <v>70.49040918716814</v>
      </c>
      <c r="H192" s="111">
        <v>70.338702077892592</v>
      </c>
      <c r="I192" s="111">
        <v>70.38984940855012</v>
      </c>
      <c r="J192" s="111">
        <v>70.468865143978903</v>
      </c>
      <c r="K192" s="111">
        <v>70.586396738483302</v>
      </c>
      <c r="L192" s="111">
        <v>70.546146885197274</v>
      </c>
      <c r="M192" s="111">
        <v>70.481744775577454</v>
      </c>
      <c r="N192" s="111">
        <v>70.512158476249269</v>
      </c>
      <c r="O192" s="111">
        <v>70.450461862802683</v>
      </c>
      <c r="P192" s="111">
        <v>70.219556850312301</v>
      </c>
      <c r="Q192" s="121">
        <v>70.196525401601832</v>
      </c>
      <c r="R192" s="121">
        <v>70.107073622921433</v>
      </c>
      <c r="S192" s="121">
        <v>70.146236836211258</v>
      </c>
      <c r="T192" s="121">
        <v>70.147571774895738</v>
      </c>
      <c r="U192" s="121">
        <v>70.221357223978373</v>
      </c>
      <c r="V192" s="121">
        <v>70.243626362562495</v>
      </c>
      <c r="W192" s="121">
        <v>70.3167041654836</v>
      </c>
      <c r="X192" s="121">
        <v>70.471220816728803</v>
      </c>
      <c r="Y192" s="121">
        <v>70.532643359737918</v>
      </c>
      <c r="Z192" s="121">
        <v>70.665562799369852</v>
      </c>
      <c r="AA192" s="121">
        <v>70.912690189188382</v>
      </c>
      <c r="AB192" s="121">
        <v>71.068921010496695</v>
      </c>
      <c r="AC192" s="121">
        <v>71.168042256635403</v>
      </c>
      <c r="AD192" s="121">
        <v>71.133962631343024</v>
      </c>
      <c r="AE192" s="121">
        <v>71.0745423121583</v>
      </c>
      <c r="AF192" s="121">
        <v>71.29134205301078</v>
      </c>
      <c r="AG192" s="121">
        <v>71.404676549747975</v>
      </c>
      <c r="AH192" s="121">
        <v>71.356223639788553</v>
      </c>
      <c r="AI192" s="121">
        <v>71.161906843076366</v>
      </c>
      <c r="AJ192" s="121">
        <v>71.178218789923918</v>
      </c>
      <c r="AK192" s="121">
        <v>71.236576737507576</v>
      </c>
      <c r="AL192" s="121">
        <v>71.201588417087152</v>
      </c>
      <c r="AM192" s="121">
        <v>71.327646584957122</v>
      </c>
      <c r="AN192" s="121">
        <v>71.479119392934436</v>
      </c>
      <c r="AO192" s="121">
        <v>71.503300098896929</v>
      </c>
      <c r="AP192" s="121">
        <v>71.647801313284404</v>
      </c>
      <c r="AQ192" s="121">
        <v>71.868294494125578</v>
      </c>
      <c r="AR192" s="121">
        <v>72.026336223410979</v>
      </c>
      <c r="AS192" s="121">
        <v>71.987289039381025</v>
      </c>
      <c r="AT192" s="121">
        <v>72.096325701774575</v>
      </c>
      <c r="AU192" s="121">
        <v>72.365171627820928</v>
      </c>
      <c r="AV192" s="121">
        <v>72.451961443091591</v>
      </c>
      <c r="AW192" s="121">
        <v>72.680892825773583</v>
      </c>
      <c r="AX192" s="121">
        <v>72.89321057258411</v>
      </c>
      <c r="AY192" s="121">
        <v>72.81970445205404</v>
      </c>
      <c r="AZ192" s="121">
        <v>72.77474493288787</v>
      </c>
      <c r="BA192" s="121">
        <v>72.962625630667688</v>
      </c>
      <c r="BB192" s="121">
        <v>73.030284715646275</v>
      </c>
      <c r="BC192" s="121">
        <v>72.993684241061786</v>
      </c>
      <c r="BD192" s="121">
        <v>72.978186635600451</v>
      </c>
      <c r="BE192" s="121">
        <v>73.187051722302471</v>
      </c>
      <c r="BF192" s="121">
        <v>73.280445520678938</v>
      </c>
      <c r="BG192" s="121">
        <v>73.414199644066244</v>
      </c>
      <c r="BH192" s="121">
        <v>73.416902401416522</v>
      </c>
      <c r="BI192" s="121">
        <v>73.413032729151055</v>
      </c>
      <c r="BJ192" s="121">
        <v>73.28680444812818</v>
      </c>
      <c r="BK192" s="121">
        <v>73.359661540267055</v>
      </c>
      <c r="BL192" s="121">
        <v>73.456454387769298</v>
      </c>
      <c r="BM192" s="121">
        <v>73.531106682048176</v>
      </c>
      <c r="BN192" s="121">
        <v>73.745283162697874</v>
      </c>
      <c r="BO192" s="121">
        <v>73.946637731395242</v>
      </c>
      <c r="BP192" s="121">
        <v>74.013075666251211</v>
      </c>
      <c r="BQ192" s="121">
        <v>74.074323054433052</v>
      </c>
      <c r="BR192" s="121">
        <v>74.048943542883066</v>
      </c>
      <c r="BS192" s="121">
        <v>74.097656289130612</v>
      </c>
      <c r="BT192" s="121">
        <v>74.089907358778959</v>
      </c>
      <c r="BU192" s="121">
        <v>74.144341386003916</v>
      </c>
      <c r="BV192" s="121">
        <v>74.307146322983968</v>
      </c>
      <c r="BW192" s="121">
        <v>74.365198974974561</v>
      </c>
      <c r="BX192" s="121">
        <v>74.450163648698833</v>
      </c>
      <c r="BY192" s="121">
        <v>74.429913780294825</v>
      </c>
      <c r="BZ192" s="121">
        <v>74.389813535938913</v>
      </c>
      <c r="CA192" s="121">
        <v>74.374880668256438</v>
      </c>
      <c r="CB192" s="121">
        <v>74.387710269042771</v>
      </c>
      <c r="CC192" s="121">
        <v>74.504793567301462</v>
      </c>
      <c r="CD192" s="121">
        <v>74.47386708448667</v>
      </c>
      <c r="CE192" s="121">
        <v>74.559559633452892</v>
      </c>
      <c r="CF192" s="121">
        <v>74.702375175215977</v>
      </c>
      <c r="CG192" s="121">
        <v>74.698896436993891</v>
      </c>
      <c r="CH192" s="121">
        <v>74.83906059523143</v>
      </c>
      <c r="CI192" s="121">
        <v>75.03206757979919</v>
      </c>
      <c r="CJ192" s="121">
        <v>75.189411585526116</v>
      </c>
      <c r="CK192" s="121">
        <v>75.060047722419725</v>
      </c>
      <c r="CL192" s="121">
        <v>74.925200866042658</v>
      </c>
      <c r="CM192" s="121">
        <v>74.990045291172791</v>
      </c>
      <c r="CN192" s="121">
        <v>75.246698491496659</v>
      </c>
      <c r="CO192" s="121">
        <v>75.07991259979228</v>
      </c>
      <c r="CP192" s="121">
        <v>75.202629224127904</v>
      </c>
      <c r="CQ192" s="121">
        <v>75.270344353864701</v>
      </c>
      <c r="CR192" s="121">
        <v>75.450975054308188</v>
      </c>
      <c r="CS192" s="121">
        <v>75.47903385519183</v>
      </c>
      <c r="CT192" s="121">
        <v>75.512979847256091</v>
      </c>
      <c r="CU192" s="121">
        <v>75.425873025732528</v>
      </c>
      <c r="CV192" s="121">
        <v>75.391671878018542</v>
      </c>
      <c r="CW192" s="121">
        <v>75.426166134364706</v>
      </c>
      <c r="CX192" s="121">
        <v>75.417909341627677</v>
      </c>
      <c r="CY192" s="121">
        <v>75.57208095497343</v>
      </c>
      <c r="CZ192" s="121">
        <v>75.616957871487529</v>
      </c>
      <c r="DA192" s="121">
        <v>75.684935450946185</v>
      </c>
      <c r="DB192" s="121">
        <v>75.952764090465436</v>
      </c>
      <c r="DC192" s="121">
        <v>75.970441265998801</v>
      </c>
      <c r="DD192" s="121">
        <v>75.902745264837549</v>
      </c>
      <c r="DE192" s="121">
        <v>76.00805927935248</v>
      </c>
      <c r="DF192" s="121">
        <v>75.999809844361991</v>
      </c>
      <c r="DG192" s="121">
        <v>76.087779457665533</v>
      </c>
      <c r="DH192" s="121">
        <v>76.03963300798307</v>
      </c>
      <c r="DI192" s="121">
        <v>75.92364283869189</v>
      </c>
      <c r="DJ192" s="121">
        <v>76.00730194543705</v>
      </c>
      <c r="DK192" s="121">
        <v>76.038640543712816</v>
      </c>
      <c r="DL192" s="121">
        <v>76.218734498876088</v>
      </c>
      <c r="DM192" s="121">
        <v>76.378310518244135</v>
      </c>
      <c r="DN192" s="121">
        <v>76.378729942608558</v>
      </c>
      <c r="DO192" s="121">
        <v>76.490866736886744</v>
      </c>
      <c r="DP192" s="121">
        <v>75.928121847399737</v>
      </c>
      <c r="DQ192" s="121">
        <v>75.660802765847521</v>
      </c>
      <c r="DR192" s="121">
        <v>75.503952620635147</v>
      </c>
      <c r="DS192" s="121">
        <v>75.420195354028678</v>
      </c>
      <c r="DT192" s="121">
        <v>75.25116829575515</v>
      </c>
      <c r="DU192" s="121">
        <v>74.987927797240943</v>
      </c>
      <c r="DV192" s="121">
        <v>74.600905322323044</v>
      </c>
      <c r="DW192" s="121">
        <v>74.457238986191271</v>
      </c>
      <c r="DX192" s="121">
        <v>74.515761482935233</v>
      </c>
      <c r="DY192" s="121">
        <v>74.319784751389435</v>
      </c>
      <c r="DZ192" s="121">
        <v>74.323280083871026</v>
      </c>
      <c r="EA192" s="121">
        <v>74.500333436925231</v>
      </c>
      <c r="EB192" s="121">
        <v>74.419269291119079</v>
      </c>
      <c r="EC192" s="121">
        <v>74.426016580932227</v>
      </c>
      <c r="ED192" s="121">
        <v>74.470474315994608</v>
      </c>
      <c r="EE192" s="121">
        <v>74.727432239670151</v>
      </c>
      <c r="EF192" s="121">
        <v>74.824026864860855</v>
      </c>
      <c r="EG192" s="121">
        <v>74.935241841336349</v>
      </c>
      <c r="EH192" s="121">
        <v>75.046031217079573</v>
      </c>
      <c r="EI192" s="121">
        <v>74.986594009437624</v>
      </c>
      <c r="EJ192" s="121">
        <v>74.991310881628721</v>
      </c>
      <c r="EK192" s="121">
        <v>75.05785834596098</v>
      </c>
      <c r="EL192" s="128">
        <v>75.038850146241586</v>
      </c>
      <c r="EM192" s="108">
        <v>75.037549106051515</v>
      </c>
      <c r="EN192" s="128">
        <v>75.109352399520063</v>
      </c>
      <c r="EO192" s="128">
        <v>75.156947819909789</v>
      </c>
      <c r="EP192" s="121">
        <v>75.398738568094416</v>
      </c>
      <c r="EQ192" s="128">
        <v>75.066732683469567</v>
      </c>
      <c r="ER192" s="128">
        <v>74.950820544823742</v>
      </c>
      <c r="ES192" s="108">
        <v>75.041202135253656</v>
      </c>
      <c r="ET192" s="108">
        <v>74.956682829119671</v>
      </c>
      <c r="EU192" s="108">
        <v>75.02175481523166</v>
      </c>
      <c r="EV192" s="121">
        <v>75.010315927034171</v>
      </c>
      <c r="EW192" s="111">
        <v>75.136188250553531</v>
      </c>
      <c r="EX192" s="108">
        <v>75.16007543739542</v>
      </c>
      <c r="EY192" s="108">
        <v>75.15151207009346</v>
      </c>
      <c r="EZ192" s="121">
        <v>75.28328338883118</v>
      </c>
      <c r="FA192" s="108">
        <v>75.475189034810768</v>
      </c>
      <c r="FB192" s="121">
        <v>75.444497185838344</v>
      </c>
      <c r="FC192" s="108">
        <v>75.198419885391672</v>
      </c>
      <c r="FD192" s="108">
        <v>74.910496321384699</v>
      </c>
      <c r="FE192" s="128">
        <v>74.688656682486794</v>
      </c>
      <c r="FF192" s="108">
        <v>74.887733375994429</v>
      </c>
      <c r="FG192" s="128">
        <v>74.883157063576917</v>
      </c>
      <c r="FH192" s="108">
        <v>74.859895030498521</v>
      </c>
      <c r="FI192" s="121">
        <v>74.852974396274078</v>
      </c>
      <c r="FJ192" s="111">
        <v>74.659177279638797</v>
      </c>
      <c r="FK192" s="111">
        <v>74.55901190200197</v>
      </c>
      <c r="FL192" s="111">
        <v>74.495675414989066</v>
      </c>
      <c r="FM192" s="111">
        <v>74.396208533706854</v>
      </c>
      <c r="FN192" s="116">
        <v>74.407764323915487</v>
      </c>
      <c r="FO192" s="111">
        <v>74.574397057150151</v>
      </c>
      <c r="FP192" s="111">
        <v>74.722902674145047</v>
      </c>
      <c r="FQ192" s="111">
        <v>74.985703831661851</v>
      </c>
      <c r="FR192" s="111">
        <v>74.937975580477485</v>
      </c>
      <c r="FS192" s="111">
        <v>74.902472586787169</v>
      </c>
      <c r="FT192" s="111">
        <v>74.850934796288655</v>
      </c>
      <c r="FU192" s="111">
        <v>74.956007115185059</v>
      </c>
      <c r="FV192" s="111">
        <v>75.006017765513917</v>
      </c>
      <c r="FW192" s="111">
        <v>75.066049868007099</v>
      </c>
      <c r="FX192" s="111">
        <v>74.999445427577271</v>
      </c>
      <c r="FY192" s="111">
        <v>75.057705153172918</v>
      </c>
      <c r="FZ192" s="124">
        <v>75.241221231307421</v>
      </c>
      <c r="GA192" s="111"/>
      <c r="GB192" s="107"/>
      <c r="GC192" s="107"/>
      <c r="GD192" s="107"/>
      <c r="GE192" s="107"/>
      <c r="GF192" s="107"/>
      <c r="GG192" s="160"/>
    </row>
    <row r="193" spans="2:189" x14ac:dyDescent="0.2">
      <c r="B193" s="97">
        <v>45870</v>
      </c>
      <c r="C193" s="111">
        <v>70.422667390858052</v>
      </c>
      <c r="D193" s="111">
        <v>70.621486151623998</v>
      </c>
      <c r="E193" s="111">
        <v>70.638593680386805</v>
      </c>
      <c r="F193" s="111">
        <v>70.705399556203304</v>
      </c>
      <c r="G193" s="111">
        <v>70.49040918716814</v>
      </c>
      <c r="H193" s="111">
        <v>70.338702077892592</v>
      </c>
      <c r="I193" s="111">
        <v>70.38984940855012</v>
      </c>
      <c r="J193" s="111">
        <v>70.468865143978903</v>
      </c>
      <c r="K193" s="111">
        <v>70.586396738483302</v>
      </c>
      <c r="L193" s="111">
        <v>70.546146885197274</v>
      </c>
      <c r="M193" s="111">
        <v>70.481744775577454</v>
      </c>
      <c r="N193" s="111">
        <v>70.512158476249269</v>
      </c>
      <c r="O193" s="111">
        <v>70.450461862802683</v>
      </c>
      <c r="P193" s="111">
        <v>70.219556850312301</v>
      </c>
      <c r="Q193" s="121">
        <v>70.196525401601832</v>
      </c>
      <c r="R193" s="121">
        <v>70.107073622921433</v>
      </c>
      <c r="S193" s="121">
        <v>70.146236836211258</v>
      </c>
      <c r="T193" s="121">
        <v>70.147571774895738</v>
      </c>
      <c r="U193" s="121">
        <v>70.221357223978373</v>
      </c>
      <c r="V193" s="121">
        <v>70.243626362562495</v>
      </c>
      <c r="W193" s="121">
        <v>70.3167041654836</v>
      </c>
      <c r="X193" s="121">
        <v>70.471220816728803</v>
      </c>
      <c r="Y193" s="121">
        <v>70.532643359737918</v>
      </c>
      <c r="Z193" s="121">
        <v>70.665562799369852</v>
      </c>
      <c r="AA193" s="121">
        <v>70.912690189188382</v>
      </c>
      <c r="AB193" s="121">
        <v>71.068921010496695</v>
      </c>
      <c r="AC193" s="121">
        <v>71.168042256635403</v>
      </c>
      <c r="AD193" s="121">
        <v>71.133962631343024</v>
      </c>
      <c r="AE193" s="121">
        <v>71.0745423121583</v>
      </c>
      <c r="AF193" s="121">
        <v>71.29134205301078</v>
      </c>
      <c r="AG193" s="121">
        <v>71.404676549747975</v>
      </c>
      <c r="AH193" s="121">
        <v>71.356223639788553</v>
      </c>
      <c r="AI193" s="121">
        <v>71.161906843076366</v>
      </c>
      <c r="AJ193" s="121">
        <v>71.178218789923918</v>
      </c>
      <c r="AK193" s="121">
        <v>71.236576737507576</v>
      </c>
      <c r="AL193" s="121">
        <v>71.201588417087152</v>
      </c>
      <c r="AM193" s="121">
        <v>71.327646584957122</v>
      </c>
      <c r="AN193" s="121">
        <v>71.479119392934436</v>
      </c>
      <c r="AO193" s="121">
        <v>71.503300098896929</v>
      </c>
      <c r="AP193" s="121">
        <v>71.647801313284404</v>
      </c>
      <c r="AQ193" s="121">
        <v>71.868294494125578</v>
      </c>
      <c r="AR193" s="121">
        <v>72.026336223410979</v>
      </c>
      <c r="AS193" s="121">
        <v>71.987289039381025</v>
      </c>
      <c r="AT193" s="121">
        <v>72.096325701774575</v>
      </c>
      <c r="AU193" s="121">
        <v>72.365171627820928</v>
      </c>
      <c r="AV193" s="121">
        <v>72.451961443091591</v>
      </c>
      <c r="AW193" s="121">
        <v>72.680892825773583</v>
      </c>
      <c r="AX193" s="121">
        <v>72.89321057258411</v>
      </c>
      <c r="AY193" s="121">
        <v>72.81970445205404</v>
      </c>
      <c r="AZ193" s="121">
        <v>72.77474493288787</v>
      </c>
      <c r="BA193" s="121">
        <v>72.962625630667688</v>
      </c>
      <c r="BB193" s="121">
        <v>73.030284715646275</v>
      </c>
      <c r="BC193" s="121">
        <v>72.993684241061786</v>
      </c>
      <c r="BD193" s="121">
        <v>72.978186635600451</v>
      </c>
      <c r="BE193" s="121">
        <v>73.187051722302471</v>
      </c>
      <c r="BF193" s="121">
        <v>73.280445520678938</v>
      </c>
      <c r="BG193" s="121">
        <v>73.414199644066244</v>
      </c>
      <c r="BH193" s="121">
        <v>73.416902401416522</v>
      </c>
      <c r="BI193" s="121">
        <v>73.413032729151055</v>
      </c>
      <c r="BJ193" s="121">
        <v>73.28680444812818</v>
      </c>
      <c r="BK193" s="121">
        <v>73.359661540267055</v>
      </c>
      <c r="BL193" s="121">
        <v>73.456454387769298</v>
      </c>
      <c r="BM193" s="121">
        <v>73.531106682048176</v>
      </c>
      <c r="BN193" s="121">
        <v>73.745283162697874</v>
      </c>
      <c r="BO193" s="121">
        <v>73.946637731395242</v>
      </c>
      <c r="BP193" s="121">
        <v>74.013075666251211</v>
      </c>
      <c r="BQ193" s="121">
        <v>74.074323054433052</v>
      </c>
      <c r="BR193" s="121">
        <v>74.048943542883066</v>
      </c>
      <c r="BS193" s="121">
        <v>74.097656289130612</v>
      </c>
      <c r="BT193" s="121">
        <v>74.089907358778959</v>
      </c>
      <c r="BU193" s="121">
        <v>74.144341386003916</v>
      </c>
      <c r="BV193" s="121">
        <v>74.307146322983968</v>
      </c>
      <c r="BW193" s="121">
        <v>74.365198974974561</v>
      </c>
      <c r="BX193" s="121">
        <v>74.450163648698833</v>
      </c>
      <c r="BY193" s="121">
        <v>74.429913780294825</v>
      </c>
      <c r="BZ193" s="121">
        <v>74.389813535938913</v>
      </c>
      <c r="CA193" s="121">
        <v>74.374880668256438</v>
      </c>
      <c r="CB193" s="121">
        <v>74.387710269042771</v>
      </c>
      <c r="CC193" s="121">
        <v>74.504793567301462</v>
      </c>
      <c r="CD193" s="121">
        <v>74.47386708448667</v>
      </c>
      <c r="CE193" s="121">
        <v>74.559559633452892</v>
      </c>
      <c r="CF193" s="121">
        <v>74.702375175215977</v>
      </c>
      <c r="CG193" s="121">
        <v>74.698896436993891</v>
      </c>
      <c r="CH193" s="121">
        <v>74.83906059523143</v>
      </c>
      <c r="CI193" s="121">
        <v>75.03206757979919</v>
      </c>
      <c r="CJ193" s="121">
        <v>75.189411585526116</v>
      </c>
      <c r="CK193" s="121">
        <v>75.060047722419725</v>
      </c>
      <c r="CL193" s="121">
        <v>74.925200866042658</v>
      </c>
      <c r="CM193" s="121">
        <v>74.990045291172791</v>
      </c>
      <c r="CN193" s="121">
        <v>75.246698491496659</v>
      </c>
      <c r="CO193" s="121">
        <v>75.07991259979228</v>
      </c>
      <c r="CP193" s="121">
        <v>75.202629224127904</v>
      </c>
      <c r="CQ193" s="121">
        <v>75.270344353864701</v>
      </c>
      <c r="CR193" s="121">
        <v>75.450975054308188</v>
      </c>
      <c r="CS193" s="121">
        <v>75.47903385519183</v>
      </c>
      <c r="CT193" s="121">
        <v>75.512979847256091</v>
      </c>
      <c r="CU193" s="121">
        <v>75.425873025732528</v>
      </c>
      <c r="CV193" s="121">
        <v>75.391671878018542</v>
      </c>
      <c r="CW193" s="121">
        <v>75.426166134364706</v>
      </c>
      <c r="CX193" s="121">
        <v>75.417909341627677</v>
      </c>
      <c r="CY193" s="121">
        <v>75.57208095497343</v>
      </c>
      <c r="CZ193" s="121">
        <v>75.616957871487529</v>
      </c>
      <c r="DA193" s="121">
        <v>75.684935450946185</v>
      </c>
      <c r="DB193" s="121">
        <v>75.952764090465436</v>
      </c>
      <c r="DC193" s="121">
        <v>75.970441265998801</v>
      </c>
      <c r="DD193" s="121">
        <v>75.902745264837549</v>
      </c>
      <c r="DE193" s="121">
        <v>76.00805927935248</v>
      </c>
      <c r="DF193" s="121">
        <v>75.999809844361991</v>
      </c>
      <c r="DG193" s="121">
        <v>76.087779457665533</v>
      </c>
      <c r="DH193" s="121">
        <v>76.03963300798307</v>
      </c>
      <c r="DI193" s="121">
        <v>75.92364283869189</v>
      </c>
      <c r="DJ193" s="121">
        <v>76.00730194543705</v>
      </c>
      <c r="DK193" s="121">
        <v>76.038640543712816</v>
      </c>
      <c r="DL193" s="121">
        <v>76.218734498876088</v>
      </c>
      <c r="DM193" s="121">
        <v>76.378310518244135</v>
      </c>
      <c r="DN193" s="121">
        <v>76.378729942608558</v>
      </c>
      <c r="DO193" s="121">
        <v>76.490866736886744</v>
      </c>
      <c r="DP193" s="121">
        <v>75.928121847399737</v>
      </c>
      <c r="DQ193" s="121">
        <v>75.660802765847521</v>
      </c>
      <c r="DR193" s="121">
        <v>75.503952620635147</v>
      </c>
      <c r="DS193" s="121">
        <v>75.420195354028678</v>
      </c>
      <c r="DT193" s="121">
        <v>75.25116829575515</v>
      </c>
      <c r="DU193" s="121">
        <v>74.987927797240943</v>
      </c>
      <c r="DV193" s="121">
        <v>74.600905322323044</v>
      </c>
      <c r="DW193" s="121">
        <v>74.457238986191271</v>
      </c>
      <c r="DX193" s="121">
        <v>74.515761482935233</v>
      </c>
      <c r="DY193" s="121">
        <v>74.319784751389435</v>
      </c>
      <c r="DZ193" s="121">
        <v>74.323280083871026</v>
      </c>
      <c r="EA193" s="121">
        <v>74.500333436925231</v>
      </c>
      <c r="EB193" s="121">
        <v>74.419269291119079</v>
      </c>
      <c r="EC193" s="121">
        <v>74.426016580932227</v>
      </c>
      <c r="ED193" s="121">
        <v>74.470474315994608</v>
      </c>
      <c r="EE193" s="121">
        <v>74.727432239670151</v>
      </c>
      <c r="EF193" s="121">
        <v>74.824026864860855</v>
      </c>
      <c r="EG193" s="121">
        <v>74.935241841336349</v>
      </c>
      <c r="EH193" s="121">
        <v>75.046031217079573</v>
      </c>
      <c r="EI193" s="121">
        <v>74.986594009437624</v>
      </c>
      <c r="EJ193" s="121">
        <v>74.991310881628721</v>
      </c>
      <c r="EK193" s="121">
        <v>75.05785834596098</v>
      </c>
      <c r="EL193" s="128">
        <v>75.038850146241586</v>
      </c>
      <c r="EM193" s="108">
        <v>75.037549106051515</v>
      </c>
      <c r="EN193" s="128">
        <v>75.109352399520063</v>
      </c>
      <c r="EO193" s="128">
        <v>75.156947819909789</v>
      </c>
      <c r="EP193" s="121">
        <v>75.398738568094416</v>
      </c>
      <c r="EQ193" s="128">
        <v>75.066732683469567</v>
      </c>
      <c r="ER193" s="128">
        <v>74.950820544823742</v>
      </c>
      <c r="ES193" s="108">
        <v>75.041202135253656</v>
      </c>
      <c r="ET193" s="108">
        <v>74.956682829119671</v>
      </c>
      <c r="EU193" s="108">
        <v>75.02175481523166</v>
      </c>
      <c r="EV193" s="121">
        <v>75.010315927034171</v>
      </c>
      <c r="EW193" s="111">
        <v>75.136188250553531</v>
      </c>
      <c r="EX193" s="108">
        <v>75.16007543739542</v>
      </c>
      <c r="EY193" s="108">
        <v>75.15151207009346</v>
      </c>
      <c r="EZ193" s="121">
        <v>75.28328338883118</v>
      </c>
      <c r="FA193" s="108">
        <v>75.475189034810768</v>
      </c>
      <c r="FB193" s="121">
        <v>75.444497185838344</v>
      </c>
      <c r="FC193" s="108">
        <v>75.198419885391672</v>
      </c>
      <c r="FD193" s="108">
        <v>74.910496321384699</v>
      </c>
      <c r="FE193" s="128">
        <v>74.688656682486794</v>
      </c>
      <c r="FF193" s="108">
        <v>74.887733375994429</v>
      </c>
      <c r="FG193" s="128">
        <v>74.883157063576917</v>
      </c>
      <c r="FH193" s="108">
        <v>74.859895030498521</v>
      </c>
      <c r="FI193" s="121">
        <v>74.852974396274078</v>
      </c>
      <c r="FJ193" s="111">
        <v>74.659177279638797</v>
      </c>
      <c r="FK193" s="111">
        <v>74.55901190200197</v>
      </c>
      <c r="FL193" s="111">
        <v>74.495675414989066</v>
      </c>
      <c r="FM193" s="111">
        <v>74.396208533706854</v>
      </c>
      <c r="FN193" s="111">
        <v>74.407764323915487</v>
      </c>
      <c r="FO193" s="116">
        <v>74.574397057150151</v>
      </c>
      <c r="FP193" s="111">
        <v>74.722902674145047</v>
      </c>
      <c r="FQ193" s="111">
        <v>74.985703831661851</v>
      </c>
      <c r="FR193" s="111">
        <v>74.937975580477485</v>
      </c>
      <c r="FS193" s="111">
        <v>74.902472586787169</v>
      </c>
      <c r="FT193" s="111">
        <v>74.850934796288655</v>
      </c>
      <c r="FU193" s="111">
        <v>74.956007115185059</v>
      </c>
      <c r="FV193" s="111">
        <v>75.006017765513917</v>
      </c>
      <c r="FW193" s="111">
        <v>75.066049868007099</v>
      </c>
      <c r="FX193" s="111">
        <v>74.999445427577271</v>
      </c>
      <c r="FY193" s="111">
        <v>75.057705153172918</v>
      </c>
      <c r="FZ193" s="111">
        <v>75.241221231307421</v>
      </c>
      <c r="GA193" s="124">
        <v>75.268460915089989</v>
      </c>
      <c r="GB193" s="111"/>
      <c r="GC193" s="107"/>
      <c r="GD193" s="107"/>
      <c r="GE193" s="107"/>
      <c r="GF193" s="107"/>
      <c r="GG193" s="160"/>
    </row>
    <row r="194" spans="2:189" x14ac:dyDescent="0.2">
      <c r="B194" s="97">
        <v>45901</v>
      </c>
      <c r="C194" s="111">
        <v>70.422667390858052</v>
      </c>
      <c r="D194" s="111">
        <v>70.621486151623998</v>
      </c>
      <c r="E194" s="111">
        <v>70.638593680386805</v>
      </c>
      <c r="F194" s="111">
        <v>70.705399556203304</v>
      </c>
      <c r="G194" s="111">
        <v>70.49040918716814</v>
      </c>
      <c r="H194" s="111">
        <v>70.338702077892592</v>
      </c>
      <c r="I194" s="111">
        <v>70.38984940855012</v>
      </c>
      <c r="J194" s="111">
        <v>70.468865143978903</v>
      </c>
      <c r="K194" s="111">
        <v>70.586396738483302</v>
      </c>
      <c r="L194" s="111">
        <v>70.546146885197274</v>
      </c>
      <c r="M194" s="111">
        <v>70.481744775577454</v>
      </c>
      <c r="N194" s="111">
        <v>70.512158476249269</v>
      </c>
      <c r="O194" s="111">
        <v>70.450461862802683</v>
      </c>
      <c r="P194" s="111">
        <v>70.219556850312301</v>
      </c>
      <c r="Q194" s="121">
        <v>70.196525401601832</v>
      </c>
      <c r="R194" s="121">
        <v>70.107073622921433</v>
      </c>
      <c r="S194" s="121">
        <v>70.146236836211258</v>
      </c>
      <c r="T194" s="121">
        <v>70.147571774895738</v>
      </c>
      <c r="U194" s="121">
        <v>70.221357223978373</v>
      </c>
      <c r="V194" s="121">
        <v>70.243626362562495</v>
      </c>
      <c r="W194" s="121">
        <v>70.3167041654836</v>
      </c>
      <c r="X194" s="121">
        <v>70.471220816728803</v>
      </c>
      <c r="Y194" s="121">
        <v>70.532643359737918</v>
      </c>
      <c r="Z194" s="121">
        <v>70.665562799369852</v>
      </c>
      <c r="AA194" s="121">
        <v>70.912690189188382</v>
      </c>
      <c r="AB194" s="121">
        <v>71.068921010496695</v>
      </c>
      <c r="AC194" s="121">
        <v>71.168042256635403</v>
      </c>
      <c r="AD194" s="121">
        <v>71.133962631343024</v>
      </c>
      <c r="AE194" s="121">
        <v>71.0745423121583</v>
      </c>
      <c r="AF194" s="121">
        <v>71.29134205301078</v>
      </c>
      <c r="AG194" s="121">
        <v>71.404676549747975</v>
      </c>
      <c r="AH194" s="121">
        <v>71.356223639788553</v>
      </c>
      <c r="AI194" s="121">
        <v>71.161906843076366</v>
      </c>
      <c r="AJ194" s="121">
        <v>71.178218789923918</v>
      </c>
      <c r="AK194" s="121">
        <v>71.236576737507576</v>
      </c>
      <c r="AL194" s="121">
        <v>71.201588417087152</v>
      </c>
      <c r="AM194" s="121">
        <v>71.327646584957122</v>
      </c>
      <c r="AN194" s="121">
        <v>71.479119392934436</v>
      </c>
      <c r="AO194" s="121">
        <v>71.503300098896929</v>
      </c>
      <c r="AP194" s="121">
        <v>71.647801313284404</v>
      </c>
      <c r="AQ194" s="121">
        <v>71.868294494125578</v>
      </c>
      <c r="AR194" s="121">
        <v>72.026336223410979</v>
      </c>
      <c r="AS194" s="121">
        <v>71.987289039381025</v>
      </c>
      <c r="AT194" s="121">
        <v>72.096325701774575</v>
      </c>
      <c r="AU194" s="121">
        <v>72.365171627820928</v>
      </c>
      <c r="AV194" s="121">
        <v>72.451961443091591</v>
      </c>
      <c r="AW194" s="121">
        <v>72.680892825773583</v>
      </c>
      <c r="AX194" s="121">
        <v>72.89321057258411</v>
      </c>
      <c r="AY194" s="121">
        <v>72.81970445205404</v>
      </c>
      <c r="AZ194" s="121">
        <v>72.77474493288787</v>
      </c>
      <c r="BA194" s="121">
        <v>72.962625630667688</v>
      </c>
      <c r="BB194" s="121">
        <v>73.030284715646275</v>
      </c>
      <c r="BC194" s="121">
        <v>72.993684241061786</v>
      </c>
      <c r="BD194" s="121">
        <v>72.978186635600451</v>
      </c>
      <c r="BE194" s="121">
        <v>73.187051722302471</v>
      </c>
      <c r="BF194" s="121">
        <v>73.280445520678938</v>
      </c>
      <c r="BG194" s="121">
        <v>73.414199644066244</v>
      </c>
      <c r="BH194" s="121">
        <v>73.416902401416522</v>
      </c>
      <c r="BI194" s="121">
        <v>73.413032729151055</v>
      </c>
      <c r="BJ194" s="121">
        <v>73.28680444812818</v>
      </c>
      <c r="BK194" s="121">
        <v>73.359661540267055</v>
      </c>
      <c r="BL194" s="121">
        <v>73.456454387769298</v>
      </c>
      <c r="BM194" s="121">
        <v>73.531106682048176</v>
      </c>
      <c r="BN194" s="121">
        <v>73.745283162697874</v>
      </c>
      <c r="BO194" s="121">
        <v>73.946637731395242</v>
      </c>
      <c r="BP194" s="121">
        <v>74.013075666251211</v>
      </c>
      <c r="BQ194" s="121">
        <v>74.074323054433052</v>
      </c>
      <c r="BR194" s="121">
        <v>74.048943542883066</v>
      </c>
      <c r="BS194" s="121">
        <v>74.097656289130612</v>
      </c>
      <c r="BT194" s="121">
        <v>74.089907358778959</v>
      </c>
      <c r="BU194" s="121">
        <v>74.144341386003916</v>
      </c>
      <c r="BV194" s="121">
        <v>74.307146322983968</v>
      </c>
      <c r="BW194" s="121">
        <v>74.365198974974561</v>
      </c>
      <c r="BX194" s="121">
        <v>74.450163648698833</v>
      </c>
      <c r="BY194" s="121">
        <v>74.429913780294825</v>
      </c>
      <c r="BZ194" s="121">
        <v>74.389813535938913</v>
      </c>
      <c r="CA194" s="121">
        <v>74.374880668256438</v>
      </c>
      <c r="CB194" s="121">
        <v>74.387710269042771</v>
      </c>
      <c r="CC194" s="121">
        <v>74.504793567301462</v>
      </c>
      <c r="CD194" s="121">
        <v>74.47386708448667</v>
      </c>
      <c r="CE194" s="121">
        <v>74.559559633452892</v>
      </c>
      <c r="CF194" s="121">
        <v>74.702375175215977</v>
      </c>
      <c r="CG194" s="121">
        <v>74.698896436993891</v>
      </c>
      <c r="CH194" s="121">
        <v>74.83906059523143</v>
      </c>
      <c r="CI194" s="121">
        <v>75.03206757979919</v>
      </c>
      <c r="CJ194" s="121">
        <v>75.189411585526116</v>
      </c>
      <c r="CK194" s="121">
        <v>75.060047722419725</v>
      </c>
      <c r="CL194" s="121">
        <v>74.925200866042658</v>
      </c>
      <c r="CM194" s="121">
        <v>74.990045291172791</v>
      </c>
      <c r="CN194" s="121">
        <v>75.246698491496659</v>
      </c>
      <c r="CO194" s="121">
        <v>75.07991259979228</v>
      </c>
      <c r="CP194" s="121">
        <v>75.202629224127904</v>
      </c>
      <c r="CQ194" s="121">
        <v>75.270344353864701</v>
      </c>
      <c r="CR194" s="121">
        <v>75.450975054308188</v>
      </c>
      <c r="CS194" s="121">
        <v>75.47903385519183</v>
      </c>
      <c r="CT194" s="121">
        <v>75.512979847256091</v>
      </c>
      <c r="CU194" s="121">
        <v>75.425873025732528</v>
      </c>
      <c r="CV194" s="121">
        <v>75.391671878018542</v>
      </c>
      <c r="CW194" s="121">
        <v>75.426166134364706</v>
      </c>
      <c r="CX194" s="121">
        <v>75.417909341627677</v>
      </c>
      <c r="CY194" s="121">
        <v>75.57208095497343</v>
      </c>
      <c r="CZ194" s="121">
        <v>75.616957871487529</v>
      </c>
      <c r="DA194" s="121">
        <v>75.684935450946185</v>
      </c>
      <c r="DB194" s="121">
        <v>75.952764090465436</v>
      </c>
      <c r="DC194" s="121">
        <v>75.970441265998801</v>
      </c>
      <c r="DD194" s="121">
        <v>75.902745264837549</v>
      </c>
      <c r="DE194" s="121">
        <v>76.00805927935248</v>
      </c>
      <c r="DF194" s="121">
        <v>75.999809844361991</v>
      </c>
      <c r="DG194" s="121">
        <v>76.087779457665533</v>
      </c>
      <c r="DH194" s="121">
        <v>76.03963300798307</v>
      </c>
      <c r="DI194" s="121">
        <v>75.92364283869189</v>
      </c>
      <c r="DJ194" s="121">
        <v>76.00730194543705</v>
      </c>
      <c r="DK194" s="121">
        <v>76.038640543712816</v>
      </c>
      <c r="DL194" s="121">
        <v>76.218734498876088</v>
      </c>
      <c r="DM194" s="121">
        <v>76.378310518244135</v>
      </c>
      <c r="DN194" s="121">
        <v>76.378729942608558</v>
      </c>
      <c r="DO194" s="121">
        <v>76.490866736886744</v>
      </c>
      <c r="DP194" s="121">
        <v>75.928121847399737</v>
      </c>
      <c r="DQ194" s="121">
        <v>75.660802765847521</v>
      </c>
      <c r="DR194" s="121">
        <v>75.503952620635147</v>
      </c>
      <c r="DS194" s="121">
        <v>75.420195354028678</v>
      </c>
      <c r="DT194" s="121">
        <v>75.25116829575515</v>
      </c>
      <c r="DU194" s="121">
        <v>74.987927797240943</v>
      </c>
      <c r="DV194" s="121">
        <v>74.600905322323044</v>
      </c>
      <c r="DW194" s="121">
        <v>74.457238986191271</v>
      </c>
      <c r="DX194" s="121">
        <v>74.515761482935233</v>
      </c>
      <c r="DY194" s="121">
        <v>74.319784751389435</v>
      </c>
      <c r="DZ194" s="121">
        <v>74.323280083871026</v>
      </c>
      <c r="EA194" s="121">
        <v>74.500333436925231</v>
      </c>
      <c r="EB194" s="121">
        <v>74.419269291119079</v>
      </c>
      <c r="EC194" s="121">
        <v>74.426016580932227</v>
      </c>
      <c r="ED194" s="121">
        <v>74.470474315994608</v>
      </c>
      <c r="EE194" s="121">
        <v>74.727432239670151</v>
      </c>
      <c r="EF194" s="121">
        <v>74.824026864860855</v>
      </c>
      <c r="EG194" s="121">
        <v>74.935241841336349</v>
      </c>
      <c r="EH194" s="121">
        <v>75.046031217079573</v>
      </c>
      <c r="EI194" s="121">
        <v>74.986594009437624</v>
      </c>
      <c r="EJ194" s="121">
        <v>74.991310881628721</v>
      </c>
      <c r="EK194" s="121">
        <v>75.05785834596098</v>
      </c>
      <c r="EL194" s="128">
        <v>75.038850146241586</v>
      </c>
      <c r="EM194" s="108">
        <v>75.037549106051515</v>
      </c>
      <c r="EN194" s="128">
        <v>75.109352399520063</v>
      </c>
      <c r="EO194" s="128">
        <v>75.156947819909789</v>
      </c>
      <c r="EP194" s="121">
        <v>75.398738568094416</v>
      </c>
      <c r="EQ194" s="128">
        <v>75.066732683469567</v>
      </c>
      <c r="ER194" s="128">
        <v>74.950820544823742</v>
      </c>
      <c r="ES194" s="108">
        <v>75.041202135253656</v>
      </c>
      <c r="ET194" s="108">
        <v>74.956682829119671</v>
      </c>
      <c r="EU194" s="108">
        <v>75.02175481523166</v>
      </c>
      <c r="EV194" s="121">
        <v>75.010315927034171</v>
      </c>
      <c r="EW194" s="111">
        <v>75.136188250553531</v>
      </c>
      <c r="EX194" s="108">
        <v>75.16007543739542</v>
      </c>
      <c r="EY194" s="108">
        <v>75.15151207009346</v>
      </c>
      <c r="EZ194" s="121">
        <v>75.28328338883118</v>
      </c>
      <c r="FA194" s="108">
        <v>75.475189034810768</v>
      </c>
      <c r="FB194" s="121">
        <v>75.444497185838344</v>
      </c>
      <c r="FC194" s="108">
        <v>75.198419885391672</v>
      </c>
      <c r="FD194" s="108">
        <v>74.910496321384699</v>
      </c>
      <c r="FE194" s="128">
        <v>74.688656682486794</v>
      </c>
      <c r="FF194" s="108">
        <v>74.887733375994429</v>
      </c>
      <c r="FG194" s="128">
        <v>74.883157063576917</v>
      </c>
      <c r="FH194" s="108">
        <v>74.859895030498521</v>
      </c>
      <c r="FI194" s="121">
        <v>74.852974396274078</v>
      </c>
      <c r="FJ194" s="111">
        <v>74.659177279638797</v>
      </c>
      <c r="FK194" s="111">
        <v>74.55901190200197</v>
      </c>
      <c r="FL194" s="111">
        <v>74.495675414989066</v>
      </c>
      <c r="FM194" s="111">
        <v>74.396208533706854</v>
      </c>
      <c r="FN194" s="111">
        <v>74.407764323915487</v>
      </c>
      <c r="FO194" s="111">
        <v>74.574397057150151</v>
      </c>
      <c r="FP194" s="116">
        <v>74.722902674145047</v>
      </c>
      <c r="FQ194" s="111">
        <v>74.985703831661851</v>
      </c>
      <c r="FR194" s="111">
        <v>74.937975580477485</v>
      </c>
      <c r="FS194" s="111">
        <v>74.902472586787169</v>
      </c>
      <c r="FT194" s="111">
        <v>74.850934796288655</v>
      </c>
      <c r="FU194" s="111">
        <v>74.956007115185059</v>
      </c>
      <c r="FV194" s="111">
        <v>75.006017765513917</v>
      </c>
      <c r="FW194" s="111">
        <v>75.066049868007099</v>
      </c>
      <c r="FX194" s="111">
        <v>74.999445427577271</v>
      </c>
      <c r="FY194" s="111">
        <v>75.057705153172918</v>
      </c>
      <c r="FZ194" s="111">
        <v>75.241221231307421</v>
      </c>
      <c r="GA194" s="111">
        <v>75.268460915089989</v>
      </c>
      <c r="GB194" s="124">
        <v>75.174093498404631</v>
      </c>
      <c r="GC194" s="111"/>
      <c r="GD194" s="107"/>
      <c r="GE194" s="107"/>
      <c r="GF194" s="107"/>
      <c r="GG194" s="160"/>
    </row>
    <row r="195" spans="2:189" x14ac:dyDescent="0.2">
      <c r="B195" s="97">
        <v>45931</v>
      </c>
      <c r="C195" s="111">
        <v>70.422667390858052</v>
      </c>
      <c r="D195" s="111">
        <v>70.621486151623998</v>
      </c>
      <c r="E195" s="111">
        <v>70.638593680386805</v>
      </c>
      <c r="F195" s="111">
        <v>70.705399556203304</v>
      </c>
      <c r="G195" s="111">
        <v>70.49040918716814</v>
      </c>
      <c r="H195" s="111">
        <v>70.338702077892592</v>
      </c>
      <c r="I195" s="111">
        <v>70.38984940855012</v>
      </c>
      <c r="J195" s="111">
        <v>70.468865143978903</v>
      </c>
      <c r="K195" s="111">
        <v>70.586396738483302</v>
      </c>
      <c r="L195" s="111">
        <v>70.546146885197274</v>
      </c>
      <c r="M195" s="111">
        <v>70.481744775577454</v>
      </c>
      <c r="N195" s="111">
        <v>70.512158476249269</v>
      </c>
      <c r="O195" s="111">
        <v>70.450461862802683</v>
      </c>
      <c r="P195" s="111">
        <v>70.219556850312301</v>
      </c>
      <c r="Q195" s="121">
        <v>70.196525401601832</v>
      </c>
      <c r="R195" s="121">
        <v>70.107073622921433</v>
      </c>
      <c r="S195" s="121">
        <v>70.146236836211258</v>
      </c>
      <c r="T195" s="121">
        <v>70.147571774895738</v>
      </c>
      <c r="U195" s="121">
        <v>70.221357223978373</v>
      </c>
      <c r="V195" s="121">
        <v>70.243626362562495</v>
      </c>
      <c r="W195" s="121">
        <v>70.3167041654836</v>
      </c>
      <c r="X195" s="121">
        <v>70.471220816728803</v>
      </c>
      <c r="Y195" s="121">
        <v>70.532643359737918</v>
      </c>
      <c r="Z195" s="121">
        <v>70.665562799369852</v>
      </c>
      <c r="AA195" s="121">
        <v>70.912690189188382</v>
      </c>
      <c r="AB195" s="121">
        <v>71.068921010496695</v>
      </c>
      <c r="AC195" s="121">
        <v>71.168042256635403</v>
      </c>
      <c r="AD195" s="121">
        <v>71.133962631343024</v>
      </c>
      <c r="AE195" s="121">
        <v>71.0745423121583</v>
      </c>
      <c r="AF195" s="121">
        <v>71.29134205301078</v>
      </c>
      <c r="AG195" s="121">
        <v>71.404676549747975</v>
      </c>
      <c r="AH195" s="121">
        <v>71.356223639788553</v>
      </c>
      <c r="AI195" s="121">
        <v>71.161906843076366</v>
      </c>
      <c r="AJ195" s="121">
        <v>71.178218789923918</v>
      </c>
      <c r="AK195" s="121">
        <v>71.236576737507576</v>
      </c>
      <c r="AL195" s="121">
        <v>71.201588417087152</v>
      </c>
      <c r="AM195" s="121">
        <v>71.327646584957122</v>
      </c>
      <c r="AN195" s="121">
        <v>71.479119392934436</v>
      </c>
      <c r="AO195" s="121">
        <v>71.503300098896929</v>
      </c>
      <c r="AP195" s="121">
        <v>71.647801313284404</v>
      </c>
      <c r="AQ195" s="121">
        <v>71.868294494125578</v>
      </c>
      <c r="AR195" s="121">
        <v>72.026336223410979</v>
      </c>
      <c r="AS195" s="121">
        <v>71.987289039381025</v>
      </c>
      <c r="AT195" s="121">
        <v>72.096325701774575</v>
      </c>
      <c r="AU195" s="121">
        <v>72.365171627820928</v>
      </c>
      <c r="AV195" s="121">
        <v>72.451961443091591</v>
      </c>
      <c r="AW195" s="121">
        <v>72.680892825773583</v>
      </c>
      <c r="AX195" s="121">
        <v>72.89321057258411</v>
      </c>
      <c r="AY195" s="121">
        <v>72.81970445205404</v>
      </c>
      <c r="AZ195" s="121">
        <v>72.77474493288787</v>
      </c>
      <c r="BA195" s="121">
        <v>72.962625630667688</v>
      </c>
      <c r="BB195" s="121">
        <v>73.030284715646275</v>
      </c>
      <c r="BC195" s="121">
        <v>72.993684241061786</v>
      </c>
      <c r="BD195" s="121">
        <v>72.978186635600451</v>
      </c>
      <c r="BE195" s="121">
        <v>73.187051722302471</v>
      </c>
      <c r="BF195" s="121">
        <v>73.280445520678938</v>
      </c>
      <c r="BG195" s="121">
        <v>73.414199644066244</v>
      </c>
      <c r="BH195" s="121">
        <v>73.416902401416522</v>
      </c>
      <c r="BI195" s="121">
        <v>73.413032729151055</v>
      </c>
      <c r="BJ195" s="121">
        <v>73.28680444812818</v>
      </c>
      <c r="BK195" s="121">
        <v>73.359661540267055</v>
      </c>
      <c r="BL195" s="121">
        <v>73.456454387769298</v>
      </c>
      <c r="BM195" s="121">
        <v>73.531106682048176</v>
      </c>
      <c r="BN195" s="121">
        <v>73.745283162697874</v>
      </c>
      <c r="BO195" s="121">
        <v>73.946637731395242</v>
      </c>
      <c r="BP195" s="121">
        <v>74.013075666251211</v>
      </c>
      <c r="BQ195" s="121">
        <v>74.074323054433052</v>
      </c>
      <c r="BR195" s="121">
        <v>74.048943542883066</v>
      </c>
      <c r="BS195" s="121">
        <v>74.097656289130612</v>
      </c>
      <c r="BT195" s="121">
        <v>74.089907358778959</v>
      </c>
      <c r="BU195" s="121">
        <v>74.144341386003916</v>
      </c>
      <c r="BV195" s="121">
        <v>74.307146322983968</v>
      </c>
      <c r="BW195" s="121">
        <v>74.365198974974561</v>
      </c>
      <c r="BX195" s="121">
        <v>74.450163648698833</v>
      </c>
      <c r="BY195" s="121">
        <v>74.429913780294825</v>
      </c>
      <c r="BZ195" s="121">
        <v>74.389813535938913</v>
      </c>
      <c r="CA195" s="121">
        <v>74.374880668256438</v>
      </c>
      <c r="CB195" s="121">
        <v>74.387710269042771</v>
      </c>
      <c r="CC195" s="121">
        <v>74.504793567301462</v>
      </c>
      <c r="CD195" s="121">
        <v>74.47386708448667</v>
      </c>
      <c r="CE195" s="121">
        <v>74.559559633452892</v>
      </c>
      <c r="CF195" s="121">
        <v>74.702375175215977</v>
      </c>
      <c r="CG195" s="121">
        <v>74.698896436993891</v>
      </c>
      <c r="CH195" s="121">
        <v>74.83906059523143</v>
      </c>
      <c r="CI195" s="121">
        <v>75.03206757979919</v>
      </c>
      <c r="CJ195" s="121">
        <v>75.189411585526116</v>
      </c>
      <c r="CK195" s="121">
        <v>75.060047722419725</v>
      </c>
      <c r="CL195" s="121">
        <v>74.925200866042658</v>
      </c>
      <c r="CM195" s="121">
        <v>74.990045291172791</v>
      </c>
      <c r="CN195" s="121">
        <v>75.246698491496659</v>
      </c>
      <c r="CO195" s="121">
        <v>75.07991259979228</v>
      </c>
      <c r="CP195" s="121">
        <v>75.202629224127904</v>
      </c>
      <c r="CQ195" s="121">
        <v>75.270344353864701</v>
      </c>
      <c r="CR195" s="121">
        <v>75.450975054308188</v>
      </c>
      <c r="CS195" s="121">
        <v>75.47903385519183</v>
      </c>
      <c r="CT195" s="121">
        <v>75.512979847256091</v>
      </c>
      <c r="CU195" s="121">
        <v>75.425873025732528</v>
      </c>
      <c r="CV195" s="121">
        <v>75.391671878018542</v>
      </c>
      <c r="CW195" s="121">
        <v>75.426166134364706</v>
      </c>
      <c r="CX195" s="121">
        <v>75.417909341627677</v>
      </c>
      <c r="CY195" s="121">
        <v>75.57208095497343</v>
      </c>
      <c r="CZ195" s="121">
        <v>75.616957871487529</v>
      </c>
      <c r="DA195" s="121">
        <v>75.684935450946185</v>
      </c>
      <c r="DB195" s="121">
        <v>75.952764090465436</v>
      </c>
      <c r="DC195" s="121">
        <v>75.970441265998801</v>
      </c>
      <c r="DD195" s="121">
        <v>75.902745264837549</v>
      </c>
      <c r="DE195" s="121">
        <v>76.00805927935248</v>
      </c>
      <c r="DF195" s="121">
        <v>75.999809844361991</v>
      </c>
      <c r="DG195" s="121">
        <v>76.087779457665533</v>
      </c>
      <c r="DH195" s="121">
        <v>76.03963300798307</v>
      </c>
      <c r="DI195" s="121">
        <v>75.92364283869189</v>
      </c>
      <c r="DJ195" s="121">
        <v>76.00730194543705</v>
      </c>
      <c r="DK195" s="121">
        <v>76.038640543712816</v>
      </c>
      <c r="DL195" s="121">
        <v>76.218734498876088</v>
      </c>
      <c r="DM195" s="121">
        <v>76.378310518244135</v>
      </c>
      <c r="DN195" s="121">
        <v>76.378729942608558</v>
      </c>
      <c r="DO195" s="121">
        <v>76.490866736886744</v>
      </c>
      <c r="DP195" s="121">
        <v>75.928121847399737</v>
      </c>
      <c r="DQ195" s="121">
        <v>75.660802765847521</v>
      </c>
      <c r="DR195" s="121">
        <v>75.503952620635147</v>
      </c>
      <c r="DS195" s="121">
        <v>75.420195354028678</v>
      </c>
      <c r="DT195" s="121">
        <v>75.25116829575515</v>
      </c>
      <c r="DU195" s="121">
        <v>74.987927797240943</v>
      </c>
      <c r="DV195" s="121">
        <v>74.600905322323044</v>
      </c>
      <c r="DW195" s="121">
        <v>74.457238986191271</v>
      </c>
      <c r="DX195" s="121">
        <v>74.515761482935233</v>
      </c>
      <c r="DY195" s="121">
        <v>74.319784751389435</v>
      </c>
      <c r="DZ195" s="121">
        <v>74.323280083871026</v>
      </c>
      <c r="EA195" s="121">
        <v>74.500333436925231</v>
      </c>
      <c r="EB195" s="121">
        <v>74.419269291119079</v>
      </c>
      <c r="EC195" s="121">
        <v>74.426016580932227</v>
      </c>
      <c r="ED195" s="121">
        <v>74.470474315994608</v>
      </c>
      <c r="EE195" s="121">
        <v>74.727432239670151</v>
      </c>
      <c r="EF195" s="121">
        <v>74.824026864860855</v>
      </c>
      <c r="EG195" s="121">
        <v>74.935241841336349</v>
      </c>
      <c r="EH195" s="121">
        <v>75.046031217079573</v>
      </c>
      <c r="EI195" s="121">
        <v>74.986594009437624</v>
      </c>
      <c r="EJ195" s="121">
        <v>74.991310881628721</v>
      </c>
      <c r="EK195" s="121">
        <v>75.05785834596098</v>
      </c>
      <c r="EL195" s="128">
        <v>75.038850146241586</v>
      </c>
      <c r="EM195" s="108">
        <v>75.037549106051515</v>
      </c>
      <c r="EN195" s="128">
        <v>75.109352399520063</v>
      </c>
      <c r="EO195" s="128">
        <v>75.156947819909789</v>
      </c>
      <c r="EP195" s="121">
        <v>75.398738568094416</v>
      </c>
      <c r="EQ195" s="128">
        <v>75.066732683469567</v>
      </c>
      <c r="ER195" s="128">
        <v>74.950820544823742</v>
      </c>
      <c r="ES195" s="108">
        <v>75.041202135253656</v>
      </c>
      <c r="ET195" s="108">
        <v>74.956682829119671</v>
      </c>
      <c r="EU195" s="108">
        <v>75.02175481523166</v>
      </c>
      <c r="EV195" s="121">
        <v>75.010315927034171</v>
      </c>
      <c r="EW195" s="111">
        <v>75.136188250553531</v>
      </c>
      <c r="EX195" s="108">
        <v>75.16007543739542</v>
      </c>
      <c r="EY195" s="108">
        <v>75.15151207009346</v>
      </c>
      <c r="EZ195" s="121">
        <v>75.28328338883118</v>
      </c>
      <c r="FA195" s="108">
        <v>75.475189034810768</v>
      </c>
      <c r="FB195" s="121">
        <v>75.444497185838344</v>
      </c>
      <c r="FC195" s="108">
        <v>75.198419885391672</v>
      </c>
      <c r="FD195" s="108">
        <v>74.910496321384699</v>
      </c>
      <c r="FE195" s="128">
        <v>74.688656682486794</v>
      </c>
      <c r="FF195" s="108">
        <v>74.887733375994429</v>
      </c>
      <c r="FG195" s="128">
        <v>74.883157063576917</v>
      </c>
      <c r="FH195" s="108">
        <v>74.859895030498521</v>
      </c>
      <c r="FI195" s="121">
        <v>74.852974396274078</v>
      </c>
      <c r="FJ195" s="111">
        <v>74.659177279638797</v>
      </c>
      <c r="FK195" s="111">
        <v>74.55901190200197</v>
      </c>
      <c r="FL195" s="111">
        <v>74.495675414989066</v>
      </c>
      <c r="FM195" s="111">
        <v>74.396208533706854</v>
      </c>
      <c r="FN195" s="111">
        <v>74.407764323915487</v>
      </c>
      <c r="FO195" s="111">
        <v>74.574397057150151</v>
      </c>
      <c r="FP195" s="111">
        <v>74.722902674145047</v>
      </c>
      <c r="FQ195" s="116">
        <v>74.985703831661851</v>
      </c>
      <c r="FR195" s="111">
        <v>74.937975580477485</v>
      </c>
      <c r="FS195" s="111">
        <v>74.902472586787169</v>
      </c>
      <c r="FT195" s="111">
        <v>74.850934796288655</v>
      </c>
      <c r="FU195" s="111">
        <v>74.956007115185059</v>
      </c>
      <c r="FV195" s="111">
        <v>75.006017765513917</v>
      </c>
      <c r="FW195" s="111">
        <v>75.066049868007099</v>
      </c>
      <c r="FX195" s="111">
        <v>74.999445427577271</v>
      </c>
      <c r="FY195" s="111">
        <v>75.057705153172918</v>
      </c>
      <c r="FZ195" s="111">
        <v>75.241221231307421</v>
      </c>
      <c r="GA195" s="111">
        <v>75.268460915089989</v>
      </c>
      <c r="GB195" s="111">
        <v>75.174093498404631</v>
      </c>
      <c r="GC195" s="124">
        <v>75.063593417860758</v>
      </c>
      <c r="GD195" s="111"/>
      <c r="GE195" s="107"/>
      <c r="GF195" s="107"/>
      <c r="GG195" s="160"/>
    </row>
    <row r="196" spans="2:189" x14ac:dyDescent="0.2">
      <c r="B196" s="97">
        <v>45962</v>
      </c>
      <c r="C196" s="111">
        <v>70.422667390858052</v>
      </c>
      <c r="D196" s="111">
        <v>70.621486151623998</v>
      </c>
      <c r="E196" s="111">
        <v>70.638593680386805</v>
      </c>
      <c r="F196" s="111">
        <v>70.705399556203304</v>
      </c>
      <c r="G196" s="111">
        <v>70.49040918716814</v>
      </c>
      <c r="H196" s="111">
        <v>70.338702077892592</v>
      </c>
      <c r="I196" s="111">
        <v>70.38984940855012</v>
      </c>
      <c r="J196" s="111">
        <v>70.468865143978903</v>
      </c>
      <c r="K196" s="111">
        <v>70.586396738483302</v>
      </c>
      <c r="L196" s="111">
        <v>70.546146885197274</v>
      </c>
      <c r="M196" s="111">
        <v>70.481744775577454</v>
      </c>
      <c r="N196" s="111">
        <v>70.512158476249269</v>
      </c>
      <c r="O196" s="111">
        <v>70.450461862802683</v>
      </c>
      <c r="P196" s="111">
        <v>70.219556850312301</v>
      </c>
      <c r="Q196" s="121">
        <v>70.196525401601832</v>
      </c>
      <c r="R196" s="121">
        <v>70.107073622921433</v>
      </c>
      <c r="S196" s="121">
        <v>70.146236836211258</v>
      </c>
      <c r="T196" s="121">
        <v>70.147571774895738</v>
      </c>
      <c r="U196" s="121">
        <v>70.221357223978373</v>
      </c>
      <c r="V196" s="121">
        <v>70.243626362562495</v>
      </c>
      <c r="W196" s="121">
        <v>70.3167041654836</v>
      </c>
      <c r="X196" s="121">
        <v>70.471220816728803</v>
      </c>
      <c r="Y196" s="121">
        <v>70.532643359737918</v>
      </c>
      <c r="Z196" s="121">
        <v>70.665562799369852</v>
      </c>
      <c r="AA196" s="121">
        <v>70.912690189188382</v>
      </c>
      <c r="AB196" s="121">
        <v>71.068921010496695</v>
      </c>
      <c r="AC196" s="121">
        <v>71.168042256635403</v>
      </c>
      <c r="AD196" s="121">
        <v>71.133962631343024</v>
      </c>
      <c r="AE196" s="121">
        <v>71.0745423121583</v>
      </c>
      <c r="AF196" s="121">
        <v>71.29134205301078</v>
      </c>
      <c r="AG196" s="121">
        <v>71.404676549747975</v>
      </c>
      <c r="AH196" s="121">
        <v>71.356223639788553</v>
      </c>
      <c r="AI196" s="121">
        <v>71.161906843076366</v>
      </c>
      <c r="AJ196" s="121">
        <v>71.178218789923918</v>
      </c>
      <c r="AK196" s="121">
        <v>71.236576737507576</v>
      </c>
      <c r="AL196" s="121">
        <v>71.201588417087152</v>
      </c>
      <c r="AM196" s="121">
        <v>71.327646584957122</v>
      </c>
      <c r="AN196" s="121">
        <v>71.479119392934436</v>
      </c>
      <c r="AO196" s="121">
        <v>71.503300098896929</v>
      </c>
      <c r="AP196" s="121">
        <v>71.647801313284404</v>
      </c>
      <c r="AQ196" s="121">
        <v>71.868294494125578</v>
      </c>
      <c r="AR196" s="121">
        <v>72.026336223410979</v>
      </c>
      <c r="AS196" s="121">
        <v>71.987289039381025</v>
      </c>
      <c r="AT196" s="121">
        <v>72.096325701774575</v>
      </c>
      <c r="AU196" s="121">
        <v>72.365171627820928</v>
      </c>
      <c r="AV196" s="121">
        <v>72.451961443091591</v>
      </c>
      <c r="AW196" s="121">
        <v>72.680892825773583</v>
      </c>
      <c r="AX196" s="121">
        <v>72.89321057258411</v>
      </c>
      <c r="AY196" s="121">
        <v>72.81970445205404</v>
      </c>
      <c r="AZ196" s="121">
        <v>72.77474493288787</v>
      </c>
      <c r="BA196" s="121">
        <v>72.962625630667688</v>
      </c>
      <c r="BB196" s="121">
        <v>73.030284715646275</v>
      </c>
      <c r="BC196" s="121">
        <v>72.993684241061786</v>
      </c>
      <c r="BD196" s="121">
        <v>72.978186635600451</v>
      </c>
      <c r="BE196" s="121">
        <v>73.187051722302471</v>
      </c>
      <c r="BF196" s="121">
        <v>73.280445520678938</v>
      </c>
      <c r="BG196" s="121">
        <v>73.414199644066244</v>
      </c>
      <c r="BH196" s="121">
        <v>73.416902401416522</v>
      </c>
      <c r="BI196" s="121">
        <v>73.413032729151055</v>
      </c>
      <c r="BJ196" s="121">
        <v>73.28680444812818</v>
      </c>
      <c r="BK196" s="121">
        <v>73.359661540267055</v>
      </c>
      <c r="BL196" s="121">
        <v>73.456454387769298</v>
      </c>
      <c r="BM196" s="121">
        <v>73.531106682048176</v>
      </c>
      <c r="BN196" s="121">
        <v>73.745283162697874</v>
      </c>
      <c r="BO196" s="121">
        <v>73.946637731395242</v>
      </c>
      <c r="BP196" s="121">
        <v>74.013075666251211</v>
      </c>
      <c r="BQ196" s="121">
        <v>74.074323054433052</v>
      </c>
      <c r="BR196" s="121">
        <v>74.048943542883066</v>
      </c>
      <c r="BS196" s="121">
        <v>74.097656289130612</v>
      </c>
      <c r="BT196" s="121">
        <v>74.089907358778959</v>
      </c>
      <c r="BU196" s="121">
        <v>74.144341386003916</v>
      </c>
      <c r="BV196" s="121">
        <v>74.307146322983968</v>
      </c>
      <c r="BW196" s="121">
        <v>74.365198974974561</v>
      </c>
      <c r="BX196" s="121">
        <v>74.450163648698833</v>
      </c>
      <c r="BY196" s="121">
        <v>74.429913780294825</v>
      </c>
      <c r="BZ196" s="121">
        <v>74.389813535938913</v>
      </c>
      <c r="CA196" s="121">
        <v>74.374880668256438</v>
      </c>
      <c r="CB196" s="121">
        <v>74.387710269042771</v>
      </c>
      <c r="CC196" s="121">
        <v>74.504793567301462</v>
      </c>
      <c r="CD196" s="121">
        <v>74.47386708448667</v>
      </c>
      <c r="CE196" s="121">
        <v>74.559559633452892</v>
      </c>
      <c r="CF196" s="121">
        <v>74.702375175215977</v>
      </c>
      <c r="CG196" s="121">
        <v>74.698896436993891</v>
      </c>
      <c r="CH196" s="121">
        <v>74.83906059523143</v>
      </c>
      <c r="CI196" s="121">
        <v>75.03206757979919</v>
      </c>
      <c r="CJ196" s="121">
        <v>75.189411585526116</v>
      </c>
      <c r="CK196" s="121">
        <v>75.060047722419725</v>
      </c>
      <c r="CL196" s="121">
        <v>74.925200866042658</v>
      </c>
      <c r="CM196" s="121">
        <v>74.990045291172791</v>
      </c>
      <c r="CN196" s="121">
        <v>75.246698491496659</v>
      </c>
      <c r="CO196" s="121">
        <v>75.07991259979228</v>
      </c>
      <c r="CP196" s="121">
        <v>75.202629224127904</v>
      </c>
      <c r="CQ196" s="121">
        <v>75.270344353864701</v>
      </c>
      <c r="CR196" s="121">
        <v>75.450975054308188</v>
      </c>
      <c r="CS196" s="121">
        <v>75.47903385519183</v>
      </c>
      <c r="CT196" s="121">
        <v>75.512979847256091</v>
      </c>
      <c r="CU196" s="121">
        <v>75.425873025732528</v>
      </c>
      <c r="CV196" s="121">
        <v>75.391671878018542</v>
      </c>
      <c r="CW196" s="121">
        <v>75.426166134364706</v>
      </c>
      <c r="CX196" s="121">
        <v>75.417909341627677</v>
      </c>
      <c r="CY196" s="121">
        <v>75.57208095497343</v>
      </c>
      <c r="CZ196" s="121">
        <v>75.616957871487529</v>
      </c>
      <c r="DA196" s="121">
        <v>75.684935450946185</v>
      </c>
      <c r="DB196" s="121">
        <v>75.952764090465436</v>
      </c>
      <c r="DC196" s="121">
        <v>75.970441265998801</v>
      </c>
      <c r="DD196" s="121">
        <v>75.902745264837549</v>
      </c>
      <c r="DE196" s="121">
        <v>76.00805927935248</v>
      </c>
      <c r="DF196" s="121">
        <v>75.999809844361991</v>
      </c>
      <c r="DG196" s="121">
        <v>76.087779457665533</v>
      </c>
      <c r="DH196" s="121">
        <v>76.03963300798307</v>
      </c>
      <c r="DI196" s="121">
        <v>75.92364283869189</v>
      </c>
      <c r="DJ196" s="121">
        <v>76.00730194543705</v>
      </c>
      <c r="DK196" s="121">
        <v>76.038640543712816</v>
      </c>
      <c r="DL196" s="121">
        <v>76.218734498876088</v>
      </c>
      <c r="DM196" s="121">
        <v>76.378310518244135</v>
      </c>
      <c r="DN196" s="121">
        <v>76.378729942608558</v>
      </c>
      <c r="DO196" s="121">
        <v>76.490866736886744</v>
      </c>
      <c r="DP196" s="121">
        <v>75.928121847399737</v>
      </c>
      <c r="DQ196" s="121">
        <v>75.660802765847521</v>
      </c>
      <c r="DR196" s="121">
        <v>75.503952620635147</v>
      </c>
      <c r="DS196" s="121">
        <v>75.420195354028678</v>
      </c>
      <c r="DT196" s="121">
        <v>75.25116829575515</v>
      </c>
      <c r="DU196" s="121">
        <v>74.987927797240943</v>
      </c>
      <c r="DV196" s="121">
        <v>74.600905322323044</v>
      </c>
      <c r="DW196" s="121">
        <v>74.457238986191271</v>
      </c>
      <c r="DX196" s="121">
        <v>74.515761482935233</v>
      </c>
      <c r="DY196" s="121">
        <v>74.319784751389435</v>
      </c>
      <c r="DZ196" s="121">
        <v>74.323280083871026</v>
      </c>
      <c r="EA196" s="121">
        <v>74.500333436925231</v>
      </c>
      <c r="EB196" s="121">
        <v>74.419269291119079</v>
      </c>
      <c r="EC196" s="121">
        <v>74.426016580932227</v>
      </c>
      <c r="ED196" s="121">
        <v>74.470474315994608</v>
      </c>
      <c r="EE196" s="121">
        <v>74.727432239670151</v>
      </c>
      <c r="EF196" s="121">
        <v>74.824026864860855</v>
      </c>
      <c r="EG196" s="121">
        <v>74.935241841336349</v>
      </c>
      <c r="EH196" s="121">
        <v>75.046031217079573</v>
      </c>
      <c r="EI196" s="121">
        <v>74.986594009437624</v>
      </c>
      <c r="EJ196" s="121">
        <v>74.991310881628721</v>
      </c>
      <c r="EK196" s="121">
        <v>75.05785834596098</v>
      </c>
      <c r="EL196" s="128">
        <v>75.038850146241586</v>
      </c>
      <c r="EM196" s="108">
        <v>75.037549106051515</v>
      </c>
      <c r="EN196" s="128">
        <v>75.109352399520063</v>
      </c>
      <c r="EO196" s="128">
        <v>75.156947819909789</v>
      </c>
      <c r="EP196" s="121">
        <v>75.398738568094416</v>
      </c>
      <c r="EQ196" s="128">
        <v>75.066732683469567</v>
      </c>
      <c r="ER196" s="128">
        <v>74.950820544823742</v>
      </c>
      <c r="ES196" s="108">
        <v>75.041202135253656</v>
      </c>
      <c r="ET196" s="108">
        <v>74.956682829119671</v>
      </c>
      <c r="EU196" s="108">
        <v>75.02175481523166</v>
      </c>
      <c r="EV196" s="121">
        <v>75.010315927034171</v>
      </c>
      <c r="EW196" s="111">
        <v>75.136188250553531</v>
      </c>
      <c r="EX196" s="108">
        <v>75.16007543739542</v>
      </c>
      <c r="EY196" s="108">
        <v>75.15151207009346</v>
      </c>
      <c r="EZ196" s="121">
        <v>75.28328338883118</v>
      </c>
      <c r="FA196" s="108">
        <v>75.475189034810768</v>
      </c>
      <c r="FB196" s="121">
        <v>75.444497185838344</v>
      </c>
      <c r="FC196" s="108">
        <v>75.198419885391672</v>
      </c>
      <c r="FD196" s="108">
        <v>74.910496321384699</v>
      </c>
      <c r="FE196" s="128">
        <v>74.688656682486794</v>
      </c>
      <c r="FF196" s="108">
        <v>74.887733375994429</v>
      </c>
      <c r="FG196" s="128">
        <v>74.883157063576917</v>
      </c>
      <c r="FH196" s="108">
        <v>74.859895030498521</v>
      </c>
      <c r="FI196" s="121">
        <v>74.852974396274078</v>
      </c>
      <c r="FJ196" s="111">
        <v>74.659177279638797</v>
      </c>
      <c r="FK196" s="111">
        <v>74.55901190200197</v>
      </c>
      <c r="FL196" s="111">
        <v>74.495675414989066</v>
      </c>
      <c r="FM196" s="111">
        <v>74.396208533706854</v>
      </c>
      <c r="FN196" s="111">
        <v>74.407764323915487</v>
      </c>
      <c r="FO196" s="111">
        <v>74.574397057150151</v>
      </c>
      <c r="FP196" s="111">
        <v>74.722902674145047</v>
      </c>
      <c r="FQ196" s="111">
        <v>74.985703831661851</v>
      </c>
      <c r="FR196" s="116">
        <v>74.937975580477485</v>
      </c>
      <c r="FS196" s="111">
        <v>74.902472586787169</v>
      </c>
      <c r="FT196" s="111">
        <v>74.850934796288655</v>
      </c>
      <c r="FU196" s="111">
        <v>74.956007115185059</v>
      </c>
      <c r="FV196" s="111">
        <v>75.006017765513917</v>
      </c>
      <c r="FW196" s="111">
        <v>75.066049868007099</v>
      </c>
      <c r="FX196" s="111">
        <v>74.999445427577271</v>
      </c>
      <c r="FY196" s="111">
        <v>75.057705153172918</v>
      </c>
      <c r="FZ196" s="111">
        <v>75.241221231307421</v>
      </c>
      <c r="GA196" s="111">
        <v>75.268460915089989</v>
      </c>
      <c r="GB196" s="111">
        <v>75.174093498404631</v>
      </c>
      <c r="GC196" s="111">
        <v>75.063593417860758</v>
      </c>
      <c r="GD196" s="124">
        <v>75.041594544953</v>
      </c>
      <c r="GE196" s="111"/>
      <c r="GF196" s="107"/>
      <c r="GG196" s="160"/>
    </row>
    <row r="197" spans="2:189" x14ac:dyDescent="0.2">
      <c r="B197" s="97">
        <v>45992</v>
      </c>
      <c r="C197" s="111">
        <v>70.422667390858052</v>
      </c>
      <c r="D197" s="111">
        <v>70.621486151623998</v>
      </c>
      <c r="E197" s="111">
        <v>70.638593680386805</v>
      </c>
      <c r="F197" s="111">
        <v>70.705399556203304</v>
      </c>
      <c r="G197" s="111">
        <v>70.49040918716814</v>
      </c>
      <c r="H197" s="111">
        <v>70.338702077892592</v>
      </c>
      <c r="I197" s="111">
        <v>70.38984940855012</v>
      </c>
      <c r="J197" s="111">
        <v>70.468865143978903</v>
      </c>
      <c r="K197" s="111">
        <v>70.586396738483302</v>
      </c>
      <c r="L197" s="111">
        <v>70.546146885197274</v>
      </c>
      <c r="M197" s="111">
        <v>70.481744775577454</v>
      </c>
      <c r="N197" s="111">
        <v>70.512158476249269</v>
      </c>
      <c r="O197" s="111">
        <v>70.450461862802683</v>
      </c>
      <c r="P197" s="111">
        <v>70.219556850312301</v>
      </c>
      <c r="Q197" s="121">
        <v>70.196525401601832</v>
      </c>
      <c r="R197" s="121">
        <v>70.107073622921433</v>
      </c>
      <c r="S197" s="121">
        <v>70.146236836211258</v>
      </c>
      <c r="T197" s="121">
        <v>70.147571774895738</v>
      </c>
      <c r="U197" s="121">
        <v>70.221357223978373</v>
      </c>
      <c r="V197" s="121">
        <v>70.243626362562495</v>
      </c>
      <c r="W197" s="121">
        <v>70.3167041654836</v>
      </c>
      <c r="X197" s="121">
        <v>70.471220816728803</v>
      </c>
      <c r="Y197" s="121">
        <v>70.532643359737918</v>
      </c>
      <c r="Z197" s="121">
        <v>70.665562799369852</v>
      </c>
      <c r="AA197" s="121">
        <v>70.912690189188382</v>
      </c>
      <c r="AB197" s="121">
        <v>71.068921010496695</v>
      </c>
      <c r="AC197" s="121">
        <v>71.168042256635403</v>
      </c>
      <c r="AD197" s="121">
        <v>71.133962631343024</v>
      </c>
      <c r="AE197" s="121">
        <v>71.0745423121583</v>
      </c>
      <c r="AF197" s="121">
        <v>71.29134205301078</v>
      </c>
      <c r="AG197" s="121">
        <v>71.404676549747975</v>
      </c>
      <c r="AH197" s="121">
        <v>71.356223639788553</v>
      </c>
      <c r="AI197" s="121">
        <v>71.161906843076366</v>
      </c>
      <c r="AJ197" s="121">
        <v>71.178218789923918</v>
      </c>
      <c r="AK197" s="121">
        <v>71.236576737507576</v>
      </c>
      <c r="AL197" s="121">
        <v>71.201588417087152</v>
      </c>
      <c r="AM197" s="121">
        <v>71.327646584957122</v>
      </c>
      <c r="AN197" s="121">
        <v>71.479119392934436</v>
      </c>
      <c r="AO197" s="121">
        <v>71.503300098896929</v>
      </c>
      <c r="AP197" s="121">
        <v>71.647801313284404</v>
      </c>
      <c r="AQ197" s="121">
        <v>71.868294494125578</v>
      </c>
      <c r="AR197" s="121">
        <v>72.026336223410979</v>
      </c>
      <c r="AS197" s="121">
        <v>71.987289039381025</v>
      </c>
      <c r="AT197" s="121">
        <v>72.096325701774575</v>
      </c>
      <c r="AU197" s="121">
        <v>72.365171627820928</v>
      </c>
      <c r="AV197" s="121">
        <v>72.451961443091591</v>
      </c>
      <c r="AW197" s="121">
        <v>72.680892825773583</v>
      </c>
      <c r="AX197" s="121">
        <v>72.89321057258411</v>
      </c>
      <c r="AY197" s="121">
        <v>72.81970445205404</v>
      </c>
      <c r="AZ197" s="121">
        <v>72.77474493288787</v>
      </c>
      <c r="BA197" s="121">
        <v>72.962625630667688</v>
      </c>
      <c r="BB197" s="121">
        <v>73.030284715646275</v>
      </c>
      <c r="BC197" s="121">
        <v>72.993684241061786</v>
      </c>
      <c r="BD197" s="121">
        <v>72.978186635600451</v>
      </c>
      <c r="BE197" s="121">
        <v>73.187051722302471</v>
      </c>
      <c r="BF197" s="121">
        <v>73.280445520678938</v>
      </c>
      <c r="BG197" s="121">
        <v>73.414199644066244</v>
      </c>
      <c r="BH197" s="121">
        <v>73.416902401416522</v>
      </c>
      <c r="BI197" s="121">
        <v>73.413032729151055</v>
      </c>
      <c r="BJ197" s="121">
        <v>73.28680444812818</v>
      </c>
      <c r="BK197" s="121">
        <v>73.359661540267055</v>
      </c>
      <c r="BL197" s="121">
        <v>73.456454387769298</v>
      </c>
      <c r="BM197" s="121">
        <v>73.531106682048176</v>
      </c>
      <c r="BN197" s="121">
        <v>73.745283162697874</v>
      </c>
      <c r="BO197" s="121">
        <v>73.946637731395242</v>
      </c>
      <c r="BP197" s="121">
        <v>74.013075666251211</v>
      </c>
      <c r="BQ197" s="121">
        <v>74.074323054433052</v>
      </c>
      <c r="BR197" s="121">
        <v>74.048943542883066</v>
      </c>
      <c r="BS197" s="121">
        <v>74.097656289130612</v>
      </c>
      <c r="BT197" s="121">
        <v>74.089907358778959</v>
      </c>
      <c r="BU197" s="121">
        <v>74.144341386003916</v>
      </c>
      <c r="BV197" s="121">
        <v>74.307146322983968</v>
      </c>
      <c r="BW197" s="121">
        <v>74.365198974974561</v>
      </c>
      <c r="BX197" s="121">
        <v>74.450163648698833</v>
      </c>
      <c r="BY197" s="121">
        <v>74.429913780294825</v>
      </c>
      <c r="BZ197" s="121">
        <v>74.389813535938913</v>
      </c>
      <c r="CA197" s="121">
        <v>74.374880668256438</v>
      </c>
      <c r="CB197" s="121">
        <v>74.387710269042771</v>
      </c>
      <c r="CC197" s="121">
        <v>74.504793567301462</v>
      </c>
      <c r="CD197" s="121">
        <v>74.47386708448667</v>
      </c>
      <c r="CE197" s="121">
        <v>74.559559633452892</v>
      </c>
      <c r="CF197" s="121">
        <v>74.702375175215977</v>
      </c>
      <c r="CG197" s="121">
        <v>74.698896436993891</v>
      </c>
      <c r="CH197" s="121">
        <v>74.83906059523143</v>
      </c>
      <c r="CI197" s="121">
        <v>75.03206757979919</v>
      </c>
      <c r="CJ197" s="121">
        <v>75.189411585526116</v>
      </c>
      <c r="CK197" s="121">
        <v>75.060047722419725</v>
      </c>
      <c r="CL197" s="121">
        <v>74.925200866042658</v>
      </c>
      <c r="CM197" s="121">
        <v>74.990045291172791</v>
      </c>
      <c r="CN197" s="121">
        <v>75.246698491496659</v>
      </c>
      <c r="CO197" s="121">
        <v>75.07991259979228</v>
      </c>
      <c r="CP197" s="121">
        <v>75.202629224127904</v>
      </c>
      <c r="CQ197" s="121">
        <v>75.270344353864701</v>
      </c>
      <c r="CR197" s="121">
        <v>75.450975054308188</v>
      </c>
      <c r="CS197" s="121">
        <v>75.47903385519183</v>
      </c>
      <c r="CT197" s="121">
        <v>75.512979847256091</v>
      </c>
      <c r="CU197" s="121">
        <v>75.425873025732528</v>
      </c>
      <c r="CV197" s="121">
        <v>75.391671878018542</v>
      </c>
      <c r="CW197" s="121">
        <v>75.426166134364706</v>
      </c>
      <c r="CX197" s="121">
        <v>75.417909341627677</v>
      </c>
      <c r="CY197" s="121">
        <v>75.57208095497343</v>
      </c>
      <c r="CZ197" s="121">
        <v>75.616957871487529</v>
      </c>
      <c r="DA197" s="121">
        <v>75.684935450946185</v>
      </c>
      <c r="DB197" s="121">
        <v>75.952764090465436</v>
      </c>
      <c r="DC197" s="121">
        <v>75.970441265998801</v>
      </c>
      <c r="DD197" s="121">
        <v>75.902745264837549</v>
      </c>
      <c r="DE197" s="121">
        <v>76.00805927935248</v>
      </c>
      <c r="DF197" s="121">
        <v>75.999809844361991</v>
      </c>
      <c r="DG197" s="121">
        <v>76.087779457665533</v>
      </c>
      <c r="DH197" s="121">
        <v>76.03963300798307</v>
      </c>
      <c r="DI197" s="121">
        <v>75.92364283869189</v>
      </c>
      <c r="DJ197" s="121">
        <v>76.00730194543705</v>
      </c>
      <c r="DK197" s="121">
        <v>76.038640543712816</v>
      </c>
      <c r="DL197" s="121">
        <v>76.218734498876088</v>
      </c>
      <c r="DM197" s="121">
        <v>76.378310518244135</v>
      </c>
      <c r="DN197" s="121">
        <v>76.378729942608558</v>
      </c>
      <c r="DO197" s="121">
        <v>76.490866736886744</v>
      </c>
      <c r="DP197" s="121">
        <v>75.928121847399737</v>
      </c>
      <c r="DQ197" s="121">
        <v>75.660802765847521</v>
      </c>
      <c r="DR197" s="121">
        <v>75.503952620635147</v>
      </c>
      <c r="DS197" s="121">
        <v>75.420195354028678</v>
      </c>
      <c r="DT197" s="121">
        <v>75.25116829575515</v>
      </c>
      <c r="DU197" s="121">
        <v>74.987927797240943</v>
      </c>
      <c r="DV197" s="121">
        <v>74.600905322323044</v>
      </c>
      <c r="DW197" s="121">
        <v>74.457238986191271</v>
      </c>
      <c r="DX197" s="121">
        <v>74.515761482935233</v>
      </c>
      <c r="DY197" s="121">
        <v>74.319784751389435</v>
      </c>
      <c r="DZ197" s="121">
        <v>74.323280083871026</v>
      </c>
      <c r="EA197" s="121">
        <v>74.500333436925231</v>
      </c>
      <c r="EB197" s="121">
        <v>74.419269291119079</v>
      </c>
      <c r="EC197" s="121">
        <v>74.426016580932227</v>
      </c>
      <c r="ED197" s="121">
        <v>74.470474315994608</v>
      </c>
      <c r="EE197" s="121">
        <v>74.727432239670151</v>
      </c>
      <c r="EF197" s="121">
        <v>74.824026864860855</v>
      </c>
      <c r="EG197" s="121">
        <v>74.935241841336349</v>
      </c>
      <c r="EH197" s="121">
        <v>75.046031217079573</v>
      </c>
      <c r="EI197" s="121">
        <v>74.986594009437624</v>
      </c>
      <c r="EJ197" s="121">
        <v>74.991310881628721</v>
      </c>
      <c r="EK197" s="121">
        <v>75.05785834596098</v>
      </c>
      <c r="EL197" s="128">
        <v>75.038850146241586</v>
      </c>
      <c r="EM197" s="108">
        <v>75.037549106051515</v>
      </c>
      <c r="EN197" s="128">
        <v>75.109352399520063</v>
      </c>
      <c r="EO197" s="128">
        <v>75.156947819909789</v>
      </c>
      <c r="EP197" s="121">
        <v>75.398738568094416</v>
      </c>
      <c r="EQ197" s="128">
        <v>75.066732683469567</v>
      </c>
      <c r="ER197" s="128">
        <v>74.950820544823742</v>
      </c>
      <c r="ES197" s="108">
        <v>75.041202135253656</v>
      </c>
      <c r="ET197" s="108">
        <v>74.956682829119671</v>
      </c>
      <c r="EU197" s="108">
        <v>75.02175481523166</v>
      </c>
      <c r="EV197" s="121">
        <v>75.010315927034171</v>
      </c>
      <c r="EW197" s="111">
        <v>75.136188250553531</v>
      </c>
      <c r="EX197" s="108">
        <v>75.16007543739542</v>
      </c>
      <c r="EY197" s="108">
        <v>75.15151207009346</v>
      </c>
      <c r="EZ197" s="121">
        <v>75.28328338883118</v>
      </c>
      <c r="FA197" s="108">
        <v>75.475189034810768</v>
      </c>
      <c r="FB197" s="121">
        <v>75.444497185838344</v>
      </c>
      <c r="FC197" s="108">
        <v>75.198419885391672</v>
      </c>
      <c r="FD197" s="108">
        <v>74.910496321384699</v>
      </c>
      <c r="FE197" s="128">
        <v>74.688656682486794</v>
      </c>
      <c r="FF197" s="108">
        <v>74.887733375994429</v>
      </c>
      <c r="FG197" s="128">
        <v>74.883157063576917</v>
      </c>
      <c r="FH197" s="108">
        <v>74.859895030498521</v>
      </c>
      <c r="FI197" s="121">
        <v>74.852974396274078</v>
      </c>
      <c r="FJ197" s="111">
        <v>74.659177279638797</v>
      </c>
      <c r="FK197" s="111">
        <v>74.55901190200197</v>
      </c>
      <c r="FL197" s="111">
        <v>74.495675414989066</v>
      </c>
      <c r="FM197" s="111">
        <v>74.396208533706854</v>
      </c>
      <c r="FN197" s="111">
        <v>74.407764323915487</v>
      </c>
      <c r="FO197" s="111">
        <v>74.574397057150151</v>
      </c>
      <c r="FP197" s="111">
        <v>74.722902674145047</v>
      </c>
      <c r="FQ197" s="111">
        <v>74.985703831661851</v>
      </c>
      <c r="FR197" s="111">
        <v>74.937975580477485</v>
      </c>
      <c r="FS197" s="116">
        <v>74.902472586787169</v>
      </c>
      <c r="FT197" s="111">
        <v>74.850934796288655</v>
      </c>
      <c r="FU197" s="111">
        <v>74.956007115185059</v>
      </c>
      <c r="FV197" s="111">
        <v>75.006017765513917</v>
      </c>
      <c r="FW197" s="111">
        <v>75.066049868007099</v>
      </c>
      <c r="FX197" s="111">
        <v>74.999445427577271</v>
      </c>
      <c r="FY197" s="111">
        <v>75.057705153172918</v>
      </c>
      <c r="FZ197" s="111">
        <v>75.241221231307421</v>
      </c>
      <c r="GA197" s="111">
        <v>75.268460915089989</v>
      </c>
      <c r="GB197" s="111">
        <v>75.174093498404631</v>
      </c>
      <c r="GC197" s="111">
        <v>75.063593417860758</v>
      </c>
      <c r="GD197" s="111">
        <v>75.041594544953</v>
      </c>
      <c r="GE197" s="124">
        <v>74.915830656196405</v>
      </c>
      <c r="GF197" s="111"/>
      <c r="GG197" s="160"/>
    </row>
    <row r="198" spans="2:189" x14ac:dyDescent="0.2">
      <c r="B198" s="97">
        <v>46023</v>
      </c>
      <c r="C198" s="111">
        <v>70.422667390858052</v>
      </c>
      <c r="D198" s="111">
        <v>70.621486151623998</v>
      </c>
      <c r="E198" s="111">
        <v>70.638593680386805</v>
      </c>
      <c r="F198" s="111">
        <v>70.705399556203304</v>
      </c>
      <c r="G198" s="111">
        <v>70.49040918716814</v>
      </c>
      <c r="H198" s="111">
        <v>70.338702077892592</v>
      </c>
      <c r="I198" s="111">
        <v>70.38984940855012</v>
      </c>
      <c r="J198" s="111">
        <v>70.468865143978903</v>
      </c>
      <c r="K198" s="111">
        <v>70.586396738483302</v>
      </c>
      <c r="L198" s="111">
        <v>70.546146885197274</v>
      </c>
      <c r="M198" s="111">
        <v>70.481744775577454</v>
      </c>
      <c r="N198" s="111">
        <v>70.512158476249269</v>
      </c>
      <c r="O198" s="111">
        <v>70.450461862802683</v>
      </c>
      <c r="P198" s="111">
        <v>70.219556850312301</v>
      </c>
      <c r="Q198" s="121">
        <v>70.196525401601832</v>
      </c>
      <c r="R198" s="121">
        <v>70.107073622921433</v>
      </c>
      <c r="S198" s="121">
        <v>70.146236836211258</v>
      </c>
      <c r="T198" s="121">
        <v>70.147571774895738</v>
      </c>
      <c r="U198" s="121">
        <v>70.221357223978373</v>
      </c>
      <c r="V198" s="121">
        <v>70.243626362562495</v>
      </c>
      <c r="W198" s="121">
        <v>70.3167041654836</v>
      </c>
      <c r="X198" s="121">
        <v>70.471220816728803</v>
      </c>
      <c r="Y198" s="121">
        <v>70.532643359737918</v>
      </c>
      <c r="Z198" s="121">
        <v>70.665562799369852</v>
      </c>
      <c r="AA198" s="121">
        <v>70.912690189188382</v>
      </c>
      <c r="AB198" s="121">
        <v>71.068921010496695</v>
      </c>
      <c r="AC198" s="121">
        <v>71.168042256635403</v>
      </c>
      <c r="AD198" s="121">
        <v>71.133962631343024</v>
      </c>
      <c r="AE198" s="121">
        <v>71.0745423121583</v>
      </c>
      <c r="AF198" s="121">
        <v>71.29134205301078</v>
      </c>
      <c r="AG198" s="121">
        <v>71.404676549747975</v>
      </c>
      <c r="AH198" s="121">
        <v>71.356223639788553</v>
      </c>
      <c r="AI198" s="121">
        <v>71.161906843076366</v>
      </c>
      <c r="AJ198" s="121">
        <v>71.178218789923918</v>
      </c>
      <c r="AK198" s="121">
        <v>71.236576737507576</v>
      </c>
      <c r="AL198" s="121">
        <v>71.201588417087152</v>
      </c>
      <c r="AM198" s="121">
        <v>71.327646584957122</v>
      </c>
      <c r="AN198" s="121">
        <v>71.479119392934436</v>
      </c>
      <c r="AO198" s="121">
        <v>71.503300098896929</v>
      </c>
      <c r="AP198" s="121">
        <v>71.647801313284404</v>
      </c>
      <c r="AQ198" s="121">
        <v>71.868294494125578</v>
      </c>
      <c r="AR198" s="121">
        <v>72.026336223410979</v>
      </c>
      <c r="AS198" s="121">
        <v>71.987289039381025</v>
      </c>
      <c r="AT198" s="121">
        <v>72.096325701774575</v>
      </c>
      <c r="AU198" s="121">
        <v>72.365171627820928</v>
      </c>
      <c r="AV198" s="121">
        <v>72.451961443091591</v>
      </c>
      <c r="AW198" s="121">
        <v>72.680892825773583</v>
      </c>
      <c r="AX198" s="121">
        <v>72.89321057258411</v>
      </c>
      <c r="AY198" s="121">
        <v>72.81970445205404</v>
      </c>
      <c r="AZ198" s="121">
        <v>72.77474493288787</v>
      </c>
      <c r="BA198" s="121">
        <v>72.962625630667688</v>
      </c>
      <c r="BB198" s="121">
        <v>73.030284715646275</v>
      </c>
      <c r="BC198" s="121">
        <v>72.993684241061786</v>
      </c>
      <c r="BD198" s="121">
        <v>72.978186635600451</v>
      </c>
      <c r="BE198" s="121">
        <v>73.187051722302471</v>
      </c>
      <c r="BF198" s="121">
        <v>73.280445520678938</v>
      </c>
      <c r="BG198" s="121">
        <v>73.414199644066244</v>
      </c>
      <c r="BH198" s="121">
        <v>73.416902401416522</v>
      </c>
      <c r="BI198" s="121">
        <v>73.413032729151055</v>
      </c>
      <c r="BJ198" s="121">
        <v>73.28680444812818</v>
      </c>
      <c r="BK198" s="121">
        <v>73.359661540267055</v>
      </c>
      <c r="BL198" s="121">
        <v>73.456454387769298</v>
      </c>
      <c r="BM198" s="121">
        <v>73.531106682048176</v>
      </c>
      <c r="BN198" s="121">
        <v>73.745283162697874</v>
      </c>
      <c r="BO198" s="121">
        <v>73.946637731395242</v>
      </c>
      <c r="BP198" s="121">
        <v>74.013075666251211</v>
      </c>
      <c r="BQ198" s="121">
        <v>74.074323054433052</v>
      </c>
      <c r="BR198" s="121">
        <v>74.048943542883066</v>
      </c>
      <c r="BS198" s="121">
        <v>74.097656289130612</v>
      </c>
      <c r="BT198" s="121">
        <v>74.089907358778959</v>
      </c>
      <c r="BU198" s="121">
        <v>74.144341386003916</v>
      </c>
      <c r="BV198" s="121">
        <v>74.307146322983968</v>
      </c>
      <c r="BW198" s="121">
        <v>74.365198974974561</v>
      </c>
      <c r="BX198" s="121">
        <v>74.450163648698833</v>
      </c>
      <c r="BY198" s="121">
        <v>74.429913780294825</v>
      </c>
      <c r="BZ198" s="121">
        <v>74.389813535938913</v>
      </c>
      <c r="CA198" s="121">
        <v>74.374880668256438</v>
      </c>
      <c r="CB198" s="121">
        <v>74.387710269042771</v>
      </c>
      <c r="CC198" s="121">
        <v>74.504793567301462</v>
      </c>
      <c r="CD198" s="121">
        <v>74.47386708448667</v>
      </c>
      <c r="CE198" s="121">
        <v>74.559559633452892</v>
      </c>
      <c r="CF198" s="121">
        <v>74.702375175215977</v>
      </c>
      <c r="CG198" s="121">
        <v>74.698896436993891</v>
      </c>
      <c r="CH198" s="121">
        <v>74.83906059523143</v>
      </c>
      <c r="CI198" s="121">
        <v>75.03206757979919</v>
      </c>
      <c r="CJ198" s="121">
        <v>75.189411585526116</v>
      </c>
      <c r="CK198" s="121">
        <v>75.060047722419725</v>
      </c>
      <c r="CL198" s="121">
        <v>74.925200866042658</v>
      </c>
      <c r="CM198" s="121">
        <v>74.990045291172791</v>
      </c>
      <c r="CN198" s="121">
        <v>75.246698491496659</v>
      </c>
      <c r="CO198" s="121">
        <v>75.07991259979228</v>
      </c>
      <c r="CP198" s="121">
        <v>75.202629224127904</v>
      </c>
      <c r="CQ198" s="121">
        <v>75.270344353864701</v>
      </c>
      <c r="CR198" s="121">
        <v>75.450975054308188</v>
      </c>
      <c r="CS198" s="121">
        <v>75.47903385519183</v>
      </c>
      <c r="CT198" s="121">
        <v>75.512979847256091</v>
      </c>
      <c r="CU198" s="121">
        <v>75.425873025732528</v>
      </c>
      <c r="CV198" s="121">
        <v>75.391671878018542</v>
      </c>
      <c r="CW198" s="121">
        <v>75.426166134364706</v>
      </c>
      <c r="CX198" s="121">
        <v>75.417909341627677</v>
      </c>
      <c r="CY198" s="121">
        <v>75.57208095497343</v>
      </c>
      <c r="CZ198" s="121">
        <v>75.616957871487529</v>
      </c>
      <c r="DA198" s="121">
        <v>75.684935450946185</v>
      </c>
      <c r="DB198" s="121">
        <v>75.952764090465436</v>
      </c>
      <c r="DC198" s="121">
        <v>75.970441265998801</v>
      </c>
      <c r="DD198" s="121">
        <v>75.902745264837549</v>
      </c>
      <c r="DE198" s="121">
        <v>76.00805927935248</v>
      </c>
      <c r="DF198" s="121">
        <v>75.999809844361991</v>
      </c>
      <c r="DG198" s="121">
        <v>76.087779457665533</v>
      </c>
      <c r="DH198" s="121">
        <v>76.03963300798307</v>
      </c>
      <c r="DI198" s="121">
        <v>75.92364283869189</v>
      </c>
      <c r="DJ198" s="121">
        <v>76.00730194543705</v>
      </c>
      <c r="DK198" s="121">
        <v>76.038640543712816</v>
      </c>
      <c r="DL198" s="121">
        <v>76.218734498876088</v>
      </c>
      <c r="DM198" s="121">
        <v>76.378310518244135</v>
      </c>
      <c r="DN198" s="121">
        <v>76.378729942608558</v>
      </c>
      <c r="DO198" s="121">
        <v>76.490866736886744</v>
      </c>
      <c r="DP198" s="121">
        <v>75.928121847399737</v>
      </c>
      <c r="DQ198" s="121">
        <v>75.660802765847521</v>
      </c>
      <c r="DR198" s="121">
        <v>75.503952620635147</v>
      </c>
      <c r="DS198" s="121">
        <v>75.420195354028678</v>
      </c>
      <c r="DT198" s="121">
        <v>75.25116829575515</v>
      </c>
      <c r="DU198" s="121">
        <v>74.987927797240943</v>
      </c>
      <c r="DV198" s="121">
        <v>74.600905322323044</v>
      </c>
      <c r="DW198" s="121">
        <v>74.457238986191271</v>
      </c>
      <c r="DX198" s="121">
        <v>74.515761482935233</v>
      </c>
      <c r="DY198" s="121">
        <v>74.319784751389435</v>
      </c>
      <c r="DZ198" s="121">
        <v>74.323280083871026</v>
      </c>
      <c r="EA198" s="121">
        <v>74.500333436925231</v>
      </c>
      <c r="EB198" s="121">
        <v>74.419269291119079</v>
      </c>
      <c r="EC198" s="121">
        <v>74.426016580932227</v>
      </c>
      <c r="ED198" s="121">
        <v>74.470474315994608</v>
      </c>
      <c r="EE198" s="121">
        <v>74.727432239670151</v>
      </c>
      <c r="EF198" s="121">
        <v>74.824026864860855</v>
      </c>
      <c r="EG198" s="121">
        <v>74.935241841336349</v>
      </c>
      <c r="EH198" s="121">
        <v>75.046031217079573</v>
      </c>
      <c r="EI198" s="121">
        <v>74.986594009437624</v>
      </c>
      <c r="EJ198" s="121">
        <v>74.991310881628721</v>
      </c>
      <c r="EK198" s="121">
        <v>75.05785834596098</v>
      </c>
      <c r="EL198" s="128">
        <v>75.038850146241586</v>
      </c>
      <c r="EM198" s="108">
        <v>75.037549106051515</v>
      </c>
      <c r="EN198" s="128">
        <v>75.109352399520063</v>
      </c>
      <c r="EO198" s="128">
        <v>75.156947819909789</v>
      </c>
      <c r="EP198" s="121">
        <v>75.398738568094416</v>
      </c>
      <c r="EQ198" s="128">
        <v>75.066732683469567</v>
      </c>
      <c r="ER198" s="128">
        <v>74.950820544823742</v>
      </c>
      <c r="ES198" s="108">
        <v>75.041202135253656</v>
      </c>
      <c r="ET198" s="108">
        <v>74.956682829119671</v>
      </c>
      <c r="EU198" s="108">
        <v>75.02175481523166</v>
      </c>
      <c r="EV198" s="121">
        <v>75.010315927034171</v>
      </c>
      <c r="EW198" s="111">
        <v>75.136188250553531</v>
      </c>
      <c r="EX198" s="108">
        <v>75.16007543739542</v>
      </c>
      <c r="EY198" s="108">
        <v>75.15151207009346</v>
      </c>
      <c r="EZ198" s="121">
        <v>75.28328338883118</v>
      </c>
      <c r="FA198" s="108">
        <v>75.475189034810768</v>
      </c>
      <c r="FB198" s="121">
        <v>75.444497185838344</v>
      </c>
      <c r="FC198" s="108">
        <v>75.198419885391672</v>
      </c>
      <c r="FD198" s="108">
        <v>74.910496321384699</v>
      </c>
      <c r="FE198" s="128">
        <v>74.688656682486794</v>
      </c>
      <c r="FF198" s="108">
        <v>74.887733375994429</v>
      </c>
      <c r="FG198" s="128">
        <v>74.883157063576917</v>
      </c>
      <c r="FH198" s="108">
        <v>74.859895030498521</v>
      </c>
      <c r="FI198" s="121">
        <v>74.852974396274078</v>
      </c>
      <c r="FJ198" s="111">
        <v>74.659177279638797</v>
      </c>
      <c r="FK198" s="111">
        <v>74.55901190200197</v>
      </c>
      <c r="FL198" s="111">
        <v>74.495675414989066</v>
      </c>
      <c r="FM198" s="111">
        <v>74.396208533706854</v>
      </c>
      <c r="FN198" s="111">
        <v>74.407764323915487</v>
      </c>
      <c r="FO198" s="111">
        <v>74.574397057150151</v>
      </c>
      <c r="FP198" s="111">
        <v>74.722902674145047</v>
      </c>
      <c r="FQ198" s="111">
        <v>74.985703831661851</v>
      </c>
      <c r="FR198" s="111">
        <v>74.937975580477485</v>
      </c>
      <c r="FS198" s="111">
        <v>74.902472586787169</v>
      </c>
      <c r="FT198" s="116">
        <v>74.850934796288655</v>
      </c>
      <c r="FU198" s="111">
        <v>74.956007115185059</v>
      </c>
      <c r="FV198" s="111">
        <v>75.006017765513917</v>
      </c>
      <c r="FW198" s="111">
        <v>75.066049868007099</v>
      </c>
      <c r="FX198" s="111">
        <v>74.999445427577271</v>
      </c>
      <c r="FY198" s="111">
        <v>75.057705153172918</v>
      </c>
      <c r="FZ198" s="111">
        <v>75.241221231307421</v>
      </c>
      <c r="GA198" s="111">
        <v>75.268460915089989</v>
      </c>
      <c r="GB198" s="111">
        <v>75.174093498404631</v>
      </c>
      <c r="GC198" s="111">
        <v>75.063593417860758</v>
      </c>
      <c r="GD198" s="111">
        <v>75.041594544953</v>
      </c>
      <c r="GE198" s="111">
        <v>74.915830656196405</v>
      </c>
      <c r="GF198" s="124">
        <v>75.092991600423687</v>
      </c>
      <c r="GG198" s="161"/>
    </row>
    <row r="199" spans="2:189" ht="13.5" thickBot="1" x14ac:dyDescent="0.25">
      <c r="B199" s="97">
        <v>46054</v>
      </c>
      <c r="C199" s="111">
        <v>70.422667390858052</v>
      </c>
      <c r="D199" s="111">
        <v>70.621486151623998</v>
      </c>
      <c r="E199" s="111">
        <v>70.638593680386805</v>
      </c>
      <c r="F199" s="111">
        <v>70.705399556203304</v>
      </c>
      <c r="G199" s="111">
        <v>70.49040918716814</v>
      </c>
      <c r="H199" s="111">
        <v>70.338702077892592</v>
      </c>
      <c r="I199" s="111">
        <v>70.38984940855012</v>
      </c>
      <c r="J199" s="111">
        <v>70.468865143978903</v>
      </c>
      <c r="K199" s="111">
        <v>70.586396738483302</v>
      </c>
      <c r="L199" s="111">
        <v>70.546146885197274</v>
      </c>
      <c r="M199" s="111">
        <v>70.481744775577454</v>
      </c>
      <c r="N199" s="111">
        <v>70.512158476249269</v>
      </c>
      <c r="O199" s="111">
        <v>70.450461862802683</v>
      </c>
      <c r="P199" s="111">
        <v>70.219556850312301</v>
      </c>
      <c r="Q199" s="121">
        <v>70.196525401601832</v>
      </c>
      <c r="R199" s="121">
        <v>70.107073622921433</v>
      </c>
      <c r="S199" s="121">
        <v>70.146236836211258</v>
      </c>
      <c r="T199" s="121">
        <v>70.147571774895738</v>
      </c>
      <c r="U199" s="121">
        <v>70.221357223978373</v>
      </c>
      <c r="V199" s="121">
        <v>70.243626362562495</v>
      </c>
      <c r="W199" s="121">
        <v>70.3167041654836</v>
      </c>
      <c r="X199" s="121">
        <v>70.471220816728803</v>
      </c>
      <c r="Y199" s="121">
        <v>70.532643359737918</v>
      </c>
      <c r="Z199" s="121">
        <v>70.665562799369852</v>
      </c>
      <c r="AA199" s="121">
        <v>70.912690189188382</v>
      </c>
      <c r="AB199" s="121">
        <v>71.068921010496695</v>
      </c>
      <c r="AC199" s="121">
        <v>71.168042256635403</v>
      </c>
      <c r="AD199" s="121">
        <v>71.133962631343024</v>
      </c>
      <c r="AE199" s="121">
        <v>71.0745423121583</v>
      </c>
      <c r="AF199" s="121">
        <v>71.29134205301078</v>
      </c>
      <c r="AG199" s="121">
        <v>71.404676549747975</v>
      </c>
      <c r="AH199" s="121">
        <v>71.356223639788553</v>
      </c>
      <c r="AI199" s="121">
        <v>71.161906843076366</v>
      </c>
      <c r="AJ199" s="121">
        <v>71.178218789923918</v>
      </c>
      <c r="AK199" s="121">
        <v>71.236576737507576</v>
      </c>
      <c r="AL199" s="121">
        <v>71.201588417087152</v>
      </c>
      <c r="AM199" s="121">
        <v>71.327646584957122</v>
      </c>
      <c r="AN199" s="121">
        <v>71.479119392934436</v>
      </c>
      <c r="AO199" s="121">
        <v>71.503300098896929</v>
      </c>
      <c r="AP199" s="121">
        <v>71.647801313284404</v>
      </c>
      <c r="AQ199" s="121">
        <v>71.868294494125578</v>
      </c>
      <c r="AR199" s="121">
        <v>72.026336223410979</v>
      </c>
      <c r="AS199" s="121">
        <v>71.987289039381025</v>
      </c>
      <c r="AT199" s="121">
        <v>72.096325701774575</v>
      </c>
      <c r="AU199" s="121">
        <v>72.365171627820928</v>
      </c>
      <c r="AV199" s="121">
        <v>72.451961443091591</v>
      </c>
      <c r="AW199" s="121">
        <v>72.680892825773583</v>
      </c>
      <c r="AX199" s="121">
        <v>72.89321057258411</v>
      </c>
      <c r="AY199" s="121">
        <v>72.81970445205404</v>
      </c>
      <c r="AZ199" s="121">
        <v>72.77474493288787</v>
      </c>
      <c r="BA199" s="121">
        <v>72.962625630667688</v>
      </c>
      <c r="BB199" s="121">
        <v>73.030284715646275</v>
      </c>
      <c r="BC199" s="121">
        <v>72.993684241061786</v>
      </c>
      <c r="BD199" s="121">
        <v>72.978186635600451</v>
      </c>
      <c r="BE199" s="121">
        <v>73.187051722302471</v>
      </c>
      <c r="BF199" s="121">
        <v>73.280445520678938</v>
      </c>
      <c r="BG199" s="121">
        <v>73.414199644066244</v>
      </c>
      <c r="BH199" s="121">
        <v>73.416902401416522</v>
      </c>
      <c r="BI199" s="121">
        <v>73.413032729151055</v>
      </c>
      <c r="BJ199" s="121">
        <v>73.28680444812818</v>
      </c>
      <c r="BK199" s="121">
        <v>73.359661540267055</v>
      </c>
      <c r="BL199" s="121">
        <v>73.456454387769298</v>
      </c>
      <c r="BM199" s="121">
        <v>73.531106682048176</v>
      </c>
      <c r="BN199" s="121">
        <v>73.745283162697874</v>
      </c>
      <c r="BO199" s="121">
        <v>73.946637731395242</v>
      </c>
      <c r="BP199" s="121">
        <v>74.013075666251211</v>
      </c>
      <c r="BQ199" s="121">
        <v>74.074323054433052</v>
      </c>
      <c r="BR199" s="121">
        <v>74.048943542883066</v>
      </c>
      <c r="BS199" s="121">
        <v>74.097656289130612</v>
      </c>
      <c r="BT199" s="121">
        <v>74.089907358778959</v>
      </c>
      <c r="BU199" s="121">
        <v>74.144341386003916</v>
      </c>
      <c r="BV199" s="121">
        <v>74.307146322983968</v>
      </c>
      <c r="BW199" s="121">
        <v>74.365198974974561</v>
      </c>
      <c r="BX199" s="121">
        <v>74.450163648698833</v>
      </c>
      <c r="BY199" s="121">
        <v>74.429913780294825</v>
      </c>
      <c r="BZ199" s="121">
        <v>74.389813535938913</v>
      </c>
      <c r="CA199" s="121">
        <v>74.374880668256438</v>
      </c>
      <c r="CB199" s="121">
        <v>74.387710269042771</v>
      </c>
      <c r="CC199" s="121">
        <v>74.504793567301462</v>
      </c>
      <c r="CD199" s="121">
        <v>74.47386708448667</v>
      </c>
      <c r="CE199" s="121">
        <v>74.559559633452892</v>
      </c>
      <c r="CF199" s="121">
        <v>74.702375175215977</v>
      </c>
      <c r="CG199" s="121">
        <v>74.698896436993891</v>
      </c>
      <c r="CH199" s="121">
        <v>74.83906059523143</v>
      </c>
      <c r="CI199" s="121">
        <v>75.03206757979919</v>
      </c>
      <c r="CJ199" s="121">
        <v>75.189411585526116</v>
      </c>
      <c r="CK199" s="121">
        <v>75.060047722419725</v>
      </c>
      <c r="CL199" s="121">
        <v>74.925200866042658</v>
      </c>
      <c r="CM199" s="121">
        <v>74.990045291172791</v>
      </c>
      <c r="CN199" s="121">
        <v>75.246698491496659</v>
      </c>
      <c r="CO199" s="121">
        <v>75.07991259979228</v>
      </c>
      <c r="CP199" s="121">
        <v>75.202629224127904</v>
      </c>
      <c r="CQ199" s="121">
        <v>75.270344353864701</v>
      </c>
      <c r="CR199" s="121">
        <v>75.450975054308188</v>
      </c>
      <c r="CS199" s="121">
        <v>75.47903385519183</v>
      </c>
      <c r="CT199" s="121">
        <v>75.512979847256091</v>
      </c>
      <c r="CU199" s="121">
        <v>75.425873025732528</v>
      </c>
      <c r="CV199" s="121">
        <v>75.391671878018542</v>
      </c>
      <c r="CW199" s="121">
        <v>75.426166134364706</v>
      </c>
      <c r="CX199" s="121">
        <v>75.417909341627677</v>
      </c>
      <c r="CY199" s="121">
        <v>75.57208095497343</v>
      </c>
      <c r="CZ199" s="121">
        <v>75.616957871487529</v>
      </c>
      <c r="DA199" s="121">
        <v>75.684935450946185</v>
      </c>
      <c r="DB199" s="121">
        <v>75.952764090465436</v>
      </c>
      <c r="DC199" s="121">
        <v>75.970441265998801</v>
      </c>
      <c r="DD199" s="121">
        <v>75.902745264837549</v>
      </c>
      <c r="DE199" s="121">
        <v>76.00805927935248</v>
      </c>
      <c r="DF199" s="121">
        <v>75.999809844361991</v>
      </c>
      <c r="DG199" s="121">
        <v>76.087779457665533</v>
      </c>
      <c r="DH199" s="121">
        <v>76.03963300798307</v>
      </c>
      <c r="DI199" s="121">
        <v>75.92364283869189</v>
      </c>
      <c r="DJ199" s="121">
        <v>76.00730194543705</v>
      </c>
      <c r="DK199" s="121">
        <v>76.038640543712816</v>
      </c>
      <c r="DL199" s="121">
        <v>76.218734498876088</v>
      </c>
      <c r="DM199" s="121">
        <v>76.378310518244135</v>
      </c>
      <c r="DN199" s="121">
        <v>76.378729942608558</v>
      </c>
      <c r="DO199" s="121">
        <v>76.490866736886744</v>
      </c>
      <c r="DP199" s="121">
        <v>75.928121847399737</v>
      </c>
      <c r="DQ199" s="121">
        <v>75.660802765847521</v>
      </c>
      <c r="DR199" s="121">
        <v>75.503952620635147</v>
      </c>
      <c r="DS199" s="121">
        <v>75.420195354028678</v>
      </c>
      <c r="DT199" s="121">
        <v>75.25116829575515</v>
      </c>
      <c r="DU199" s="121">
        <v>74.987927797240943</v>
      </c>
      <c r="DV199" s="121">
        <v>74.600905322323044</v>
      </c>
      <c r="DW199" s="121">
        <v>74.457238986191271</v>
      </c>
      <c r="DX199" s="121">
        <v>74.515761482935233</v>
      </c>
      <c r="DY199" s="121">
        <v>74.319784751389435</v>
      </c>
      <c r="DZ199" s="121">
        <v>74.323280083871026</v>
      </c>
      <c r="EA199" s="121">
        <v>74.500333436925231</v>
      </c>
      <c r="EB199" s="121">
        <v>74.419269291119079</v>
      </c>
      <c r="EC199" s="121">
        <v>74.426016580932227</v>
      </c>
      <c r="ED199" s="121">
        <v>74.470474315994608</v>
      </c>
      <c r="EE199" s="121">
        <v>74.727432239670151</v>
      </c>
      <c r="EF199" s="121">
        <v>74.824026864860855</v>
      </c>
      <c r="EG199" s="121">
        <v>74.935241841336349</v>
      </c>
      <c r="EH199" s="121">
        <v>75.046031217079573</v>
      </c>
      <c r="EI199" s="121">
        <v>74.986594009437624</v>
      </c>
      <c r="EJ199" s="121">
        <v>74.991310881628721</v>
      </c>
      <c r="EK199" s="121">
        <v>75.05785834596098</v>
      </c>
      <c r="EL199" s="128">
        <v>75.038850146241586</v>
      </c>
      <c r="EM199" s="108">
        <v>75.037549106051515</v>
      </c>
      <c r="EN199" s="128">
        <v>75.109352399520063</v>
      </c>
      <c r="EO199" s="128">
        <v>75.156947819909789</v>
      </c>
      <c r="EP199" s="121">
        <v>75.398738568094416</v>
      </c>
      <c r="EQ199" s="128">
        <v>75.066732683469567</v>
      </c>
      <c r="ER199" s="128">
        <v>74.950820544823742</v>
      </c>
      <c r="ES199" s="108">
        <v>75.041202135253656</v>
      </c>
      <c r="ET199" s="108">
        <v>74.956682829119671</v>
      </c>
      <c r="EU199" s="108">
        <v>75.02175481523166</v>
      </c>
      <c r="EV199" s="121">
        <v>75.010315927034171</v>
      </c>
      <c r="EW199" s="111">
        <v>75.136188250553531</v>
      </c>
      <c r="EX199" s="108">
        <v>75.16007543739542</v>
      </c>
      <c r="EY199" s="108">
        <v>75.15151207009346</v>
      </c>
      <c r="EZ199" s="121">
        <v>75.28328338883118</v>
      </c>
      <c r="FA199" s="108">
        <v>75.475189034810768</v>
      </c>
      <c r="FB199" s="121">
        <v>75.444497185838344</v>
      </c>
      <c r="FC199" s="108">
        <v>75.198419885391672</v>
      </c>
      <c r="FD199" s="108">
        <v>74.910496321384699</v>
      </c>
      <c r="FE199" s="128">
        <v>74.688656682486794</v>
      </c>
      <c r="FF199" s="108">
        <v>74.887733375994429</v>
      </c>
      <c r="FG199" s="128">
        <v>74.883157063576917</v>
      </c>
      <c r="FH199" s="108">
        <v>74.859895030498521</v>
      </c>
      <c r="FI199" s="121">
        <v>74.852974396274078</v>
      </c>
      <c r="FJ199" s="111">
        <v>74.659177279638797</v>
      </c>
      <c r="FK199" s="111">
        <v>74.55901190200197</v>
      </c>
      <c r="FL199" s="111">
        <v>74.495675414989066</v>
      </c>
      <c r="FM199" s="111">
        <v>74.396208533706854</v>
      </c>
      <c r="FN199" s="111">
        <v>74.407764323915487</v>
      </c>
      <c r="FO199" s="111">
        <v>74.574397057150151</v>
      </c>
      <c r="FP199" s="111">
        <v>74.722902674145047</v>
      </c>
      <c r="FQ199" s="111">
        <v>74.985703831661851</v>
      </c>
      <c r="FR199" s="111">
        <v>74.937975580477485</v>
      </c>
      <c r="FS199" s="111">
        <v>74.902472586787169</v>
      </c>
      <c r="FT199" s="111">
        <v>74.850934796288655</v>
      </c>
      <c r="FU199" s="116">
        <v>74.956007115185059</v>
      </c>
      <c r="FV199" s="111">
        <v>75.006017765513917</v>
      </c>
      <c r="FW199" s="111">
        <v>75.066049868007099</v>
      </c>
      <c r="FX199" s="111">
        <v>74.999445427577271</v>
      </c>
      <c r="FY199" s="111">
        <v>75.057705153172918</v>
      </c>
      <c r="FZ199" s="111">
        <v>75.241221231307421</v>
      </c>
      <c r="GA199" s="111">
        <v>75.268460915089989</v>
      </c>
      <c r="GB199" s="111">
        <v>75.174093498404631</v>
      </c>
      <c r="GC199" s="111">
        <v>75.063593417860758</v>
      </c>
      <c r="GD199" s="111">
        <v>75.041594544953</v>
      </c>
      <c r="GE199" s="111">
        <v>74.915830656196405</v>
      </c>
      <c r="GF199" s="111">
        <v>75.092991600423687</v>
      </c>
      <c r="GG199" s="123">
        <v>74.959732814126554</v>
      </c>
    </row>
    <row r="200" spans="2:189" ht="13.5" thickBot="1" x14ac:dyDescent="0.25">
      <c r="B200" s="83" t="s">
        <v>20</v>
      </c>
      <c r="C200" s="90">
        <f>IF(ISBLANK($C$199),"N/A",$C$199)</f>
        <v>70.422667390858052</v>
      </c>
      <c r="D200" s="90">
        <f>IF(ISBLANK($D$199),"N/A",$D$199)</f>
        <v>70.621486151623998</v>
      </c>
      <c r="E200" s="90">
        <f>IF(ISBLANK($E$199),"N/A",$E$199)</f>
        <v>70.638593680386805</v>
      </c>
      <c r="F200" s="90">
        <f>IF(ISBLANK($F$199),"N/A",$F$199)</f>
        <v>70.705399556203304</v>
      </c>
      <c r="G200" s="90">
        <f>IF(ISBLANK($G$199),"N/A",$G$199)</f>
        <v>70.49040918716814</v>
      </c>
      <c r="H200" s="90">
        <f>IF(ISBLANK($H$199),"N/A",$H$199)</f>
        <v>70.338702077892592</v>
      </c>
      <c r="I200" s="90">
        <f>IF(ISBLANK($I$199),"N/A",$I$199)</f>
        <v>70.38984940855012</v>
      </c>
      <c r="J200" s="90">
        <f>IF(ISBLANK($J$199),"N/A",$J$199)</f>
        <v>70.468865143978903</v>
      </c>
      <c r="K200" s="90">
        <f>IF(ISBLANK($K$199),"N/A",$K$199)</f>
        <v>70.586396738483302</v>
      </c>
      <c r="L200" s="90">
        <f>IF(ISBLANK($L$199),"N/A",$L$199)</f>
        <v>70.546146885197274</v>
      </c>
      <c r="M200" s="90">
        <f>IF(ISBLANK($M$199),"N/A",$M$199)</f>
        <v>70.481744775577454</v>
      </c>
      <c r="N200" s="90">
        <f>IF(ISBLANK($N$199),"N/A",$N$199)</f>
        <v>70.512158476249269</v>
      </c>
      <c r="O200" s="90">
        <f>IF(ISBLANK($O$199),"N/A",$O$199)</f>
        <v>70.450461862802683</v>
      </c>
      <c r="P200" s="90">
        <f>IF(ISBLANK($P$199),"N/A",$P$199)</f>
        <v>70.219556850312301</v>
      </c>
      <c r="Q200" s="90">
        <f>IF(ISBLANK($Q$199),"N/A",$Q$199)</f>
        <v>70.196525401601832</v>
      </c>
      <c r="R200" s="90">
        <f>IF(ISBLANK($R$199),"N/A",$R$199)</f>
        <v>70.107073622921433</v>
      </c>
      <c r="S200" s="90">
        <f>IF(ISBLANK($S$199),"N/A",$S$199)</f>
        <v>70.146236836211258</v>
      </c>
      <c r="T200" s="90">
        <f>IF(ISBLANK($T$199),"N/A",$T$199)</f>
        <v>70.147571774895738</v>
      </c>
      <c r="U200" s="90">
        <f>IF(ISBLANK($U$199),"N/A",$U$199)</f>
        <v>70.221357223978373</v>
      </c>
      <c r="V200" s="90">
        <f>IF(ISBLANK($V$199),"N/A",$V$199)</f>
        <v>70.243626362562495</v>
      </c>
      <c r="W200" s="90">
        <f>IF(ISBLANK($W$199),"N/A",$W$199)</f>
        <v>70.3167041654836</v>
      </c>
      <c r="X200" s="90">
        <f>IF(ISBLANK($X$199),"N/A",$X$199)</f>
        <v>70.471220816728803</v>
      </c>
      <c r="Y200" s="90">
        <f>IF(ISBLANK($Y$199),"N/A",$Y$199)</f>
        <v>70.532643359737918</v>
      </c>
      <c r="Z200" s="90">
        <f>IF(ISBLANK($Z$199),"N/A",$Z$199)</f>
        <v>70.665562799369852</v>
      </c>
      <c r="AA200" s="90">
        <f>IF(ISBLANK($AA$199),"N/A",$AA$199)</f>
        <v>70.912690189188382</v>
      </c>
      <c r="AB200" s="90">
        <f>IF(ISBLANK($AB$199),"N/A",$AB$199)</f>
        <v>71.068921010496695</v>
      </c>
      <c r="AC200" s="90">
        <f>IF(ISBLANK($AC$199),"N/A",$AC$199)</f>
        <v>71.168042256635403</v>
      </c>
      <c r="AD200" s="90">
        <f>IF(ISBLANK($AD$199),"N/A",$AD$199)</f>
        <v>71.133962631343024</v>
      </c>
      <c r="AE200" s="90">
        <f>IF(ISBLANK($AE$199),"N/A",$AE$199)</f>
        <v>71.0745423121583</v>
      </c>
      <c r="AF200" s="90">
        <f>IF(ISBLANK($AF$199),"N/A",$AF$199)</f>
        <v>71.29134205301078</v>
      </c>
      <c r="AG200" s="90">
        <f>IF(ISBLANK($AG$199),"N/A",$AG$199)</f>
        <v>71.404676549747975</v>
      </c>
      <c r="AH200" s="90">
        <f>IF(ISBLANK($AH$199),"N/A",$AH$199)</f>
        <v>71.356223639788553</v>
      </c>
      <c r="AI200" s="90">
        <f>IF(ISBLANK($AI$199),"N/A",$AI$199)</f>
        <v>71.161906843076366</v>
      </c>
      <c r="AJ200" s="90">
        <f>IF(ISBLANK($AJ$199),"N/A",$AJ$199)</f>
        <v>71.178218789923918</v>
      </c>
      <c r="AK200" s="90">
        <f>IF(ISBLANK($AK$199),"N/A",$AK$199)</f>
        <v>71.236576737507576</v>
      </c>
      <c r="AL200" s="90">
        <f>IF(ISBLANK($AL$199),"N/A",$AL$199)</f>
        <v>71.201588417087152</v>
      </c>
      <c r="AM200" s="90">
        <f>IF(ISBLANK($AM$199),"N/A",$AM$199)</f>
        <v>71.327646584957122</v>
      </c>
      <c r="AN200" s="90">
        <f>IF(ISBLANK($AN$199),"N/A",$AN$199)</f>
        <v>71.479119392934436</v>
      </c>
      <c r="AO200" s="90">
        <f>IF(ISBLANK($AO$199),"N/A",$AO$199)</f>
        <v>71.503300098896929</v>
      </c>
      <c r="AP200" s="90">
        <f>IF(ISBLANK($AP$199),"N/A",$AP$199)</f>
        <v>71.647801313284404</v>
      </c>
      <c r="AQ200" s="90">
        <f>IF(ISBLANK($AQ$199),"N/A",$AQ$199)</f>
        <v>71.868294494125578</v>
      </c>
      <c r="AR200" s="90">
        <f>IF(ISBLANK($AR$199),"N/A",$AR$199)</f>
        <v>72.026336223410979</v>
      </c>
      <c r="AS200" s="90">
        <f>IF(ISBLANK($AS$199),"N/A",$AS$199)</f>
        <v>71.987289039381025</v>
      </c>
      <c r="AT200" s="90">
        <f>IF(ISBLANK($AT$199),"N/A",$AT$199)</f>
        <v>72.096325701774575</v>
      </c>
      <c r="AU200" s="90">
        <f>IF(ISBLANK($AU$199),"N/A",$AU$199)</f>
        <v>72.365171627820928</v>
      </c>
      <c r="AV200" s="90">
        <f>IF(ISBLANK($AV$199),"N/A",$AV$199)</f>
        <v>72.451961443091591</v>
      </c>
      <c r="AW200" s="90">
        <f>IF(ISBLANK($AW$199),"N/A",$AW$199)</f>
        <v>72.680892825773583</v>
      </c>
      <c r="AX200" s="90">
        <f>IF(ISBLANK($AX$199),"N/A",$AX$199)</f>
        <v>72.89321057258411</v>
      </c>
      <c r="AY200" s="90">
        <f>IF(ISBLANK($AY$199),"N/A",$AY$199)</f>
        <v>72.81970445205404</v>
      </c>
      <c r="AZ200" s="90">
        <f>IF(ISBLANK($AZ$199),"N/A",$AZ$199)</f>
        <v>72.77474493288787</v>
      </c>
      <c r="BA200" s="90">
        <f>IF(ISBLANK($BA$199),"N/A",$BA$199)</f>
        <v>72.962625630667688</v>
      </c>
      <c r="BB200" s="90">
        <f>IF(ISBLANK($BB$199),"N/A",$BB$199)</f>
        <v>73.030284715646275</v>
      </c>
      <c r="BC200" s="90">
        <f>IF(ISBLANK($BC$199),"N/A",$BC$199)</f>
        <v>72.993684241061786</v>
      </c>
      <c r="BD200" s="90">
        <f>IF(ISBLANK($BD$199),"N/A",$BD$199)</f>
        <v>72.978186635600451</v>
      </c>
      <c r="BE200" s="90">
        <f>IF(ISBLANK($BE$199),"N/A",$BE$199)</f>
        <v>73.187051722302471</v>
      </c>
      <c r="BF200" s="90">
        <f>IF(ISBLANK($BF$199),"N/A",$BF$199)</f>
        <v>73.280445520678938</v>
      </c>
      <c r="BG200" s="90">
        <f>IF(ISBLANK($BG$199),"N/A",$BG$199)</f>
        <v>73.414199644066244</v>
      </c>
      <c r="BH200" s="90">
        <f>IF(ISBLANK($BH$199),"N/A",$BH$199)</f>
        <v>73.416902401416522</v>
      </c>
      <c r="BI200" s="90">
        <f>IF(ISBLANK($BI$199),"N/A",$BI$199)</f>
        <v>73.413032729151055</v>
      </c>
      <c r="BJ200" s="90">
        <f>IF(ISBLANK($BJ$199),"N/A",$BJ$199)</f>
        <v>73.28680444812818</v>
      </c>
      <c r="BK200" s="90">
        <f>IF(ISBLANK($BK$199),"N/A",$BK$199)</f>
        <v>73.359661540267055</v>
      </c>
      <c r="BL200" s="90">
        <f>IF(ISBLANK($BL$199),"N/A",$BL$199)</f>
        <v>73.456454387769298</v>
      </c>
      <c r="BM200" s="90">
        <f>IF(ISBLANK($BM$199),"N/A",$BM$199)</f>
        <v>73.531106682048176</v>
      </c>
      <c r="BN200" s="90">
        <f>IF(ISBLANK($BN$199),"N/A",$BN$199)</f>
        <v>73.745283162697874</v>
      </c>
      <c r="BO200" s="90">
        <f>IF(ISBLANK($BO$199),"N/A",$BO$199)</f>
        <v>73.946637731395242</v>
      </c>
      <c r="BP200" s="90">
        <f>IF(ISBLANK($BP$199),"N/A",$BP$199)</f>
        <v>74.013075666251211</v>
      </c>
      <c r="BQ200" s="90">
        <f>IF(ISBLANK($BQ$199),"N/A",$BQ$199)</f>
        <v>74.074323054433052</v>
      </c>
      <c r="BR200" s="90">
        <f>IF(ISBLANK($BR$199),"N/A",$BR$199)</f>
        <v>74.048943542883066</v>
      </c>
      <c r="BS200" s="90">
        <f>IF(ISBLANK($BS$199),"N/A",$BS$199)</f>
        <v>74.097656289130612</v>
      </c>
      <c r="BT200" s="90">
        <f>IF(ISBLANK($BT$199),"N/A",$BT$199)</f>
        <v>74.089907358778959</v>
      </c>
      <c r="BU200" s="90">
        <f>IF(ISBLANK($BU$199),"N/A",$BU$199)</f>
        <v>74.144341386003916</v>
      </c>
      <c r="BV200" s="90">
        <f>IF(ISBLANK($BV$199),"N/A",$BV$199)</f>
        <v>74.307146322983968</v>
      </c>
      <c r="BW200" s="90">
        <f>IF(ISBLANK($BW$199),"N/A",$BW$199)</f>
        <v>74.365198974974561</v>
      </c>
      <c r="BX200" s="90">
        <f>IF(ISBLANK($BX$199),"N/A",$BX$199)</f>
        <v>74.450163648698833</v>
      </c>
      <c r="BY200" s="90">
        <f>IF(ISBLANK($BY$199),"N/A",$BY$199)</f>
        <v>74.429913780294825</v>
      </c>
      <c r="BZ200" s="90">
        <f>IF(ISBLANK($BZ$199),"N/A",$BZ$199)</f>
        <v>74.389813535938913</v>
      </c>
      <c r="CA200" s="90">
        <f>IF(ISBLANK($CA$199),"N/A",$CA$199)</f>
        <v>74.374880668256438</v>
      </c>
      <c r="CB200" s="90">
        <f>IF(ISBLANK($CB$199),"N/A",$CB$199)</f>
        <v>74.387710269042771</v>
      </c>
      <c r="CC200" s="90">
        <f>IF(ISBLANK($CC$199),"N/A",$CC$199)</f>
        <v>74.504793567301462</v>
      </c>
      <c r="CD200" s="90">
        <f>IF(ISBLANK($CD$199),"N/A",$CD$199)</f>
        <v>74.47386708448667</v>
      </c>
      <c r="CE200" s="90">
        <f>IF(ISBLANK($CE$199),"N/A",$CE$199)</f>
        <v>74.559559633452892</v>
      </c>
      <c r="CF200" s="90">
        <f>IF(ISBLANK($CF$199),"N/A",$CF$199)</f>
        <v>74.702375175215977</v>
      </c>
      <c r="CG200" s="90">
        <f>IF(ISBLANK($CG$199),"N/A",$CG$199)</f>
        <v>74.698896436993891</v>
      </c>
      <c r="CH200" s="90">
        <f>IF(ISBLANK($CH$199),"N/A",$CH$199)</f>
        <v>74.83906059523143</v>
      </c>
      <c r="CI200" s="90">
        <f>IF(ISBLANK($CI$199),"N/A",$CI$199)</f>
        <v>75.03206757979919</v>
      </c>
      <c r="CJ200" s="90">
        <f>IF(ISBLANK($CJ$199),"N/A",$CJ$199)</f>
        <v>75.189411585526116</v>
      </c>
      <c r="CK200" s="90">
        <f>IF(ISBLANK($CK$199),"N/A",$CK$199)</f>
        <v>75.060047722419725</v>
      </c>
      <c r="CL200" s="90">
        <f>IF(ISBLANK($CL$199),"N/A",$CL$199)</f>
        <v>74.925200866042658</v>
      </c>
      <c r="CM200" s="90">
        <f>IF(ISBLANK($CM$199),"N/A",$CM$199)</f>
        <v>74.990045291172791</v>
      </c>
      <c r="CN200" s="90">
        <f>IF(ISBLANK($CN$199),"N/A",$CN$199)</f>
        <v>75.246698491496659</v>
      </c>
      <c r="CO200" s="90">
        <f>IF(ISBLANK($CO$199),"N/A",$CO$199)</f>
        <v>75.07991259979228</v>
      </c>
      <c r="CP200" s="90">
        <f>IF(ISBLANK($CP$199),"N/A",$CP$199)</f>
        <v>75.202629224127904</v>
      </c>
      <c r="CQ200" s="90">
        <f>IF(ISBLANK($CQ$199),"N/A",$CQ$199)</f>
        <v>75.270344353864701</v>
      </c>
      <c r="CR200" s="90">
        <f>IF(ISBLANK($CR$199),"N/A",$CR$199)</f>
        <v>75.450975054308188</v>
      </c>
      <c r="CS200" s="90">
        <f>IF(ISBLANK($CS$199),"N/A",$CS$199)</f>
        <v>75.47903385519183</v>
      </c>
      <c r="CT200" s="90">
        <f>IF(ISBLANK($CT$199),"N/A",$CT$199)</f>
        <v>75.512979847256091</v>
      </c>
      <c r="CU200" s="90">
        <f>IF(ISBLANK($CU$199),"N/A",$CU$199)</f>
        <v>75.425873025732528</v>
      </c>
      <c r="CV200" s="90">
        <f>IF(ISBLANK($CV$199),"N/A",$CV$199)</f>
        <v>75.391671878018542</v>
      </c>
      <c r="CW200" s="90">
        <f>IF(ISBLANK($CW$199),"N/A",$CW$199)</f>
        <v>75.426166134364706</v>
      </c>
      <c r="CX200" s="90">
        <f>IF(ISBLANK($CX$199),"N/A",$CX$199)</f>
        <v>75.417909341627677</v>
      </c>
      <c r="CY200" s="90">
        <f>IF(ISBLANK($CY$199),"N/A",$CY$199)</f>
        <v>75.57208095497343</v>
      </c>
      <c r="CZ200" s="90">
        <f>IF(ISBLANK($CZ$199),"N/A",$CZ$199)</f>
        <v>75.616957871487529</v>
      </c>
      <c r="DA200" s="90">
        <f>IF(ISBLANK($DA$199),"N/A",$DA$199)</f>
        <v>75.684935450946185</v>
      </c>
      <c r="DB200" s="90">
        <f>IF(ISBLANK($DB$199),"N/A",$DB$199)</f>
        <v>75.952764090465436</v>
      </c>
      <c r="DC200" s="90">
        <f>IF(ISBLANK($DC$199),"N/A",$DC$199)</f>
        <v>75.970441265998801</v>
      </c>
      <c r="DD200" s="90">
        <f>IF(ISBLANK($DD$199),"N/A",$DD$199)</f>
        <v>75.902745264837549</v>
      </c>
      <c r="DE200" s="90">
        <f>IF(ISBLANK($DE$199),"N/A",$DE$199)</f>
        <v>76.00805927935248</v>
      </c>
      <c r="DF200" s="90">
        <f>IF(ISBLANK($DF$199),"N/A",$DF$199)</f>
        <v>75.999809844361991</v>
      </c>
      <c r="DG200" s="90">
        <f>IF(ISBLANK($DG$199),"N/A",$DG$199)</f>
        <v>76.087779457665533</v>
      </c>
      <c r="DH200" s="90">
        <f>IF(ISBLANK($DH$199),"N/A",$DH$199)</f>
        <v>76.03963300798307</v>
      </c>
      <c r="DI200" s="90">
        <f>IF(ISBLANK($DI$199),"N/A",$DI$199)</f>
        <v>75.92364283869189</v>
      </c>
      <c r="DJ200" s="90">
        <f>IF(ISBLANK($DJ$199),"N/A",$DJ$199)</f>
        <v>76.00730194543705</v>
      </c>
      <c r="DK200" s="90">
        <f>IF(ISBLANK($DK$199),"N/A",$DK$199)</f>
        <v>76.038640543712816</v>
      </c>
      <c r="DL200" s="90">
        <f>IF(ISBLANK($DL$199),"N/A",$DL$199)</f>
        <v>76.218734498876088</v>
      </c>
      <c r="DM200" s="90">
        <f>IF(ISBLANK($DM$199),"N/A",$DM$199)</f>
        <v>76.378310518244135</v>
      </c>
      <c r="DN200" s="90">
        <f>IF(ISBLANK($DN$199),"N/A",$DN$199)</f>
        <v>76.378729942608558</v>
      </c>
      <c r="DO200" s="90">
        <f>IF(ISBLANK($DO$199),"N/A",$DO$199)</f>
        <v>76.490866736886744</v>
      </c>
      <c r="DP200" s="90">
        <f>IF(ISBLANK($DP$199),"N/A",$DP$199)</f>
        <v>75.928121847399737</v>
      </c>
      <c r="DQ200" s="90">
        <f>IF(ISBLANK($DQ$199),"N/A",$DQ$199)</f>
        <v>75.660802765847521</v>
      </c>
      <c r="DR200" s="90">
        <f>IF(ISBLANK($DR$199),"N/A",$DR$199)</f>
        <v>75.503952620635147</v>
      </c>
      <c r="DS200" s="117">
        <f>IF(ISBLANK($DS$199),"N/A",$DS$199)</f>
        <v>75.420195354028678</v>
      </c>
      <c r="DT200" s="117">
        <f>IF(ISBLANK($DT$199),"N/A",$DT$199)</f>
        <v>75.25116829575515</v>
      </c>
      <c r="DU200" s="117">
        <f>IF(ISBLANK($DU$199),"N/A",$DU$199)</f>
        <v>74.987927797240943</v>
      </c>
      <c r="DV200" s="117">
        <f>IF(ISBLANK($DV$199),"N/A",$DV$199)</f>
        <v>74.600905322323044</v>
      </c>
      <c r="DW200" s="117">
        <f>IF(ISBLANK($DW$199),"N/A",$DW$199)</f>
        <v>74.457238986191271</v>
      </c>
      <c r="DX200" s="117">
        <f>IF(ISBLANK($DX$199),"N/A",$DX$199)</f>
        <v>74.515761482935233</v>
      </c>
      <c r="DY200" s="117">
        <f>IF(ISBLANK($DY$199),"N/A",$DY$199)</f>
        <v>74.319784751389435</v>
      </c>
      <c r="DZ200" s="117">
        <f>IF(ISBLANK($DZ$199),"N/A",$DZ$199)</f>
        <v>74.323280083871026</v>
      </c>
      <c r="EA200" s="117">
        <f>IF(ISBLANK($EA$199),"N/A",$EA$199)</f>
        <v>74.500333436925231</v>
      </c>
      <c r="EB200" s="117">
        <f>IF(ISBLANK($EB$199),"N/A",$EB$199)</f>
        <v>74.419269291119079</v>
      </c>
      <c r="EC200" s="117">
        <f>IF(ISBLANK($EC$199),"N/A",$EC$199)</f>
        <v>74.426016580932227</v>
      </c>
      <c r="ED200" s="117">
        <f>IF(ISBLANK($ED$199),"N/A",$ED$199)</f>
        <v>74.470474315994608</v>
      </c>
      <c r="EE200" s="117">
        <f>IF(ISBLANK($EE$199),"N/A",$EE$199)</f>
        <v>74.727432239670151</v>
      </c>
      <c r="EF200" s="118">
        <f>IF(ISBLANK($EF$199),"N/A",$EF$199)</f>
        <v>74.824026864860855</v>
      </c>
      <c r="EG200" s="117">
        <f>IF(ISBLANK($EG$199),"N/A",$EG$199)</f>
        <v>74.935241841336349</v>
      </c>
      <c r="EH200" s="117">
        <f>IF(ISBLANK($EH$199),"N/A",$EH$199)</f>
        <v>75.046031217079573</v>
      </c>
      <c r="EI200" s="117">
        <f>IF(ISBLANK($EI$199),"N/A",$EI$199)</f>
        <v>74.986594009437624</v>
      </c>
      <c r="EJ200" s="117">
        <f>IF(ISBLANK($EJ$199),"N/A",$EJ$199)</f>
        <v>74.991310881628721</v>
      </c>
      <c r="EK200" s="117">
        <f>IF(ISBLANK($EK$199),"N/A",$EK$199)</f>
        <v>75.05785834596098</v>
      </c>
      <c r="EL200" s="120">
        <f>IF(ISBLANK($EL$199),"N/A",$EL$199)</f>
        <v>75.038850146241586</v>
      </c>
      <c r="EM200" s="120">
        <f>IF(ISBLANK($EM$199),"N/A",$EM$199)</f>
        <v>75.037549106051515</v>
      </c>
      <c r="EN200" s="131">
        <f>IF(ISBLANK($EN$199),"N/A",$EN$199)</f>
        <v>75.109352399520063</v>
      </c>
      <c r="EO200" s="131">
        <f>IF(ISBLANK($EO$199),"N/A",$EO$199)</f>
        <v>75.156947819909789</v>
      </c>
      <c r="EP200" s="126">
        <f>IF(ISBLANK($EP$199),"N/A",$EP$199)</f>
        <v>75.398738568094416</v>
      </c>
      <c r="EQ200" s="120">
        <f>IF(ISBLANK($EQ$199),"N/A",$EQ$199)</f>
        <v>75.066732683469567</v>
      </c>
      <c r="ER200" s="131">
        <f>IF(ISBLANK($ER$199),"N/A",$ER$199)</f>
        <v>74.950820544823742</v>
      </c>
      <c r="ES200" s="120">
        <f>IF(ISBLANK($ES$199),"N/A",$ES$199)</f>
        <v>75.041202135253656</v>
      </c>
      <c r="ET200" s="120">
        <f>IF(ISBLANK($ET$199),"N/A",$ET$199)</f>
        <v>74.956682829119671</v>
      </c>
      <c r="EU200" s="120">
        <f>IF(ISBLANK($EU$199),"N/A",$EU$199)</f>
        <v>75.02175481523166</v>
      </c>
      <c r="EV200" s="126">
        <f>IF(ISBLANK($EV$199),"N/A",$EV$199)</f>
        <v>75.010315927034171</v>
      </c>
      <c r="EW200" s="119">
        <f>IF(ISBLANK($EW$199),"N/A",$EW$199)</f>
        <v>75.136188250553531</v>
      </c>
      <c r="EX200" s="120">
        <f>IF(ISBLANK($EX$199),"N/A",$EX$199)</f>
        <v>75.16007543739542</v>
      </c>
      <c r="EY200" s="120">
        <f>IF(ISBLANK($EY$199),"N/A",$EY$199)</f>
        <v>75.15151207009346</v>
      </c>
      <c r="EZ200" s="126">
        <f>IF(ISBLANK($EZ$199),"N/A",$EZ$199)</f>
        <v>75.28328338883118</v>
      </c>
      <c r="FA200" s="120">
        <f>IF(ISBLANK($FA$199),"N/A",$FA$199)</f>
        <v>75.475189034810768</v>
      </c>
      <c r="FB200" s="126">
        <f>IF(ISBLANK($FB$199),"N/A",$FB$199)</f>
        <v>75.444497185838344</v>
      </c>
      <c r="FC200" s="120">
        <f>IF(ISBLANK($FC$199),"N/A",$FC$199)</f>
        <v>75.198419885391672</v>
      </c>
      <c r="FD200" s="120">
        <f>IF(ISBLANK($FD$199),"N/A",$FD$199)</f>
        <v>74.910496321384699</v>
      </c>
      <c r="FE200" s="131">
        <f>IF(ISBLANK($FE$199),"N/A",$FE$199)</f>
        <v>74.688656682486794</v>
      </c>
      <c r="FF200" s="120">
        <f>IF(ISBLANK($FF$199),"N/A",$FF$199)</f>
        <v>74.887733375994429</v>
      </c>
      <c r="FG200" s="131">
        <f>IF(ISBLANK($FG$199),"N/A",$FG$199)</f>
        <v>74.883157063576917</v>
      </c>
      <c r="FH200" s="120">
        <f>IF(ISBLANK($FH$199),"N/A",$FH$199)</f>
        <v>74.859895030498521</v>
      </c>
      <c r="FI200" s="126">
        <f>IF(ISBLANK($FI$199),"N/A",$FI$199)</f>
        <v>74.852974396274078</v>
      </c>
      <c r="FJ200" s="119">
        <f>IF(ISBLANK($FJ$199),"N/A",$FJ$199)</f>
        <v>74.659177279638797</v>
      </c>
      <c r="FK200" s="119">
        <f>IF(ISBLANK($FK$199),"N/A",$FK$199)</f>
        <v>74.55901190200197</v>
      </c>
      <c r="FL200" s="119">
        <f>IF(ISBLANK($FL$199),"N/A",$FL$199)</f>
        <v>74.495675414989066</v>
      </c>
      <c r="FM200" s="119">
        <f>IF(ISBLANK($FM$199),"N/A",$FM$199)</f>
        <v>74.396208533706854</v>
      </c>
      <c r="FN200" s="119">
        <f>IF(ISBLANK($FN$199),"N/A",$FN$199)</f>
        <v>74.407764323915487</v>
      </c>
      <c r="FO200" s="119">
        <f>IF(ISBLANK($FO$199),"N/A",$FO$199)</f>
        <v>74.574397057150151</v>
      </c>
      <c r="FP200" s="119">
        <f>IF(ISBLANK($FP$199),"N/A",$FP$199)</f>
        <v>74.722902674145047</v>
      </c>
      <c r="FQ200" s="119">
        <f>IF(ISBLANK($FQ$199),"N/A",$FQ$199)</f>
        <v>74.985703831661851</v>
      </c>
      <c r="FR200" s="119">
        <f>IF(ISBLANK($FR$199),"N/A",$FR$199)</f>
        <v>74.937975580477485</v>
      </c>
      <c r="FS200" s="119">
        <f>IF(ISBLANK($FS$199),"N/A",$FS$199)</f>
        <v>74.902472586787169</v>
      </c>
      <c r="FT200" s="119">
        <f>IF(ISBLANK($FT$199),"N/A",$FT$199)</f>
        <v>74.850934796288655</v>
      </c>
      <c r="FU200" s="119">
        <f>IF(ISBLANK($FU$199),"N/A",$FU$199)</f>
        <v>74.956007115185059</v>
      </c>
      <c r="FV200" s="119">
        <f>IF(ISBLANK($FV$199),"N/A",$FV$199)</f>
        <v>75.006017765513917</v>
      </c>
      <c r="FW200" s="119">
        <f>IF(ISBLANK($FW$199),"N/A",$FW$199)</f>
        <v>75.066049868007099</v>
      </c>
      <c r="FX200" s="119">
        <f>IF(ISBLANK($FX$199),"N/A",$FX$199)</f>
        <v>74.999445427577271</v>
      </c>
      <c r="FY200" s="119">
        <f>IF(ISBLANK($FY$199),"N/A",$FY$199)</f>
        <v>75.057705153172918</v>
      </c>
      <c r="FZ200" s="119">
        <f>IF(ISBLANK($FZ$199),"N/A",$FZ$199)</f>
        <v>75.241221231307421</v>
      </c>
      <c r="GA200" s="119">
        <f>IF(ISBLANK($GA$199),"N/A",$GA$199)</f>
        <v>75.268460915089989</v>
      </c>
      <c r="GB200" s="119">
        <f>IF(ISBLANK($GB$199),"N/A",$GB$199)</f>
        <v>75.174093498404631</v>
      </c>
      <c r="GC200" s="119">
        <f>IF(ISBLANK($GC$199),"N/A",$GC$199)</f>
        <v>75.063593417860758</v>
      </c>
      <c r="GD200" s="119">
        <f>IF(ISBLANK($GD$199),"N/A",$GD$199)</f>
        <v>75.041594544953</v>
      </c>
      <c r="GE200" s="119">
        <f>IF(ISBLANK($GE$199),"N/A",$GE$199)</f>
        <v>74.915830656196405</v>
      </c>
      <c r="GF200" s="119">
        <f>IF(ISBLANK($GF$199),"N/A",$GF$199)</f>
        <v>75.092991600423687</v>
      </c>
      <c r="GG200" s="162">
        <f>IF(ISBLANK($GG$199),"N/A",$GG$199)</f>
        <v>74.959732814126554</v>
      </c>
    </row>
  </sheetData>
  <sheetProtection sheet="1" objects="1" scenarios="1"/>
  <phoneticPr fontId="19" type="noConversion"/>
  <conditionalFormatting sqref="C13 D14 D15:E17 F16 F17:G17 H18 D18:F93">
    <cfRule type="cellIs" dxfId="6054" priority="11901" stopIfTrue="1" operator="between">
      <formula>#REF!</formula>
      <formula>#REF!</formula>
    </cfRule>
    <cfRule type="cellIs" dxfId="6053" priority="11899" stopIfTrue="1" operator="equal">
      <formula>#REF!</formula>
    </cfRule>
    <cfRule type="cellIs" dxfId="6052" priority="11900" stopIfTrue="1" operator="equal">
      <formula>#REF!</formula>
    </cfRule>
  </conditionalFormatting>
  <conditionalFormatting sqref="C37:AA93 C40:AD93 C42:AF93 C84:BV93 C86:BX93 C88:BZ93 C90:CB93 C92:CD93 CJ121:CN125 CJ125:CO126 CJ126:CP129 AA38:AB93 AC39:AC93 AE41:AE93 AG43:AG93 AG44:AH93 AG45:AI93 AI46:AJ93 AG47:AK93 AK48:AL93 AG49:AM93 AM50:AN93 AG51:AO93 AO52:AP93 AG53:AQ93 AQ54:AR93 AG55:AS93 AS56:AT93 AG57:AU93 AU58:AV93 AG59:AW93 AW60:AX93 AG61:AY93 AY62:AZ93 AG63:BA93 BB64:BB93 AG65:BC93 BC66:BD93 AG67:BE93 BE68:BF93 AG69:BG93 BG70:BH93 AG71:BI93 BI72:BJ93 AG73:BK93 BK74:BL93 AG75:BM93 BM76:BN93 AG77:BO93 BO78:BP93 AG79:BQ93 BQ80:BR93 AG81:BS93 BS82:BT93 BU83:BU93 BV85:BW93 BX87:BY93 BZ89:CA93 CB91:CC93 CD93:CE93 CF94 CH96 CI97:CI99 CJ98:CJ99 CK99 CL100">
    <cfRule type="cellIs" dxfId="6051" priority="11920" stopIfTrue="1" operator="equal">
      <formula>#REF!</formula>
    </cfRule>
  </conditionalFormatting>
  <conditionalFormatting sqref="C37:AA93 AA38:AB93 AC39:AC93 C40:AD93 AE41:AE93 C42:AF93 AG43:AG93 AG44:AH93 AG45:AI93 AI46:AJ93 AG47:AK93 AK48:AL93 AG49:AM93 AM50:AN93 AG51:AO93 AO52:AP93 AG53:AQ93 AQ54:AR93 AG55:AS93 AS56:AT93 AG57:AU93 AU58:AV93 AG59:AW93 AW60:AX93 AG61:AY93 AY62:AZ93 AG63:BA93 BB64:BB93 AG65:BC93 BC66:BD93 AG67:BE93 BE68:BF93 AG69:BG93 BG70:BH93 AG71:BI93 BI72:BJ93 AG73:BK93 BK74:BL93 AG75:BM93 BM76:BN93 AG77:BO93 BO78:BP93 AG79:BQ93 BQ80:BR93 AG81:BS93 BS82:BT93 BU83:BU93 C84:BV93 BV85:BW93 C86:BX93 BX87:BY93 C88:BZ93 BZ89:CA93 C90:CB93 CB91:CC93 C92:CD93 CD93:CE93 CF94 CH96 CI97:CI99 CJ98:CJ99 CK99 CL100 CL101:CM101 CN102 CO103 CP104 CQ105 CR106 CS107 CT108 CU109 CV110 CW111 CX112 CY113 CJ121:CN125 CJ125:CO126 CJ126:CP129">
    <cfRule type="cellIs" dxfId="6050" priority="11921" stopIfTrue="1" operator="equal">
      <formula>#REF!</formula>
    </cfRule>
    <cfRule type="cellIs" dxfId="6049" priority="11922" stopIfTrue="1" operator="between">
      <formula>#REF!</formula>
      <formula>#REF!</formula>
    </cfRule>
  </conditionalFormatting>
  <conditionalFormatting sqref="C63:BA93 BB64:BB93 C65:BC93 BC66:BD93 C67:BE93 BE68:BF93 C69:BG93 BG70:BH93 C71:BI93 BI72:BJ93 C73:BK93 BK74:BL93 C75:BM93 BM76:BN93 C77:BO93 BO78:BP93 C79:BQ93 BQ80:BR93 C81:BS93 BS82:BT93 BU83:BU93 C84:BV93 BV85:BW93 C86:BX93 BX87:BY93 C88:BZ93 BZ89:CA93 C90:CB93 CB91:CC93 C92:CD93 CD93:CE93 CF94 CH96 CI97:CI99 CJ98:CJ99 CK99 CL100 CL101:CM101 CN102 CO103 CP104 CQ105 CR106 CS107 CT108 CU109 CV110 CW111 CX112 CY113 CJ121:CN125 CJ125:CO126 CJ126:CP129">
    <cfRule type="cellIs" dxfId="6048" priority="12083" stopIfTrue="1" operator="equal">
      <formula>#REF!</formula>
    </cfRule>
    <cfRule type="cellIs" dxfId="6047" priority="12082" stopIfTrue="1" operator="equal">
      <formula>#REF!</formula>
    </cfRule>
    <cfRule type="cellIs" dxfId="6046" priority="12084" stopIfTrue="1" operator="between">
      <formula>#REF!</formula>
      <formula>#REF!</formula>
    </cfRule>
  </conditionalFormatting>
  <conditionalFormatting sqref="C82:BT93 BU83:BU93 C84:BV93 BV85:BW93 C86:BX93 BX87:BY93 C88:BZ93 BZ89:CA93 C90:CB93 CB91:CC93 C92:CD93 CD93:CE93 CF94 CH96 CI97:CI99 CJ98:CJ99 CK99 CL100 CL101:CM101 CN102 CO103 CP104 CQ105 CR106 CS107 CT108 CU109 CV110 CW111 CX112 CY113 CJ121:CN125 CJ125:CO126 CJ126:CP129">
    <cfRule type="cellIs" dxfId="6045" priority="12167" stopIfTrue="1" operator="equal">
      <formula>#REF!</formula>
    </cfRule>
    <cfRule type="cellIs" dxfId="6044" priority="12166" stopIfTrue="1" operator="equal">
      <formula>#REF!</formula>
    </cfRule>
    <cfRule type="cellIs" dxfId="6043" priority="12168" stopIfTrue="1" operator="between">
      <formula>#REF!</formula>
      <formula>#REF!</formula>
    </cfRule>
  </conditionalFormatting>
  <conditionalFormatting sqref="CG95">
    <cfRule type="cellIs" dxfId="6042" priority="9634" stopIfTrue="1" operator="equal">
      <formula>#REF!</formula>
    </cfRule>
    <cfRule type="cellIs" dxfId="6041" priority="9635" stopIfTrue="1" operator="equal">
      <formula>#REF!</formula>
    </cfRule>
    <cfRule type="cellIs" dxfId="6040" priority="9636" stopIfTrue="1" operator="between">
      <formula>#REF!</formula>
      <formula>#REF!</formula>
    </cfRule>
    <cfRule type="cellIs" dxfId="6039" priority="9637" stopIfTrue="1" operator="equal">
      <formula>#REF!</formula>
    </cfRule>
    <cfRule type="cellIs" dxfId="6038" priority="9638" stopIfTrue="1" operator="equal">
      <formula>#REF!</formula>
    </cfRule>
    <cfRule type="cellIs" dxfId="6037" priority="9639" stopIfTrue="1" operator="between">
      <formula>#REF!</formula>
      <formula>#REF!</formula>
    </cfRule>
    <cfRule type="cellIs" dxfId="6036" priority="9633" stopIfTrue="1" operator="between">
      <formula>#REF!</formula>
      <formula>#REF!</formula>
    </cfRule>
    <cfRule type="cellIs" dxfId="6035" priority="9632" stopIfTrue="1" operator="equal">
      <formula>#REF!</formula>
    </cfRule>
    <cfRule type="cellIs" dxfId="6034" priority="9631" stopIfTrue="1" operator="equal">
      <formula>#REF!</formula>
    </cfRule>
  </conditionalFormatting>
  <conditionalFormatting sqref="CI100:CK101">
    <cfRule type="cellIs" dxfId="6033" priority="9584" stopIfTrue="1" operator="equal">
      <formula>#REF!</formula>
    </cfRule>
    <cfRule type="cellIs" dxfId="6032" priority="9579" stopIfTrue="1" operator="between">
      <formula>#REF!</formula>
      <formula>#REF!</formula>
    </cfRule>
    <cfRule type="cellIs" dxfId="6031" priority="9585" stopIfTrue="1" operator="between">
      <formula>#REF!</formula>
      <formula>#REF!</formula>
    </cfRule>
    <cfRule type="cellIs" dxfId="6030" priority="9580" stopIfTrue="1" operator="equal">
      <formula>#REF!</formula>
    </cfRule>
    <cfRule type="cellIs" dxfId="6029" priority="9581" stopIfTrue="1" operator="equal">
      <formula>#REF!</formula>
    </cfRule>
    <cfRule type="cellIs" dxfId="6028" priority="9582" stopIfTrue="1" operator="between">
      <formula>#REF!</formula>
      <formula>#REF!</formula>
    </cfRule>
    <cfRule type="cellIs" dxfId="6027" priority="9583" stopIfTrue="1" operator="equal">
      <formula>#REF!</formula>
    </cfRule>
  </conditionalFormatting>
  <conditionalFormatting sqref="CI100:CK102">
    <cfRule type="cellIs" dxfId="6026" priority="9547" stopIfTrue="1" operator="equal">
      <formula>#REF!</formula>
    </cfRule>
    <cfRule type="cellIs" dxfId="6025" priority="9548" stopIfTrue="1" operator="equal">
      <formula>#REF!</formula>
    </cfRule>
  </conditionalFormatting>
  <conditionalFormatting sqref="CI102:CK102">
    <cfRule type="cellIs" dxfId="6024" priority="9543" stopIfTrue="1" operator="between">
      <formula>#REF!</formula>
      <formula>#REF!</formula>
    </cfRule>
    <cfRule type="cellIs" dxfId="6023" priority="9546" stopIfTrue="1" operator="between">
      <formula>#REF!</formula>
      <formula>#REF!</formula>
    </cfRule>
  </conditionalFormatting>
  <conditionalFormatting sqref="CI102:CK103">
    <cfRule type="cellIs" dxfId="6022" priority="9502" stopIfTrue="1" operator="equal">
      <formula>#REF!</formula>
    </cfRule>
    <cfRule type="cellIs" dxfId="6021" priority="9503" stopIfTrue="1" operator="equal">
      <formula>#REF!</formula>
    </cfRule>
  </conditionalFormatting>
  <conditionalFormatting sqref="CI103:CK103">
    <cfRule type="cellIs" dxfId="6020" priority="9501" stopIfTrue="1" operator="between">
      <formula>#REF!</formula>
      <formula>#REF!</formula>
    </cfRule>
    <cfRule type="cellIs" dxfId="6019" priority="9498" stopIfTrue="1" operator="between">
      <formula>#REF!</formula>
      <formula>#REF!</formula>
    </cfRule>
  </conditionalFormatting>
  <conditionalFormatting sqref="CI103:CK104">
    <cfRule type="cellIs" dxfId="6018" priority="9448" stopIfTrue="1" operator="equal">
      <formula>#REF!</formula>
    </cfRule>
    <cfRule type="cellIs" dxfId="6017" priority="9449" stopIfTrue="1" operator="equal">
      <formula>#REF!</formula>
    </cfRule>
  </conditionalFormatting>
  <conditionalFormatting sqref="CI104:CK104">
    <cfRule type="cellIs" dxfId="6016" priority="9444" stopIfTrue="1" operator="between">
      <formula>#REF!</formula>
      <formula>#REF!</formula>
    </cfRule>
    <cfRule type="cellIs" dxfId="6015" priority="9450" stopIfTrue="1" operator="between">
      <formula>#REF!</formula>
      <formula>#REF!</formula>
    </cfRule>
    <cfRule type="cellIs" dxfId="6014" priority="9447" stopIfTrue="1" operator="between">
      <formula>#REF!</formula>
      <formula>#REF!</formula>
    </cfRule>
  </conditionalFormatting>
  <conditionalFormatting sqref="CI104:CK105">
    <cfRule type="cellIs" dxfId="6013" priority="9386" stopIfTrue="1" operator="equal">
      <formula>#REF!</formula>
    </cfRule>
    <cfRule type="cellIs" dxfId="6012" priority="9385" stopIfTrue="1" operator="equal">
      <formula>#REF!</formula>
    </cfRule>
  </conditionalFormatting>
  <conditionalFormatting sqref="CI105:CK105">
    <cfRule type="cellIs" dxfId="6011" priority="9384" stopIfTrue="1" operator="between">
      <formula>#REF!</formula>
      <formula>#REF!</formula>
    </cfRule>
    <cfRule type="cellIs" dxfId="6010" priority="9387" stopIfTrue="1" operator="between">
      <formula>#REF!</formula>
      <formula>#REF!</formula>
    </cfRule>
    <cfRule type="cellIs" dxfId="6009" priority="9381" stopIfTrue="1" operator="between">
      <formula>#REF!</formula>
      <formula>#REF!</formula>
    </cfRule>
  </conditionalFormatting>
  <conditionalFormatting sqref="CI105:CK106">
    <cfRule type="cellIs" dxfId="6008" priority="9314" stopIfTrue="1" operator="equal">
      <formula>#REF!</formula>
    </cfRule>
    <cfRule type="cellIs" dxfId="6007" priority="9313" stopIfTrue="1" operator="equal">
      <formula>#REF!</formula>
    </cfRule>
  </conditionalFormatting>
  <conditionalFormatting sqref="CI106:CK106">
    <cfRule type="cellIs" dxfId="6006" priority="9315" stopIfTrue="1" operator="between">
      <formula>#REF!</formula>
      <formula>#REF!</formula>
    </cfRule>
    <cfRule type="cellIs" dxfId="6005" priority="9312" stopIfTrue="1" operator="between">
      <formula>#REF!</formula>
      <formula>#REF!</formula>
    </cfRule>
    <cfRule type="cellIs" dxfId="6004" priority="9309" stopIfTrue="1" operator="between">
      <formula>#REF!</formula>
      <formula>#REF!</formula>
    </cfRule>
  </conditionalFormatting>
  <conditionalFormatting sqref="CI106:CK107">
    <cfRule type="cellIs" dxfId="6003" priority="9232" stopIfTrue="1" operator="equal">
      <formula>#REF!</formula>
    </cfRule>
    <cfRule type="cellIs" dxfId="6002" priority="9233" stopIfTrue="1" operator="equal">
      <formula>#REF!</formula>
    </cfRule>
  </conditionalFormatting>
  <conditionalFormatting sqref="CI107:CK107">
    <cfRule type="cellIs" dxfId="6001" priority="9231" stopIfTrue="1" operator="between">
      <formula>#REF!</formula>
      <formula>#REF!</formula>
    </cfRule>
    <cfRule type="cellIs" dxfId="6000" priority="9228" stopIfTrue="1" operator="between">
      <formula>#REF!</formula>
      <formula>#REF!</formula>
    </cfRule>
    <cfRule type="cellIs" dxfId="5999" priority="9234" stopIfTrue="1" operator="between">
      <formula>#REF!</formula>
      <formula>#REF!</formula>
    </cfRule>
  </conditionalFormatting>
  <conditionalFormatting sqref="CI107:CK108">
    <cfRule type="cellIs" dxfId="5998" priority="9143" stopIfTrue="1" operator="equal">
      <formula>#REF!</formula>
    </cfRule>
    <cfRule type="cellIs" dxfId="5997" priority="9142" stopIfTrue="1" operator="equal">
      <formula>#REF!</formula>
    </cfRule>
  </conditionalFormatting>
  <conditionalFormatting sqref="CI108:CK108">
    <cfRule type="cellIs" dxfId="5996" priority="9138" stopIfTrue="1" operator="between">
      <formula>#REF!</formula>
      <formula>#REF!</formula>
    </cfRule>
    <cfRule type="cellIs" dxfId="5995" priority="9144" stopIfTrue="1" operator="between">
      <formula>#REF!</formula>
      <formula>#REF!</formula>
    </cfRule>
    <cfRule type="cellIs" dxfId="5994" priority="9141" stopIfTrue="1" operator="between">
      <formula>#REF!</formula>
      <formula>#REF!</formula>
    </cfRule>
  </conditionalFormatting>
  <conditionalFormatting sqref="CI108:CK109">
    <cfRule type="cellIs" dxfId="5993" priority="9044" stopIfTrue="1" operator="equal">
      <formula>#REF!</formula>
    </cfRule>
    <cfRule type="cellIs" dxfId="5992" priority="9043" stopIfTrue="1" operator="equal">
      <formula>#REF!</formula>
    </cfRule>
  </conditionalFormatting>
  <conditionalFormatting sqref="CI109:CK109">
    <cfRule type="cellIs" dxfId="5991" priority="9039" stopIfTrue="1" operator="between">
      <formula>#REF!</formula>
      <formula>#REF!</formula>
    </cfRule>
    <cfRule type="cellIs" dxfId="5990" priority="9045" stopIfTrue="1" operator="between">
      <formula>#REF!</formula>
      <formula>#REF!</formula>
    </cfRule>
    <cfRule type="cellIs" dxfId="5989" priority="9042" stopIfTrue="1" operator="between">
      <formula>#REF!</formula>
      <formula>#REF!</formula>
    </cfRule>
  </conditionalFormatting>
  <conditionalFormatting sqref="CI109:CK110">
    <cfRule type="cellIs" dxfId="5988" priority="8936" stopIfTrue="1" operator="equal">
      <formula>#REF!</formula>
    </cfRule>
    <cfRule type="cellIs" dxfId="5987" priority="8935" stopIfTrue="1" operator="equal">
      <formula>#REF!</formula>
    </cfRule>
  </conditionalFormatting>
  <conditionalFormatting sqref="CI110:CK110">
    <cfRule type="cellIs" dxfId="5986" priority="8937" stopIfTrue="1" operator="between">
      <formula>#REF!</formula>
      <formula>#REF!</formula>
    </cfRule>
    <cfRule type="cellIs" dxfId="5985" priority="8931" stopIfTrue="1" operator="between">
      <formula>#REF!</formula>
      <formula>#REF!</formula>
    </cfRule>
    <cfRule type="cellIs" dxfId="5984" priority="8934" stopIfTrue="1" operator="between">
      <formula>#REF!</formula>
      <formula>#REF!</formula>
    </cfRule>
  </conditionalFormatting>
  <conditionalFormatting sqref="CI110:CK111">
    <cfRule type="cellIs" dxfId="5983" priority="8818" stopIfTrue="1" operator="equal">
      <formula>#REF!</formula>
    </cfRule>
    <cfRule type="cellIs" dxfId="5982" priority="8819" stopIfTrue="1" operator="equal">
      <formula>#REF!</formula>
    </cfRule>
  </conditionalFormatting>
  <conditionalFormatting sqref="CI111:CK111">
    <cfRule type="cellIs" dxfId="5981" priority="8814" stopIfTrue="1" operator="between">
      <formula>#REF!</formula>
      <formula>#REF!</formula>
    </cfRule>
    <cfRule type="cellIs" dxfId="5980" priority="8820" stopIfTrue="1" operator="between">
      <formula>#REF!</formula>
      <formula>#REF!</formula>
    </cfRule>
    <cfRule type="cellIs" dxfId="5979" priority="8817" stopIfTrue="1" operator="between">
      <formula>#REF!</formula>
      <formula>#REF!</formula>
    </cfRule>
  </conditionalFormatting>
  <conditionalFormatting sqref="CI111:CK112">
    <cfRule type="cellIs" dxfId="5978" priority="8693" stopIfTrue="1" operator="equal">
      <formula>#REF!</formula>
    </cfRule>
    <cfRule type="cellIs" dxfId="5977" priority="8692" stopIfTrue="1" operator="equal">
      <formula>#REF!</formula>
    </cfRule>
  </conditionalFormatting>
  <conditionalFormatting sqref="CI112:CK112">
    <cfRule type="cellIs" dxfId="5976" priority="8688" stopIfTrue="1" operator="between">
      <formula>#REF!</formula>
      <formula>#REF!</formula>
    </cfRule>
    <cfRule type="cellIs" dxfId="5975" priority="8694" stopIfTrue="1" operator="between">
      <formula>#REF!</formula>
      <formula>#REF!</formula>
    </cfRule>
    <cfRule type="cellIs" dxfId="5974" priority="8691" stopIfTrue="1" operator="between">
      <formula>#REF!</formula>
      <formula>#REF!</formula>
    </cfRule>
  </conditionalFormatting>
  <conditionalFormatting sqref="CI112:CK113">
    <cfRule type="cellIs" dxfId="5973" priority="8558" stopIfTrue="1" operator="equal">
      <formula>#REF!</formula>
    </cfRule>
    <cfRule type="cellIs" dxfId="5972" priority="8557" stopIfTrue="1" operator="equal">
      <formula>#REF!</formula>
    </cfRule>
  </conditionalFormatting>
  <conditionalFormatting sqref="CI113:CK113">
    <cfRule type="cellIs" dxfId="5971" priority="8559" stopIfTrue="1" operator="between">
      <formula>#REF!</formula>
      <formula>#REF!</formula>
    </cfRule>
    <cfRule type="cellIs" dxfId="5970" priority="8553" stopIfTrue="1" operator="between">
      <formula>#REF!</formula>
      <formula>#REF!</formula>
    </cfRule>
    <cfRule type="cellIs" dxfId="5969" priority="8556" stopIfTrue="1" operator="between">
      <formula>#REF!</formula>
      <formula>#REF!</formula>
    </cfRule>
  </conditionalFormatting>
  <conditionalFormatting sqref="CI113:CK115">
    <cfRule type="cellIs" dxfId="5968" priority="8413" stopIfTrue="1" operator="equal">
      <formula>#REF!</formula>
    </cfRule>
    <cfRule type="cellIs" dxfId="5967" priority="8414" stopIfTrue="1" operator="equal">
      <formula>#REF!</formula>
    </cfRule>
  </conditionalFormatting>
  <conditionalFormatting sqref="CI114:CK115">
    <cfRule type="cellIs" dxfId="5966" priority="8409" stopIfTrue="1" operator="between">
      <formula>#REF!</formula>
      <formula>#REF!</formula>
    </cfRule>
    <cfRule type="cellIs" dxfId="5965" priority="8412" stopIfTrue="1" operator="between">
      <formula>#REF!</formula>
      <formula>#REF!</formula>
    </cfRule>
    <cfRule type="cellIs" dxfId="5964" priority="8415" stopIfTrue="1" operator="between">
      <formula>#REF!</formula>
      <formula>#REF!</formula>
    </cfRule>
  </conditionalFormatting>
  <conditionalFormatting sqref="CI114:CK116">
    <cfRule type="cellIs" dxfId="5963" priority="8252" stopIfTrue="1" operator="equal">
      <formula>#REF!</formula>
    </cfRule>
    <cfRule type="cellIs" dxfId="5962" priority="8251" stopIfTrue="1" operator="equal">
      <formula>#REF!</formula>
    </cfRule>
  </conditionalFormatting>
  <conditionalFormatting sqref="CI116:CK116">
    <cfRule type="cellIs" dxfId="5961" priority="8253" stopIfTrue="1" operator="between">
      <formula>#REF!</formula>
      <formula>#REF!</formula>
    </cfRule>
    <cfRule type="cellIs" dxfId="5960" priority="8250" stopIfTrue="1" operator="between">
      <formula>#REF!</formula>
      <formula>#REF!</formula>
    </cfRule>
    <cfRule type="cellIs" dxfId="5959" priority="8247" stopIfTrue="1" operator="between">
      <formula>#REF!</formula>
      <formula>#REF!</formula>
    </cfRule>
  </conditionalFormatting>
  <conditionalFormatting sqref="CI116:CK129">
    <cfRule type="cellIs" dxfId="5958" priority="8108" stopIfTrue="1" operator="equal">
      <formula>#REF!</formula>
    </cfRule>
    <cfRule type="cellIs" dxfId="5957" priority="8107" stopIfTrue="1" operator="equal">
      <formula>#REF!</formula>
    </cfRule>
  </conditionalFormatting>
  <conditionalFormatting sqref="CI117:CK129">
    <cfRule type="cellIs" dxfId="5956" priority="8109" stopIfTrue="1" operator="between">
      <formula>#REF!</formula>
      <formula>#REF!</formula>
    </cfRule>
    <cfRule type="cellIs" dxfId="5955" priority="8106" stopIfTrue="1" operator="between">
      <formula>#REF!</formula>
      <formula>#REF!</formula>
    </cfRule>
    <cfRule type="cellIs" dxfId="5954" priority="8103" stopIfTrue="1" operator="between">
      <formula>#REF!</formula>
      <formula>#REF!</formula>
    </cfRule>
  </conditionalFormatting>
  <conditionalFormatting sqref="CI117:CK130">
    <cfRule type="cellIs" dxfId="5953" priority="7198" stopIfTrue="1" operator="equal">
      <formula>#REF!</formula>
    </cfRule>
    <cfRule type="cellIs" dxfId="5952" priority="7199" stopIfTrue="1" operator="equal">
      <formula>#REF!</formula>
    </cfRule>
  </conditionalFormatting>
  <conditionalFormatting sqref="CI130:CK130">
    <cfRule type="cellIs" dxfId="5951" priority="7200" stopIfTrue="1" operator="between">
      <formula>#REF!</formula>
      <formula>#REF!</formula>
    </cfRule>
    <cfRule type="cellIs" dxfId="5950" priority="7197" stopIfTrue="1" operator="between">
      <formula>#REF!</formula>
      <formula>#REF!</formula>
    </cfRule>
    <cfRule type="cellIs" dxfId="5949" priority="7194" stopIfTrue="1" operator="between">
      <formula>#REF!</formula>
      <formula>#REF!</formula>
    </cfRule>
  </conditionalFormatting>
  <conditionalFormatting sqref="CI130:CK141">
    <cfRule type="cellIs" dxfId="5948" priority="6289" stopIfTrue="1" operator="equal">
      <formula>#REF!</formula>
    </cfRule>
    <cfRule type="cellIs" dxfId="5947" priority="6290" stopIfTrue="1" operator="equal">
      <formula>#REF!</formula>
    </cfRule>
  </conditionalFormatting>
  <conditionalFormatting sqref="CI131:CK141">
    <cfRule type="cellIs" dxfId="5946" priority="6288" stopIfTrue="1" operator="between">
      <formula>#REF!</formula>
      <formula>#REF!</formula>
    </cfRule>
    <cfRule type="cellIs" dxfId="5945" priority="6285" stopIfTrue="1" operator="between">
      <formula>#REF!</formula>
      <formula>#REF!</formula>
    </cfRule>
    <cfRule type="cellIs" dxfId="5944" priority="6291" stopIfTrue="1" operator="between">
      <formula>#REF!</formula>
      <formula>#REF!</formula>
    </cfRule>
  </conditionalFormatting>
  <conditionalFormatting sqref="CI131:CK143">
    <cfRule type="cellIs" dxfId="5943" priority="5380" stopIfTrue="1" operator="equal">
      <formula>#REF!</formula>
    </cfRule>
    <cfRule type="cellIs" dxfId="5942" priority="5381" stopIfTrue="1" operator="equal">
      <formula>#REF!</formula>
    </cfRule>
  </conditionalFormatting>
  <conditionalFormatting sqref="CI142:CK143">
    <cfRule type="cellIs" dxfId="5941" priority="5379" stopIfTrue="1" operator="between">
      <formula>#REF!</formula>
      <formula>#REF!</formula>
    </cfRule>
    <cfRule type="cellIs" dxfId="5940" priority="5382" stopIfTrue="1" operator="between">
      <formula>#REF!</formula>
      <formula>#REF!</formula>
    </cfRule>
    <cfRule type="cellIs" dxfId="5939" priority="5375" stopIfTrue="1" operator="equal">
      <formula>#REF!</formula>
    </cfRule>
    <cfRule type="cellIs" dxfId="5938" priority="5376" stopIfTrue="1" operator="between">
      <formula>#REF!</formula>
      <formula>#REF!</formula>
    </cfRule>
  </conditionalFormatting>
  <conditionalFormatting sqref="CI142:CK173">
    <cfRule type="cellIs" dxfId="5937" priority="4489" stopIfTrue="1" operator="equal">
      <formula>#REF!</formula>
    </cfRule>
  </conditionalFormatting>
  <conditionalFormatting sqref="CI144:CK173">
    <cfRule type="cellIs" dxfId="5936" priority="4488" stopIfTrue="1" operator="between">
      <formula>#REF!</formula>
      <formula>#REF!</formula>
    </cfRule>
    <cfRule type="cellIs" dxfId="5935" priority="4490" stopIfTrue="1" operator="equal">
      <formula>#REF!</formula>
    </cfRule>
    <cfRule type="cellIs" dxfId="5934" priority="4484" stopIfTrue="1" operator="equal">
      <formula>#REF!</formula>
    </cfRule>
    <cfRule type="cellIs" dxfId="5933" priority="4485" stopIfTrue="1" operator="between">
      <formula>#REF!</formula>
      <formula>#REF!</formula>
    </cfRule>
    <cfRule type="cellIs" dxfId="5932" priority="4491" stopIfTrue="1" operator="between">
      <formula>#REF!</formula>
      <formula>#REF!</formula>
    </cfRule>
    <cfRule type="cellIs" dxfId="5931" priority="4487" stopIfTrue="1" operator="equal">
      <formula>#REF!</formula>
    </cfRule>
  </conditionalFormatting>
  <conditionalFormatting sqref="CI144:CK199">
    <cfRule type="cellIs" dxfId="5930" priority="916" stopIfTrue="1" operator="equal">
      <formula>#REF!</formula>
    </cfRule>
  </conditionalFormatting>
  <conditionalFormatting sqref="CI174:CK199">
    <cfRule type="cellIs" dxfId="5929" priority="914" stopIfTrue="1" operator="equal">
      <formula>#REF!</formula>
    </cfRule>
    <cfRule type="cellIs" dxfId="5928" priority="912" stopIfTrue="1" operator="between">
      <formula>#REF!</formula>
      <formula>#REF!</formula>
    </cfRule>
    <cfRule type="cellIs" dxfId="5927" priority="911" stopIfTrue="1" operator="equal">
      <formula>#REF!</formula>
    </cfRule>
    <cfRule type="cellIs" dxfId="5926" priority="917" stopIfTrue="1" operator="equal">
      <formula>#REF!</formula>
    </cfRule>
    <cfRule type="cellIs" dxfId="5925" priority="918" stopIfTrue="1" operator="between">
      <formula>#REF!</formula>
      <formula>#REF!</formula>
    </cfRule>
    <cfRule type="cellIs" dxfId="5924" priority="910" stopIfTrue="1" operator="equal">
      <formula>#REF!</formula>
    </cfRule>
    <cfRule type="cellIs" dxfId="5923" priority="915" stopIfTrue="1" operator="between">
      <formula>#REF!</formula>
      <formula>#REF!</formula>
    </cfRule>
  </conditionalFormatting>
  <conditionalFormatting sqref="CI102:CM102">
    <cfRule type="cellIs" dxfId="5922" priority="9545" stopIfTrue="1" operator="equal">
      <formula>#REF!</formula>
    </cfRule>
    <cfRule type="cellIs" dxfId="5921" priority="9544" stopIfTrue="1" operator="equal">
      <formula>#REF!</formula>
    </cfRule>
    <cfRule type="cellIs" dxfId="5920" priority="9549" stopIfTrue="1" operator="between">
      <formula>#REF!</formula>
      <formula>#REF!</formula>
    </cfRule>
  </conditionalFormatting>
  <conditionalFormatting sqref="CI103:CM103">
    <cfRule type="cellIs" dxfId="5919" priority="9504" stopIfTrue="1" operator="between">
      <formula>#REF!</formula>
      <formula>#REF!</formula>
    </cfRule>
    <cfRule type="cellIs" dxfId="5918" priority="9500" stopIfTrue="1" operator="equal">
      <formula>#REF!</formula>
    </cfRule>
    <cfRule type="cellIs" dxfId="5917" priority="9499" stopIfTrue="1" operator="equal">
      <formula>#REF!</formula>
    </cfRule>
  </conditionalFormatting>
  <conditionalFormatting sqref="CI104:CM104">
    <cfRule type="cellIs" dxfId="5916" priority="9446" stopIfTrue="1" operator="equal">
      <formula>#REF!</formula>
    </cfRule>
    <cfRule type="cellIs" dxfId="5915" priority="9445" stopIfTrue="1" operator="equal">
      <formula>#REF!</formula>
    </cfRule>
  </conditionalFormatting>
  <conditionalFormatting sqref="CI105:CM105">
    <cfRule type="cellIs" dxfId="5914" priority="9383" stopIfTrue="1" operator="equal">
      <formula>#REF!</formula>
    </cfRule>
    <cfRule type="cellIs" dxfId="5913" priority="9382" stopIfTrue="1" operator="equal">
      <formula>#REF!</formula>
    </cfRule>
  </conditionalFormatting>
  <conditionalFormatting sqref="CI106:CM106">
    <cfRule type="cellIs" dxfId="5912" priority="9311" stopIfTrue="1" operator="equal">
      <formula>#REF!</formula>
    </cfRule>
    <cfRule type="cellIs" dxfId="5911" priority="9310" stopIfTrue="1" operator="equal">
      <formula>#REF!</formula>
    </cfRule>
  </conditionalFormatting>
  <conditionalFormatting sqref="CI107:CM107">
    <cfRule type="cellIs" dxfId="5910" priority="9230" stopIfTrue="1" operator="equal">
      <formula>#REF!</formula>
    </cfRule>
    <cfRule type="cellIs" dxfId="5909" priority="9229" stopIfTrue="1" operator="equal">
      <formula>#REF!</formula>
    </cfRule>
  </conditionalFormatting>
  <conditionalFormatting sqref="CI108:CM108">
    <cfRule type="cellIs" dxfId="5908" priority="9140" stopIfTrue="1" operator="equal">
      <formula>#REF!</formula>
    </cfRule>
    <cfRule type="cellIs" dxfId="5907" priority="9139" stopIfTrue="1" operator="equal">
      <formula>#REF!</formula>
    </cfRule>
  </conditionalFormatting>
  <conditionalFormatting sqref="CI109:CM109">
    <cfRule type="cellIs" dxfId="5906" priority="9040" stopIfTrue="1" operator="equal">
      <formula>#REF!</formula>
    </cfRule>
    <cfRule type="cellIs" dxfId="5905" priority="9041" stopIfTrue="1" operator="equal">
      <formula>#REF!</formula>
    </cfRule>
  </conditionalFormatting>
  <conditionalFormatting sqref="CI110:CM110">
    <cfRule type="cellIs" dxfId="5904" priority="8933" stopIfTrue="1" operator="equal">
      <formula>#REF!</formula>
    </cfRule>
    <cfRule type="cellIs" dxfId="5903" priority="8932" stopIfTrue="1" operator="equal">
      <formula>#REF!</formula>
    </cfRule>
  </conditionalFormatting>
  <conditionalFormatting sqref="CI111:CM111">
    <cfRule type="cellIs" dxfId="5902" priority="8816" stopIfTrue="1" operator="equal">
      <formula>#REF!</formula>
    </cfRule>
    <cfRule type="cellIs" dxfId="5901" priority="8815" stopIfTrue="1" operator="equal">
      <formula>#REF!</formula>
    </cfRule>
  </conditionalFormatting>
  <conditionalFormatting sqref="CI112:CM112">
    <cfRule type="cellIs" dxfId="5900" priority="8690" stopIfTrue="1" operator="equal">
      <formula>#REF!</formula>
    </cfRule>
    <cfRule type="cellIs" dxfId="5899" priority="8689" stopIfTrue="1" operator="equal">
      <formula>#REF!</formula>
    </cfRule>
  </conditionalFormatting>
  <conditionalFormatting sqref="CI113:CM113">
    <cfRule type="cellIs" dxfId="5898" priority="8555" stopIfTrue="1" operator="equal">
      <formula>#REF!</formula>
    </cfRule>
    <cfRule type="cellIs" dxfId="5897" priority="8554" stopIfTrue="1" operator="equal">
      <formula>#REF!</formula>
    </cfRule>
  </conditionalFormatting>
  <conditionalFormatting sqref="CI114:CM115">
    <cfRule type="cellIs" dxfId="5896" priority="8410" stopIfTrue="1" operator="equal">
      <formula>#REF!</formula>
    </cfRule>
    <cfRule type="cellIs" dxfId="5895" priority="8411" stopIfTrue="1" operator="equal">
      <formula>#REF!</formula>
    </cfRule>
  </conditionalFormatting>
  <conditionalFormatting sqref="CI116:CM116">
    <cfRule type="cellIs" dxfId="5894" priority="8249" stopIfTrue="1" operator="equal">
      <formula>#REF!</formula>
    </cfRule>
    <cfRule type="cellIs" dxfId="5893" priority="8248" stopIfTrue="1" operator="equal">
      <formula>#REF!</formula>
    </cfRule>
  </conditionalFormatting>
  <conditionalFormatting sqref="CI117:CM129">
    <cfRule type="cellIs" dxfId="5892" priority="8104" stopIfTrue="1" operator="equal">
      <formula>#REF!</formula>
    </cfRule>
    <cfRule type="cellIs" dxfId="5891" priority="8105" stopIfTrue="1" operator="equal">
      <formula>#REF!</formula>
    </cfRule>
  </conditionalFormatting>
  <conditionalFormatting sqref="CI130:CM130">
    <cfRule type="cellIs" dxfId="5890" priority="7196" stopIfTrue="1" operator="equal">
      <formula>#REF!</formula>
    </cfRule>
    <cfRule type="cellIs" dxfId="5889" priority="7195" stopIfTrue="1" operator="equal">
      <formula>#REF!</formula>
    </cfRule>
  </conditionalFormatting>
  <conditionalFormatting sqref="CI131:CM141">
    <cfRule type="cellIs" dxfId="5888" priority="6286" stopIfTrue="1" operator="equal">
      <formula>#REF!</formula>
    </cfRule>
    <cfRule type="cellIs" dxfId="5887" priority="6287" stopIfTrue="1" operator="equal">
      <formula>#REF!</formula>
    </cfRule>
  </conditionalFormatting>
  <conditionalFormatting sqref="CI142:CM143">
    <cfRule type="cellIs" dxfId="5886" priority="5378" stopIfTrue="1" operator="equal">
      <formula>#REF!</formula>
    </cfRule>
    <cfRule type="cellIs" dxfId="5885" priority="5377" stopIfTrue="1" operator="equal">
      <formula>#REF!</formula>
    </cfRule>
  </conditionalFormatting>
  <conditionalFormatting sqref="CI144:CM173">
    <cfRule type="cellIs" dxfId="5884" priority="4486" stopIfTrue="1" operator="equal">
      <formula>#REF!</formula>
    </cfRule>
  </conditionalFormatting>
  <conditionalFormatting sqref="CI174:CM199">
    <cfRule type="cellIs" dxfId="5883" priority="913" stopIfTrue="1" operator="equal">
      <formula>#REF!</formula>
    </cfRule>
  </conditionalFormatting>
  <conditionalFormatting sqref="CJ130:CP130">
    <cfRule type="cellIs" dxfId="5882" priority="7210" stopIfTrue="1" operator="equal">
      <formula>#REF!</formula>
    </cfRule>
    <cfRule type="cellIs" dxfId="5881" priority="7218" stopIfTrue="1" operator="between">
      <formula>#REF!</formula>
      <formula>#REF!</formula>
    </cfRule>
    <cfRule type="cellIs" dxfId="5880" priority="7212" stopIfTrue="1" operator="between">
      <formula>#REF!</formula>
      <formula>#REF!</formula>
    </cfRule>
    <cfRule type="cellIs" dxfId="5879" priority="7213" stopIfTrue="1" operator="equal">
      <formula>#REF!</formula>
    </cfRule>
    <cfRule type="cellIs" dxfId="5878" priority="7214" stopIfTrue="1" operator="equal">
      <formula>#REF!</formula>
    </cfRule>
    <cfRule type="cellIs" dxfId="5877" priority="7215" stopIfTrue="1" operator="between">
      <formula>#REF!</formula>
      <formula>#REF!</formula>
    </cfRule>
    <cfRule type="cellIs" dxfId="5876" priority="7216" stopIfTrue="1" operator="equal">
      <formula>#REF!</formula>
    </cfRule>
    <cfRule type="cellIs" dxfId="5875" priority="7211" stopIfTrue="1" operator="equal">
      <formula>#REF!</formula>
    </cfRule>
    <cfRule type="cellIs" dxfId="5874" priority="7217" stopIfTrue="1" operator="equal">
      <formula>#REF!</formula>
    </cfRule>
  </conditionalFormatting>
  <conditionalFormatting sqref="CJ131:CP141">
    <cfRule type="cellIs" dxfId="5873" priority="6304" stopIfTrue="1" operator="equal">
      <formula>#REF!</formula>
    </cfRule>
    <cfRule type="cellIs" dxfId="5872" priority="6303" stopIfTrue="1" operator="between">
      <formula>#REF!</formula>
      <formula>#REF!</formula>
    </cfRule>
    <cfRule type="cellIs" dxfId="5871" priority="6305" stopIfTrue="1" operator="equal">
      <formula>#REF!</formula>
    </cfRule>
    <cfRule type="cellIs" dxfId="5870" priority="6306" stopIfTrue="1" operator="between">
      <formula>#REF!</formula>
      <formula>#REF!</formula>
    </cfRule>
    <cfRule type="cellIs" dxfId="5869" priority="6308" stopIfTrue="1" operator="equal">
      <formula>#REF!</formula>
    </cfRule>
    <cfRule type="cellIs" dxfId="5868" priority="6307" stopIfTrue="1" operator="equal">
      <formula>#REF!</formula>
    </cfRule>
    <cfRule type="cellIs" dxfId="5867" priority="6302" stopIfTrue="1" operator="equal">
      <formula>#REF!</formula>
    </cfRule>
    <cfRule type="cellIs" dxfId="5866" priority="6301" stopIfTrue="1" operator="equal">
      <formula>#REF!</formula>
    </cfRule>
    <cfRule type="cellIs" dxfId="5865" priority="6309" stopIfTrue="1" operator="between">
      <formula>#REF!</formula>
      <formula>#REF!</formula>
    </cfRule>
  </conditionalFormatting>
  <conditionalFormatting sqref="CJ142:CP143">
    <cfRule type="cellIs" dxfId="5864" priority="5395" stopIfTrue="1" operator="equal">
      <formula>#REF!</formula>
    </cfRule>
    <cfRule type="cellIs" dxfId="5863" priority="5396" stopIfTrue="1" operator="equal">
      <formula>#REF!</formula>
    </cfRule>
    <cfRule type="cellIs" dxfId="5862" priority="5397" stopIfTrue="1" operator="between">
      <formula>#REF!</formula>
      <formula>#REF!</formula>
    </cfRule>
    <cfRule type="cellIs" dxfId="5861" priority="5398" stopIfTrue="1" operator="equal">
      <formula>#REF!</formula>
    </cfRule>
    <cfRule type="cellIs" dxfId="5860" priority="5400" stopIfTrue="1" operator="between">
      <formula>#REF!</formula>
      <formula>#REF!</formula>
    </cfRule>
    <cfRule type="cellIs" dxfId="5859" priority="5399" stopIfTrue="1" operator="equal">
      <formula>#REF!</formula>
    </cfRule>
    <cfRule type="cellIs" dxfId="5858" priority="5394" stopIfTrue="1" operator="between">
      <formula>#REF!</formula>
      <formula>#REF!</formula>
    </cfRule>
    <cfRule type="cellIs" dxfId="5857" priority="5392" stopIfTrue="1" operator="equal">
      <formula>#REF!</formula>
    </cfRule>
    <cfRule type="cellIs" dxfId="5856" priority="5393" stopIfTrue="1" operator="equal">
      <formula>#REF!</formula>
    </cfRule>
  </conditionalFormatting>
  <conditionalFormatting sqref="CJ144:CP173">
    <cfRule type="cellIs" dxfId="5855" priority="4507" stopIfTrue="1" operator="equal">
      <formula>#REF!</formula>
    </cfRule>
    <cfRule type="cellIs" dxfId="5854" priority="4508" stopIfTrue="1" operator="equal">
      <formula>#REF!</formula>
    </cfRule>
    <cfRule type="cellIs" dxfId="5853" priority="4505" stopIfTrue="1" operator="equal">
      <formula>#REF!</formula>
    </cfRule>
    <cfRule type="cellIs" dxfId="5852" priority="4501" stopIfTrue="1" operator="equal">
      <formula>#REF!</formula>
    </cfRule>
    <cfRule type="cellIs" dxfId="5851" priority="4502" stopIfTrue="1" operator="equal">
      <formula>#REF!</formula>
    </cfRule>
    <cfRule type="cellIs" dxfId="5850" priority="4503" stopIfTrue="1" operator="between">
      <formula>#REF!</formula>
      <formula>#REF!</formula>
    </cfRule>
    <cfRule type="cellIs" dxfId="5849" priority="4504" stopIfTrue="1" operator="equal">
      <formula>#REF!</formula>
    </cfRule>
    <cfRule type="cellIs" dxfId="5848" priority="4506" stopIfTrue="1" operator="between">
      <formula>#REF!</formula>
      <formula>#REF!</formula>
    </cfRule>
    <cfRule type="cellIs" dxfId="5847" priority="4509" stopIfTrue="1" operator="between">
      <formula>#REF!</formula>
      <formula>#REF!</formula>
    </cfRule>
  </conditionalFormatting>
  <conditionalFormatting sqref="CJ174:CP199">
    <cfRule type="cellIs" dxfId="5846" priority="935" stopIfTrue="1" operator="equal">
      <formula>#REF!</formula>
    </cfRule>
    <cfRule type="cellIs" dxfId="5845" priority="934" stopIfTrue="1" operator="equal">
      <formula>#REF!</formula>
    </cfRule>
    <cfRule type="cellIs" dxfId="5844" priority="933" stopIfTrue="1" operator="between">
      <formula>#REF!</formula>
      <formula>#REF!</formula>
    </cfRule>
    <cfRule type="cellIs" dxfId="5843" priority="932" stopIfTrue="1" operator="equal">
      <formula>#REF!</formula>
    </cfRule>
    <cfRule type="cellIs" dxfId="5842" priority="931" stopIfTrue="1" operator="equal">
      <formula>#REF!</formula>
    </cfRule>
    <cfRule type="cellIs" dxfId="5841" priority="928" stopIfTrue="1" operator="equal">
      <formula>#REF!</formula>
    </cfRule>
    <cfRule type="cellIs" dxfId="5840" priority="929" stopIfTrue="1" operator="equal">
      <formula>#REF!</formula>
    </cfRule>
    <cfRule type="cellIs" dxfId="5839" priority="930" stopIfTrue="1" operator="between">
      <formula>#REF!</formula>
      <formula>#REF!</formula>
    </cfRule>
    <cfRule type="cellIs" dxfId="5838" priority="936" stopIfTrue="1" operator="between">
      <formula>#REF!</formula>
      <formula>#REF!</formula>
    </cfRule>
  </conditionalFormatting>
  <conditionalFormatting sqref="CL101:CM102">
    <cfRule type="cellIs" dxfId="5837" priority="9556" stopIfTrue="1" operator="equal">
      <formula>#REF!</formula>
    </cfRule>
  </conditionalFormatting>
  <conditionalFormatting sqref="CL102:CM102">
    <cfRule type="cellIs" dxfId="5836" priority="9557" stopIfTrue="1" operator="equal">
      <formula>#REF!</formula>
    </cfRule>
    <cfRule type="cellIs" dxfId="5835" priority="9555" stopIfTrue="1" operator="between">
      <formula>#REF!</formula>
      <formula>#REF!</formula>
    </cfRule>
    <cfRule type="cellIs" dxfId="5834" priority="9554" stopIfTrue="1" operator="equal">
      <formula>#REF!</formula>
    </cfRule>
    <cfRule type="cellIs" dxfId="5833" priority="9558" stopIfTrue="1" operator="between">
      <formula>#REF!</formula>
      <formula>#REF!</formula>
    </cfRule>
  </conditionalFormatting>
  <conditionalFormatting sqref="CL103:CM103">
    <cfRule type="cellIs" dxfId="5832" priority="9508" stopIfTrue="1" operator="equal">
      <formula>#REF!</formula>
    </cfRule>
    <cfRule type="cellIs" dxfId="5831" priority="9511" stopIfTrue="1" operator="equal">
      <formula>#REF!</formula>
    </cfRule>
    <cfRule type="cellIs" dxfId="5830" priority="9513" stopIfTrue="1" operator="between">
      <formula>#REF!</formula>
      <formula>#REF!</formula>
    </cfRule>
    <cfRule type="cellIs" dxfId="5829" priority="9512" stopIfTrue="1" operator="equal">
      <formula>#REF!</formula>
    </cfRule>
    <cfRule type="cellIs" dxfId="5828" priority="9510" stopIfTrue="1" operator="between">
      <formula>#REF!</formula>
      <formula>#REF!</formula>
    </cfRule>
    <cfRule type="cellIs" dxfId="5827" priority="9509" stopIfTrue="1" operator="equal">
      <formula>#REF!</formula>
    </cfRule>
  </conditionalFormatting>
  <conditionalFormatting sqref="CL104:CM104">
    <cfRule type="cellIs" dxfId="5826" priority="9453" stopIfTrue="1" operator="between">
      <formula>#REF!</formula>
      <formula>#REF!</formula>
    </cfRule>
    <cfRule type="cellIs" dxfId="5825" priority="9455" stopIfTrue="1" operator="equal">
      <formula>#REF!</formula>
    </cfRule>
    <cfRule type="cellIs" dxfId="5824" priority="9458" stopIfTrue="1" operator="equal">
      <formula>#REF!</formula>
    </cfRule>
    <cfRule type="cellIs" dxfId="5823" priority="9456" stopIfTrue="1" operator="between">
      <formula>#REF!</formula>
      <formula>#REF!</formula>
    </cfRule>
    <cfRule type="cellIs" dxfId="5822" priority="9457" stopIfTrue="1" operator="equal">
      <formula>#REF!</formula>
    </cfRule>
    <cfRule type="cellIs" dxfId="5821" priority="9454" stopIfTrue="1" operator="equal">
      <formula>#REF!</formula>
    </cfRule>
    <cfRule type="cellIs" dxfId="5820" priority="9459" stopIfTrue="1" operator="between">
      <formula>#REF!</formula>
      <formula>#REF!</formula>
    </cfRule>
  </conditionalFormatting>
  <conditionalFormatting sqref="CL105:CM105">
    <cfRule type="cellIs" dxfId="5819" priority="9394" stopIfTrue="1" operator="equal">
      <formula>#REF!</formula>
    </cfRule>
    <cfRule type="cellIs" dxfId="5818" priority="9393" stopIfTrue="1" operator="between">
      <formula>#REF!</formula>
      <formula>#REF!</formula>
    </cfRule>
    <cfRule type="cellIs" dxfId="5817" priority="9390" stopIfTrue="1" operator="between">
      <formula>#REF!</formula>
      <formula>#REF!</formula>
    </cfRule>
    <cfRule type="cellIs" dxfId="5816" priority="9396" stopIfTrue="1" operator="between">
      <formula>#REF!</formula>
      <formula>#REF!</formula>
    </cfRule>
    <cfRule type="cellIs" dxfId="5815" priority="9395" stopIfTrue="1" operator="equal">
      <formula>#REF!</formula>
    </cfRule>
    <cfRule type="cellIs" dxfId="5814" priority="9391" stopIfTrue="1" operator="equal">
      <formula>#REF!</formula>
    </cfRule>
    <cfRule type="cellIs" dxfId="5813" priority="9392" stopIfTrue="1" operator="equal">
      <formula>#REF!</formula>
    </cfRule>
  </conditionalFormatting>
  <conditionalFormatting sqref="CL106:CM106">
    <cfRule type="cellIs" dxfId="5812" priority="9319" stopIfTrue="1" operator="equal">
      <formula>#REF!</formula>
    </cfRule>
    <cfRule type="cellIs" dxfId="5811" priority="9324" stopIfTrue="1" operator="between">
      <formula>#REF!</formula>
      <formula>#REF!</formula>
    </cfRule>
    <cfRule type="cellIs" dxfId="5810" priority="9323" stopIfTrue="1" operator="equal">
      <formula>#REF!</formula>
    </cfRule>
    <cfRule type="cellIs" dxfId="5809" priority="9322" stopIfTrue="1" operator="equal">
      <formula>#REF!</formula>
    </cfRule>
    <cfRule type="cellIs" dxfId="5808" priority="9321" stopIfTrue="1" operator="between">
      <formula>#REF!</formula>
      <formula>#REF!</formula>
    </cfRule>
    <cfRule type="cellIs" dxfId="5807" priority="9320" stopIfTrue="1" operator="equal">
      <formula>#REF!</formula>
    </cfRule>
    <cfRule type="cellIs" dxfId="5806" priority="9318" stopIfTrue="1" operator="between">
      <formula>#REF!</formula>
      <formula>#REF!</formula>
    </cfRule>
  </conditionalFormatting>
  <conditionalFormatting sqref="CL107:CM107">
    <cfRule type="cellIs" dxfId="5805" priority="9240" stopIfTrue="1" operator="between">
      <formula>#REF!</formula>
      <formula>#REF!</formula>
    </cfRule>
    <cfRule type="cellIs" dxfId="5804" priority="9243" stopIfTrue="1" operator="between">
      <formula>#REF!</formula>
      <formula>#REF!</formula>
    </cfRule>
    <cfRule type="cellIs" dxfId="5803" priority="9238" stopIfTrue="1" operator="equal">
      <formula>#REF!</formula>
    </cfRule>
    <cfRule type="cellIs" dxfId="5802" priority="9237" stopIfTrue="1" operator="between">
      <formula>#REF!</formula>
      <formula>#REF!</formula>
    </cfRule>
    <cfRule type="cellIs" dxfId="5801" priority="9239" stopIfTrue="1" operator="equal">
      <formula>#REF!</formula>
    </cfRule>
    <cfRule type="cellIs" dxfId="5800" priority="9242" stopIfTrue="1" operator="equal">
      <formula>#REF!</formula>
    </cfRule>
    <cfRule type="cellIs" dxfId="5799" priority="9241" stopIfTrue="1" operator="equal">
      <formula>#REF!</formula>
    </cfRule>
  </conditionalFormatting>
  <conditionalFormatting sqref="CL108:CM108">
    <cfRule type="cellIs" dxfId="5798" priority="9150" stopIfTrue="1" operator="between">
      <formula>#REF!</formula>
      <formula>#REF!</formula>
    </cfRule>
    <cfRule type="cellIs" dxfId="5797" priority="9153" stopIfTrue="1" operator="between">
      <formula>#REF!</formula>
      <formula>#REF!</formula>
    </cfRule>
    <cfRule type="cellIs" dxfId="5796" priority="9152" stopIfTrue="1" operator="equal">
      <formula>#REF!</formula>
    </cfRule>
    <cfRule type="cellIs" dxfId="5795" priority="9149" stopIfTrue="1" operator="equal">
      <formula>#REF!</formula>
    </cfRule>
    <cfRule type="cellIs" dxfId="5794" priority="9151" stopIfTrue="1" operator="equal">
      <formula>#REF!</formula>
    </cfRule>
    <cfRule type="cellIs" dxfId="5793" priority="9148" stopIfTrue="1" operator="equal">
      <formula>#REF!</formula>
    </cfRule>
    <cfRule type="cellIs" dxfId="5792" priority="9147" stopIfTrue="1" operator="between">
      <formula>#REF!</formula>
      <formula>#REF!</formula>
    </cfRule>
  </conditionalFormatting>
  <conditionalFormatting sqref="CL109:CM109">
    <cfRule type="cellIs" dxfId="5791" priority="9054" stopIfTrue="1" operator="between">
      <formula>#REF!</formula>
      <formula>#REF!</formula>
    </cfRule>
    <cfRule type="cellIs" dxfId="5790" priority="9050" stopIfTrue="1" operator="equal">
      <formula>#REF!</formula>
    </cfRule>
    <cfRule type="cellIs" dxfId="5789" priority="9053" stopIfTrue="1" operator="equal">
      <formula>#REF!</formula>
    </cfRule>
    <cfRule type="cellIs" dxfId="5788" priority="9048" stopIfTrue="1" operator="between">
      <formula>#REF!</formula>
      <formula>#REF!</formula>
    </cfRule>
    <cfRule type="cellIs" dxfId="5787" priority="9049" stopIfTrue="1" operator="equal">
      <formula>#REF!</formula>
    </cfRule>
    <cfRule type="cellIs" dxfId="5786" priority="9052" stopIfTrue="1" operator="equal">
      <formula>#REF!</formula>
    </cfRule>
    <cfRule type="cellIs" dxfId="5785" priority="9051" stopIfTrue="1" operator="between">
      <formula>#REF!</formula>
      <formula>#REF!</formula>
    </cfRule>
  </conditionalFormatting>
  <conditionalFormatting sqref="CL110:CM110">
    <cfRule type="cellIs" dxfId="5784" priority="8941" stopIfTrue="1" operator="equal">
      <formula>#REF!</formula>
    </cfRule>
    <cfRule type="cellIs" dxfId="5783" priority="8946" stopIfTrue="1" operator="between">
      <formula>#REF!</formula>
      <formula>#REF!</formula>
    </cfRule>
    <cfRule type="cellIs" dxfId="5782" priority="8945" stopIfTrue="1" operator="equal">
      <formula>#REF!</formula>
    </cfRule>
    <cfRule type="cellIs" dxfId="5781" priority="8940" stopIfTrue="1" operator="between">
      <formula>#REF!</formula>
      <formula>#REF!</formula>
    </cfRule>
    <cfRule type="cellIs" dxfId="5780" priority="8942" stopIfTrue="1" operator="equal">
      <formula>#REF!</formula>
    </cfRule>
    <cfRule type="cellIs" dxfId="5779" priority="8943" stopIfTrue="1" operator="between">
      <formula>#REF!</formula>
      <formula>#REF!</formula>
    </cfRule>
    <cfRule type="cellIs" dxfId="5778" priority="8944" stopIfTrue="1" operator="equal">
      <formula>#REF!</formula>
    </cfRule>
  </conditionalFormatting>
  <conditionalFormatting sqref="CL111:CM111">
    <cfRule type="cellIs" dxfId="5777" priority="8828" stopIfTrue="1" operator="equal">
      <formula>#REF!</formula>
    </cfRule>
    <cfRule type="cellIs" dxfId="5776" priority="8825" stopIfTrue="1" operator="equal">
      <formula>#REF!</formula>
    </cfRule>
    <cfRule type="cellIs" dxfId="5775" priority="8823" stopIfTrue="1" operator="between">
      <formula>#REF!</formula>
      <formula>#REF!</formula>
    </cfRule>
    <cfRule type="cellIs" dxfId="5774" priority="8829" stopIfTrue="1" operator="between">
      <formula>#REF!</formula>
      <formula>#REF!</formula>
    </cfRule>
    <cfRule type="cellIs" dxfId="5773" priority="8824" stopIfTrue="1" operator="equal">
      <formula>#REF!</formula>
    </cfRule>
    <cfRule type="cellIs" dxfId="5772" priority="8826" stopIfTrue="1" operator="between">
      <formula>#REF!</formula>
      <formula>#REF!</formula>
    </cfRule>
    <cfRule type="cellIs" dxfId="5771" priority="8827" stopIfTrue="1" operator="equal">
      <formula>#REF!</formula>
    </cfRule>
  </conditionalFormatting>
  <conditionalFormatting sqref="CL112:CM112">
    <cfRule type="cellIs" dxfId="5770" priority="8703" stopIfTrue="1" operator="between">
      <formula>#REF!</formula>
      <formula>#REF!</formula>
    </cfRule>
    <cfRule type="cellIs" dxfId="5769" priority="8697" stopIfTrue="1" operator="between">
      <formula>#REF!</formula>
      <formula>#REF!</formula>
    </cfRule>
    <cfRule type="cellIs" dxfId="5768" priority="8700" stopIfTrue="1" operator="between">
      <formula>#REF!</formula>
      <formula>#REF!</formula>
    </cfRule>
    <cfRule type="cellIs" dxfId="5767" priority="8702" stopIfTrue="1" operator="equal">
      <formula>#REF!</formula>
    </cfRule>
    <cfRule type="cellIs" dxfId="5766" priority="8701" stopIfTrue="1" operator="equal">
      <formula>#REF!</formula>
    </cfRule>
    <cfRule type="cellIs" dxfId="5765" priority="8698" stopIfTrue="1" operator="equal">
      <formula>#REF!</formula>
    </cfRule>
    <cfRule type="cellIs" dxfId="5764" priority="8699" stopIfTrue="1" operator="equal">
      <formula>#REF!</formula>
    </cfRule>
  </conditionalFormatting>
  <conditionalFormatting sqref="CL113:CM113">
    <cfRule type="cellIs" dxfId="5763" priority="8565" stopIfTrue="1" operator="between">
      <formula>#REF!</formula>
      <formula>#REF!</formula>
    </cfRule>
    <cfRule type="cellIs" dxfId="5762" priority="8566" stopIfTrue="1" operator="equal">
      <formula>#REF!</formula>
    </cfRule>
    <cfRule type="cellIs" dxfId="5761" priority="8568" stopIfTrue="1" operator="between">
      <formula>#REF!</formula>
      <formula>#REF!</formula>
    </cfRule>
    <cfRule type="cellIs" dxfId="5760" priority="8562" stopIfTrue="1" operator="between">
      <formula>#REF!</formula>
      <formula>#REF!</formula>
    </cfRule>
    <cfRule type="cellIs" dxfId="5759" priority="8567" stopIfTrue="1" operator="equal">
      <formula>#REF!</formula>
    </cfRule>
    <cfRule type="cellIs" dxfId="5758" priority="8564" stopIfTrue="1" operator="equal">
      <formula>#REF!</formula>
    </cfRule>
    <cfRule type="cellIs" dxfId="5757" priority="8563" stopIfTrue="1" operator="equal">
      <formula>#REF!</formula>
    </cfRule>
  </conditionalFormatting>
  <conditionalFormatting sqref="CL114:CM115">
    <cfRule type="cellIs" dxfId="5756" priority="8419" stopIfTrue="1" operator="equal">
      <formula>#REF!</formula>
    </cfRule>
    <cfRule type="cellIs" dxfId="5755" priority="8418" stopIfTrue="1" operator="between">
      <formula>#REF!</formula>
      <formula>#REF!</formula>
    </cfRule>
    <cfRule type="cellIs" dxfId="5754" priority="8423" stopIfTrue="1" operator="equal">
      <formula>#REF!</formula>
    </cfRule>
    <cfRule type="cellIs" dxfId="5753" priority="8422" stopIfTrue="1" operator="equal">
      <formula>#REF!</formula>
    </cfRule>
    <cfRule type="cellIs" dxfId="5752" priority="8420" stopIfTrue="1" operator="equal">
      <formula>#REF!</formula>
    </cfRule>
    <cfRule type="cellIs" dxfId="5751" priority="8424" stopIfTrue="1" operator="between">
      <formula>#REF!</formula>
      <formula>#REF!</formula>
    </cfRule>
    <cfRule type="cellIs" dxfId="5750" priority="8421" stopIfTrue="1" operator="between">
      <formula>#REF!</formula>
      <formula>#REF!</formula>
    </cfRule>
  </conditionalFormatting>
  <conditionalFormatting sqref="CL116:CM116">
    <cfRule type="cellIs" dxfId="5749" priority="8260" stopIfTrue="1" operator="equal">
      <formula>#REF!</formula>
    </cfRule>
    <cfRule type="cellIs" dxfId="5748" priority="8262" stopIfTrue="1" operator="between">
      <formula>#REF!</formula>
      <formula>#REF!</formula>
    </cfRule>
    <cfRule type="cellIs" dxfId="5747" priority="8261" stopIfTrue="1" operator="equal">
      <formula>#REF!</formula>
    </cfRule>
    <cfRule type="cellIs" dxfId="5746" priority="8257" stopIfTrue="1" operator="equal">
      <formula>#REF!</formula>
    </cfRule>
    <cfRule type="cellIs" dxfId="5745" priority="8258" stopIfTrue="1" operator="equal">
      <formula>#REF!</formula>
    </cfRule>
    <cfRule type="cellIs" dxfId="5744" priority="8256" stopIfTrue="1" operator="between">
      <formula>#REF!</formula>
      <formula>#REF!</formula>
    </cfRule>
    <cfRule type="cellIs" dxfId="5743" priority="8259" stopIfTrue="1" operator="between">
      <formula>#REF!</formula>
      <formula>#REF!</formula>
    </cfRule>
  </conditionalFormatting>
  <conditionalFormatting sqref="CL117:CM129">
    <cfRule type="cellIs" dxfId="5742" priority="8113" stopIfTrue="1" operator="equal">
      <formula>#REF!</formula>
    </cfRule>
    <cfRule type="cellIs" dxfId="5741" priority="8112" stopIfTrue="1" operator="between">
      <formula>#REF!</formula>
      <formula>#REF!</formula>
    </cfRule>
    <cfRule type="cellIs" dxfId="5740" priority="8117" stopIfTrue="1" operator="equal">
      <formula>#REF!</formula>
    </cfRule>
    <cfRule type="cellIs" dxfId="5739" priority="8116" stopIfTrue="1" operator="equal">
      <formula>#REF!</formula>
    </cfRule>
    <cfRule type="cellIs" dxfId="5738" priority="8118" stopIfTrue="1" operator="between">
      <formula>#REF!</formula>
      <formula>#REF!</formula>
    </cfRule>
    <cfRule type="cellIs" dxfId="5737" priority="8115" stopIfTrue="1" operator="between">
      <formula>#REF!</formula>
      <formula>#REF!</formula>
    </cfRule>
    <cfRule type="cellIs" dxfId="5736" priority="8114" stopIfTrue="1" operator="equal">
      <formula>#REF!</formula>
    </cfRule>
  </conditionalFormatting>
  <conditionalFormatting sqref="CL130:CM130">
    <cfRule type="cellIs" dxfId="5735" priority="7209" stopIfTrue="1" operator="between">
      <formula>#REF!</formula>
      <formula>#REF!</formula>
    </cfRule>
    <cfRule type="cellIs" dxfId="5734" priority="7206" stopIfTrue="1" operator="between">
      <formula>#REF!</formula>
      <formula>#REF!</formula>
    </cfRule>
    <cfRule type="cellIs" dxfId="5733" priority="7205" stopIfTrue="1" operator="equal">
      <formula>#REF!</formula>
    </cfRule>
    <cfRule type="cellIs" dxfId="5732" priority="7204" stopIfTrue="1" operator="equal">
      <formula>#REF!</formula>
    </cfRule>
    <cfRule type="cellIs" dxfId="5731" priority="7203" stopIfTrue="1" operator="between">
      <formula>#REF!</formula>
      <formula>#REF!</formula>
    </cfRule>
    <cfRule type="cellIs" dxfId="5730" priority="7208" stopIfTrue="1" operator="equal">
      <formula>#REF!</formula>
    </cfRule>
    <cfRule type="cellIs" dxfId="5729" priority="7207" stopIfTrue="1" operator="equal">
      <formula>#REF!</formula>
    </cfRule>
  </conditionalFormatting>
  <conditionalFormatting sqref="CL131:CM141">
    <cfRule type="cellIs" dxfId="5728" priority="6294" stopIfTrue="1" operator="between">
      <formula>#REF!</formula>
      <formula>#REF!</formula>
    </cfRule>
    <cfRule type="cellIs" dxfId="5727" priority="6296" stopIfTrue="1" operator="equal">
      <formula>#REF!</formula>
    </cfRule>
    <cfRule type="cellIs" dxfId="5726" priority="6297" stopIfTrue="1" operator="between">
      <formula>#REF!</formula>
      <formula>#REF!</formula>
    </cfRule>
    <cfRule type="cellIs" dxfId="5725" priority="6299" stopIfTrue="1" operator="equal">
      <formula>#REF!</formula>
    </cfRule>
    <cfRule type="cellIs" dxfId="5724" priority="6300" stopIfTrue="1" operator="between">
      <formula>#REF!</formula>
      <formula>#REF!</formula>
    </cfRule>
    <cfRule type="cellIs" dxfId="5723" priority="6295" stopIfTrue="1" operator="equal">
      <formula>#REF!</formula>
    </cfRule>
    <cfRule type="cellIs" dxfId="5722" priority="6298" stopIfTrue="1" operator="equal">
      <formula>#REF!</formula>
    </cfRule>
  </conditionalFormatting>
  <conditionalFormatting sqref="CL142:CM143">
    <cfRule type="cellIs" dxfId="5721" priority="5387" stopIfTrue="1" operator="equal">
      <formula>#REF!</formula>
    </cfRule>
    <cfRule type="cellIs" dxfId="5720" priority="5386" stopIfTrue="1" operator="equal">
      <formula>#REF!</formula>
    </cfRule>
    <cfRule type="cellIs" dxfId="5719" priority="5390" stopIfTrue="1" operator="equal">
      <formula>#REF!</formula>
    </cfRule>
    <cfRule type="cellIs" dxfId="5718" priority="5385" stopIfTrue="1" operator="between">
      <formula>#REF!</formula>
      <formula>#REF!</formula>
    </cfRule>
    <cfRule type="cellIs" dxfId="5717" priority="5391" stopIfTrue="1" operator="between">
      <formula>#REF!</formula>
      <formula>#REF!</formula>
    </cfRule>
    <cfRule type="cellIs" dxfId="5716" priority="5389" stopIfTrue="1" operator="equal">
      <formula>#REF!</formula>
    </cfRule>
    <cfRule type="cellIs" dxfId="5715" priority="5388" stopIfTrue="1" operator="between">
      <formula>#REF!</formula>
      <formula>#REF!</formula>
    </cfRule>
  </conditionalFormatting>
  <conditionalFormatting sqref="CL144:CM173">
    <cfRule type="cellIs" dxfId="5714" priority="4497" stopIfTrue="1" operator="between">
      <formula>#REF!</formula>
      <formula>#REF!</formula>
    </cfRule>
    <cfRule type="cellIs" dxfId="5713" priority="4496" stopIfTrue="1" operator="equal">
      <formula>#REF!</formula>
    </cfRule>
    <cfRule type="cellIs" dxfId="5712" priority="4495" stopIfTrue="1" operator="equal">
      <formula>#REF!</formula>
    </cfRule>
    <cfRule type="cellIs" dxfId="5711" priority="4494" stopIfTrue="1" operator="between">
      <formula>#REF!</formula>
      <formula>#REF!</formula>
    </cfRule>
    <cfRule type="cellIs" dxfId="5710" priority="4493" stopIfTrue="1" operator="equal">
      <formula>#REF!</formula>
    </cfRule>
    <cfRule type="cellIs" dxfId="5709" priority="4498" stopIfTrue="1" operator="equal">
      <formula>#REF!</formula>
    </cfRule>
    <cfRule type="cellIs" dxfId="5708" priority="4500" stopIfTrue="1" operator="between">
      <formula>#REF!</formula>
      <formula>#REF!</formula>
    </cfRule>
    <cfRule type="cellIs" dxfId="5707" priority="4499" stopIfTrue="1" operator="equal">
      <formula>#REF!</formula>
    </cfRule>
  </conditionalFormatting>
  <conditionalFormatting sqref="CL174:CM199">
    <cfRule type="cellIs" dxfId="5706" priority="925" stopIfTrue="1" operator="equal">
      <formula>#REF!</formula>
    </cfRule>
    <cfRule type="cellIs" dxfId="5705" priority="920" stopIfTrue="1" operator="equal">
      <formula>#REF!</formula>
    </cfRule>
    <cfRule type="cellIs" dxfId="5704" priority="927" stopIfTrue="1" operator="between">
      <formula>#REF!</formula>
      <formula>#REF!</formula>
    </cfRule>
    <cfRule type="cellIs" dxfId="5703" priority="926" stopIfTrue="1" operator="equal">
      <formula>#REF!</formula>
    </cfRule>
    <cfRule type="cellIs" dxfId="5702" priority="924" stopIfTrue="1" operator="between">
      <formula>#REF!</formula>
      <formula>#REF!</formula>
    </cfRule>
    <cfRule type="cellIs" dxfId="5701" priority="923" stopIfTrue="1" operator="equal">
      <formula>#REF!</formula>
    </cfRule>
    <cfRule type="cellIs" dxfId="5700" priority="922" stopIfTrue="1" operator="equal">
      <formula>#REF!</formula>
    </cfRule>
    <cfRule type="cellIs" dxfId="5699" priority="921" stopIfTrue="1" operator="between">
      <formula>#REF!</formula>
      <formula>#REF!</formula>
    </cfRule>
  </conditionalFormatting>
  <conditionalFormatting sqref="CL102:CN102">
    <cfRule type="cellIs" dxfId="5698" priority="9553" stopIfTrue="1" operator="equal">
      <formula>#REF!</formula>
    </cfRule>
  </conditionalFormatting>
  <conditionalFormatting sqref="CN103">
    <cfRule type="cellIs" dxfId="5697" priority="9477" stopIfTrue="1" operator="between">
      <formula>#REF!</formula>
      <formula>#REF!</formula>
    </cfRule>
    <cfRule type="cellIs" dxfId="5696" priority="9472" stopIfTrue="1" operator="equal">
      <formula>#REF!</formula>
    </cfRule>
    <cfRule type="cellIs" dxfId="5695" priority="9471" stopIfTrue="1" operator="between">
      <formula>#REF!</formula>
      <formula>#REF!</formula>
    </cfRule>
    <cfRule type="cellIs" dxfId="5694" priority="9476" stopIfTrue="1" operator="equal">
      <formula>#REF!</formula>
    </cfRule>
    <cfRule type="cellIs" dxfId="5693" priority="9474" stopIfTrue="1" operator="between">
      <formula>#REF!</formula>
      <formula>#REF!</formula>
    </cfRule>
    <cfRule type="cellIs" dxfId="5692" priority="9473" stopIfTrue="1" operator="equal">
      <formula>#REF!</formula>
    </cfRule>
  </conditionalFormatting>
  <conditionalFormatting sqref="CN103:CN104">
    <cfRule type="cellIs" dxfId="5691" priority="9421" stopIfTrue="1" operator="equal">
      <formula>#REF!</formula>
    </cfRule>
    <cfRule type="cellIs" dxfId="5690" priority="9422" stopIfTrue="1" operator="equal">
      <formula>#REF!</formula>
    </cfRule>
  </conditionalFormatting>
  <conditionalFormatting sqref="CN104">
    <cfRule type="cellIs" dxfId="5689" priority="9419" stopIfTrue="1" operator="equal">
      <formula>#REF!</formula>
    </cfRule>
    <cfRule type="cellIs" dxfId="5688" priority="9418" stopIfTrue="1" operator="equal">
      <formula>#REF!</formula>
    </cfRule>
    <cfRule type="cellIs" dxfId="5687" priority="9417" stopIfTrue="1" operator="between">
      <formula>#REF!</formula>
      <formula>#REF!</formula>
    </cfRule>
    <cfRule type="cellIs" dxfId="5686" priority="9420" stopIfTrue="1" operator="between">
      <formula>#REF!</formula>
      <formula>#REF!</formula>
    </cfRule>
    <cfRule type="cellIs" dxfId="5685" priority="9423" stopIfTrue="1" operator="between">
      <formula>#REF!</formula>
      <formula>#REF!</formula>
    </cfRule>
  </conditionalFormatting>
  <conditionalFormatting sqref="CN105">
    <cfRule type="cellIs" dxfId="5684" priority="9356" stopIfTrue="1" operator="equal">
      <formula>#REF!</formula>
    </cfRule>
    <cfRule type="cellIs" dxfId="5683" priority="9357" stopIfTrue="1" operator="between">
      <formula>#REF!</formula>
      <formula>#REF!</formula>
    </cfRule>
    <cfRule type="cellIs" dxfId="5682" priority="9355" stopIfTrue="1" operator="equal">
      <formula>#REF!</formula>
    </cfRule>
    <cfRule type="cellIs" dxfId="5681" priority="9354" stopIfTrue="1" operator="between">
      <formula>#REF!</formula>
      <formula>#REF!</formula>
    </cfRule>
    <cfRule type="cellIs" dxfId="5680" priority="9358" stopIfTrue="1" operator="equal">
      <formula>#REF!</formula>
    </cfRule>
    <cfRule type="cellIs" dxfId="5679" priority="9359" stopIfTrue="1" operator="equal">
      <formula>#REF!</formula>
    </cfRule>
    <cfRule type="cellIs" dxfId="5678" priority="9360" stopIfTrue="1" operator="between">
      <formula>#REF!</formula>
      <formula>#REF!</formula>
    </cfRule>
  </conditionalFormatting>
  <conditionalFormatting sqref="CN106">
    <cfRule type="cellIs" dxfId="5677" priority="9283" stopIfTrue="1" operator="equal">
      <formula>#REF!</formula>
    </cfRule>
    <cfRule type="cellIs" dxfId="5676" priority="9284" stopIfTrue="1" operator="equal">
      <formula>#REF!</formula>
    </cfRule>
    <cfRule type="cellIs" dxfId="5675" priority="9285" stopIfTrue="1" operator="between">
      <formula>#REF!</formula>
      <formula>#REF!</formula>
    </cfRule>
    <cfRule type="cellIs" dxfId="5674" priority="9282" stopIfTrue="1" operator="between">
      <formula>#REF!</formula>
      <formula>#REF!</formula>
    </cfRule>
    <cfRule type="cellIs" dxfId="5673" priority="9287" stopIfTrue="1" operator="equal">
      <formula>#REF!</formula>
    </cfRule>
    <cfRule type="cellIs" dxfId="5672" priority="9286" stopIfTrue="1" operator="equal">
      <formula>#REF!</formula>
    </cfRule>
    <cfRule type="cellIs" dxfId="5671" priority="9288" stopIfTrue="1" operator="between">
      <formula>#REF!</formula>
      <formula>#REF!</formula>
    </cfRule>
  </conditionalFormatting>
  <conditionalFormatting sqref="CN107">
    <cfRule type="cellIs" dxfId="5670" priority="9201" stopIfTrue="1" operator="between">
      <formula>#REF!</formula>
      <formula>#REF!</formula>
    </cfRule>
    <cfRule type="cellIs" dxfId="5669" priority="9202" stopIfTrue="1" operator="equal">
      <formula>#REF!</formula>
    </cfRule>
    <cfRule type="cellIs" dxfId="5668" priority="9207" stopIfTrue="1" operator="between">
      <formula>#REF!</formula>
      <formula>#REF!</formula>
    </cfRule>
    <cfRule type="cellIs" dxfId="5667" priority="9203" stopIfTrue="1" operator="equal">
      <formula>#REF!</formula>
    </cfRule>
    <cfRule type="cellIs" dxfId="5666" priority="9206" stopIfTrue="1" operator="equal">
      <formula>#REF!</formula>
    </cfRule>
    <cfRule type="cellIs" dxfId="5665" priority="9205" stopIfTrue="1" operator="equal">
      <formula>#REF!</formula>
    </cfRule>
    <cfRule type="cellIs" dxfId="5664" priority="9204" stopIfTrue="1" operator="between">
      <formula>#REF!</formula>
      <formula>#REF!</formula>
    </cfRule>
  </conditionalFormatting>
  <conditionalFormatting sqref="CN108">
    <cfRule type="cellIs" dxfId="5663" priority="9117" stopIfTrue="1" operator="between">
      <formula>#REF!</formula>
      <formula>#REF!</formula>
    </cfRule>
    <cfRule type="cellIs" dxfId="5662" priority="9116" stopIfTrue="1" operator="equal">
      <formula>#REF!</formula>
    </cfRule>
    <cfRule type="cellIs" dxfId="5661" priority="9114" stopIfTrue="1" operator="between">
      <formula>#REF!</formula>
      <formula>#REF!</formula>
    </cfRule>
    <cfRule type="cellIs" dxfId="5660" priority="9113" stopIfTrue="1" operator="equal">
      <formula>#REF!</formula>
    </cfRule>
    <cfRule type="cellIs" dxfId="5659" priority="9115" stopIfTrue="1" operator="equal">
      <formula>#REF!</formula>
    </cfRule>
    <cfRule type="cellIs" dxfId="5658" priority="9112" stopIfTrue="1" operator="equal">
      <formula>#REF!</formula>
    </cfRule>
    <cfRule type="cellIs" dxfId="5657" priority="9111" stopIfTrue="1" operator="between">
      <formula>#REF!</formula>
      <formula>#REF!</formula>
    </cfRule>
  </conditionalFormatting>
  <conditionalFormatting sqref="CN109">
    <cfRule type="cellIs" dxfId="5656" priority="9012" stopIfTrue="1" operator="between">
      <formula>#REF!</formula>
      <formula>#REF!</formula>
    </cfRule>
    <cfRule type="cellIs" dxfId="5655" priority="9017" stopIfTrue="1" operator="equal">
      <formula>#REF!</formula>
    </cfRule>
    <cfRule type="cellIs" dxfId="5654" priority="9018" stopIfTrue="1" operator="between">
      <formula>#REF!</formula>
      <formula>#REF!</formula>
    </cfRule>
    <cfRule type="cellIs" dxfId="5653" priority="9013" stopIfTrue="1" operator="equal">
      <formula>#REF!</formula>
    </cfRule>
    <cfRule type="cellIs" dxfId="5652" priority="9014" stopIfTrue="1" operator="equal">
      <formula>#REF!</formula>
    </cfRule>
    <cfRule type="cellIs" dxfId="5651" priority="9015" stopIfTrue="1" operator="between">
      <formula>#REF!</formula>
      <formula>#REF!</formula>
    </cfRule>
    <cfRule type="cellIs" dxfId="5650" priority="9016" stopIfTrue="1" operator="equal">
      <formula>#REF!</formula>
    </cfRule>
  </conditionalFormatting>
  <conditionalFormatting sqref="CN110">
    <cfRule type="cellIs" dxfId="5649" priority="8905" stopIfTrue="1" operator="equal">
      <formula>#REF!</formula>
    </cfRule>
    <cfRule type="cellIs" dxfId="5648" priority="8906" stopIfTrue="1" operator="equal">
      <formula>#REF!</formula>
    </cfRule>
    <cfRule type="cellIs" dxfId="5647" priority="8907" stopIfTrue="1" operator="between">
      <formula>#REF!</formula>
      <formula>#REF!</formula>
    </cfRule>
    <cfRule type="cellIs" dxfId="5646" priority="8909" stopIfTrue="1" operator="equal">
      <formula>#REF!</formula>
    </cfRule>
    <cfRule type="cellIs" dxfId="5645" priority="8908" stopIfTrue="1" operator="equal">
      <formula>#REF!</formula>
    </cfRule>
    <cfRule type="cellIs" dxfId="5644" priority="8904" stopIfTrue="1" operator="between">
      <formula>#REF!</formula>
      <formula>#REF!</formula>
    </cfRule>
    <cfRule type="cellIs" dxfId="5643" priority="8910" stopIfTrue="1" operator="between">
      <formula>#REF!</formula>
      <formula>#REF!</formula>
    </cfRule>
  </conditionalFormatting>
  <conditionalFormatting sqref="CN111">
    <cfRule type="cellIs" dxfId="5642" priority="8787" stopIfTrue="1" operator="between">
      <formula>#REF!</formula>
      <formula>#REF!</formula>
    </cfRule>
    <cfRule type="cellIs" dxfId="5641" priority="8790" stopIfTrue="1" operator="between">
      <formula>#REF!</formula>
      <formula>#REF!</formula>
    </cfRule>
    <cfRule type="cellIs" dxfId="5640" priority="8791" stopIfTrue="1" operator="equal">
      <formula>#REF!</formula>
    </cfRule>
    <cfRule type="cellIs" dxfId="5639" priority="8788" stopIfTrue="1" operator="equal">
      <formula>#REF!</formula>
    </cfRule>
    <cfRule type="cellIs" dxfId="5638" priority="8789" stopIfTrue="1" operator="equal">
      <formula>#REF!</formula>
    </cfRule>
    <cfRule type="cellIs" dxfId="5637" priority="8793" stopIfTrue="1" operator="between">
      <formula>#REF!</formula>
      <formula>#REF!</formula>
    </cfRule>
    <cfRule type="cellIs" dxfId="5636" priority="8792" stopIfTrue="1" operator="equal">
      <formula>#REF!</formula>
    </cfRule>
  </conditionalFormatting>
  <conditionalFormatting sqref="CN112">
    <cfRule type="cellIs" dxfId="5635" priority="8666" stopIfTrue="1" operator="equal">
      <formula>#REF!</formula>
    </cfRule>
    <cfRule type="cellIs" dxfId="5634" priority="8667" stopIfTrue="1" operator="between">
      <formula>#REF!</formula>
      <formula>#REF!</formula>
    </cfRule>
    <cfRule type="cellIs" dxfId="5633" priority="8664" stopIfTrue="1" operator="between">
      <formula>#REF!</formula>
      <formula>#REF!</formula>
    </cfRule>
    <cfRule type="cellIs" dxfId="5632" priority="8665" stopIfTrue="1" operator="equal">
      <formula>#REF!</formula>
    </cfRule>
    <cfRule type="cellIs" dxfId="5631" priority="8663" stopIfTrue="1" operator="equal">
      <formula>#REF!</formula>
    </cfRule>
    <cfRule type="cellIs" dxfId="5630" priority="8661" stopIfTrue="1" operator="between">
      <formula>#REF!</formula>
      <formula>#REF!</formula>
    </cfRule>
    <cfRule type="cellIs" dxfId="5629" priority="8662" stopIfTrue="1" operator="equal">
      <formula>#REF!</formula>
    </cfRule>
  </conditionalFormatting>
  <conditionalFormatting sqref="CN113">
    <cfRule type="cellIs" dxfId="5628" priority="8530" stopIfTrue="1" operator="equal">
      <formula>#REF!</formula>
    </cfRule>
    <cfRule type="cellIs" dxfId="5627" priority="8529" stopIfTrue="1" operator="between">
      <formula>#REF!</formula>
      <formula>#REF!</formula>
    </cfRule>
    <cfRule type="cellIs" dxfId="5626" priority="8528" stopIfTrue="1" operator="equal">
      <formula>#REF!</formula>
    </cfRule>
    <cfRule type="cellIs" dxfId="5625" priority="8527" stopIfTrue="1" operator="equal">
      <formula>#REF!</formula>
    </cfRule>
    <cfRule type="cellIs" dxfId="5624" priority="8526" stopIfTrue="1" operator="between">
      <formula>#REF!</formula>
      <formula>#REF!</formula>
    </cfRule>
    <cfRule type="cellIs" dxfId="5623" priority="8532" stopIfTrue="1" operator="between">
      <formula>#REF!</formula>
      <formula>#REF!</formula>
    </cfRule>
    <cfRule type="cellIs" dxfId="5622" priority="8531" stopIfTrue="1" operator="equal">
      <formula>#REF!</formula>
    </cfRule>
  </conditionalFormatting>
  <conditionalFormatting sqref="CN114:CN115">
    <cfRule type="cellIs" dxfId="5621" priority="8384" stopIfTrue="1" operator="equal">
      <formula>#REF!</formula>
    </cfRule>
    <cfRule type="cellIs" dxfId="5620" priority="8388" stopIfTrue="1" operator="between">
      <formula>#REF!</formula>
      <formula>#REF!</formula>
    </cfRule>
    <cfRule type="cellIs" dxfId="5619" priority="8385" stopIfTrue="1" operator="between">
      <formula>#REF!</formula>
      <formula>#REF!</formula>
    </cfRule>
    <cfRule type="cellIs" dxfId="5618" priority="8386" stopIfTrue="1" operator="equal">
      <formula>#REF!</formula>
    </cfRule>
    <cfRule type="cellIs" dxfId="5617" priority="8382" stopIfTrue="1" operator="between">
      <formula>#REF!</formula>
      <formula>#REF!</formula>
    </cfRule>
    <cfRule type="cellIs" dxfId="5616" priority="8383" stopIfTrue="1" operator="equal">
      <formula>#REF!</formula>
    </cfRule>
    <cfRule type="cellIs" dxfId="5615" priority="8387" stopIfTrue="1" operator="equal">
      <formula>#REF!</formula>
    </cfRule>
  </conditionalFormatting>
  <conditionalFormatting sqref="CN116">
    <cfRule type="cellIs" dxfId="5614" priority="8220" stopIfTrue="1" operator="between">
      <formula>#REF!</formula>
      <formula>#REF!</formula>
    </cfRule>
    <cfRule type="cellIs" dxfId="5613" priority="8225" stopIfTrue="1" operator="equal">
      <formula>#REF!</formula>
    </cfRule>
    <cfRule type="cellIs" dxfId="5612" priority="8221" stopIfTrue="1" operator="equal">
      <formula>#REF!</formula>
    </cfRule>
    <cfRule type="cellIs" dxfId="5611" priority="8222" stopIfTrue="1" operator="equal">
      <formula>#REF!</formula>
    </cfRule>
    <cfRule type="cellIs" dxfId="5610" priority="8223" stopIfTrue="1" operator="between">
      <formula>#REF!</formula>
      <formula>#REF!</formula>
    </cfRule>
    <cfRule type="cellIs" dxfId="5609" priority="8226" stopIfTrue="1" operator="between">
      <formula>#REF!</formula>
      <formula>#REF!</formula>
    </cfRule>
    <cfRule type="cellIs" dxfId="5608" priority="8224" stopIfTrue="1" operator="equal">
      <formula>#REF!</formula>
    </cfRule>
  </conditionalFormatting>
  <conditionalFormatting sqref="CN117:CN129">
    <cfRule type="cellIs" dxfId="5607" priority="8079" stopIfTrue="1" operator="between">
      <formula>#REF!</formula>
      <formula>#REF!</formula>
    </cfRule>
    <cfRule type="cellIs" dxfId="5606" priority="8077" stopIfTrue="1" operator="equal">
      <formula>#REF!</formula>
    </cfRule>
    <cfRule type="cellIs" dxfId="5605" priority="8080" stopIfTrue="1" operator="equal">
      <formula>#REF!</formula>
    </cfRule>
    <cfRule type="cellIs" dxfId="5604" priority="8082" stopIfTrue="1" operator="between">
      <formula>#REF!</formula>
      <formula>#REF!</formula>
    </cfRule>
    <cfRule type="cellIs" dxfId="5603" priority="8081" stopIfTrue="1" operator="equal">
      <formula>#REF!</formula>
    </cfRule>
    <cfRule type="cellIs" dxfId="5602" priority="8076" stopIfTrue="1" operator="between">
      <formula>#REF!</formula>
      <formula>#REF!</formula>
    </cfRule>
    <cfRule type="cellIs" dxfId="5601" priority="8078" stopIfTrue="1" operator="equal">
      <formula>#REF!</formula>
    </cfRule>
  </conditionalFormatting>
  <conditionalFormatting sqref="CN130">
    <cfRule type="cellIs" dxfId="5600" priority="7173" stopIfTrue="1" operator="between">
      <formula>#REF!</formula>
      <formula>#REF!</formula>
    </cfRule>
    <cfRule type="cellIs" dxfId="5599" priority="7170" stopIfTrue="1" operator="between">
      <formula>#REF!</formula>
      <formula>#REF!</formula>
    </cfRule>
    <cfRule type="cellIs" dxfId="5598" priority="7167" stopIfTrue="1" operator="between">
      <formula>#REF!</formula>
      <formula>#REF!</formula>
    </cfRule>
    <cfRule type="cellIs" dxfId="5597" priority="7168" stopIfTrue="1" operator="equal">
      <formula>#REF!</formula>
    </cfRule>
    <cfRule type="cellIs" dxfId="5596" priority="7169" stopIfTrue="1" operator="equal">
      <formula>#REF!</formula>
    </cfRule>
    <cfRule type="cellIs" dxfId="5595" priority="7172" stopIfTrue="1" operator="equal">
      <formula>#REF!</formula>
    </cfRule>
    <cfRule type="cellIs" dxfId="5594" priority="7171" stopIfTrue="1" operator="equal">
      <formula>#REF!</formula>
    </cfRule>
  </conditionalFormatting>
  <conditionalFormatting sqref="CN131:CN141">
    <cfRule type="cellIs" dxfId="5593" priority="6258" stopIfTrue="1" operator="between">
      <formula>#REF!</formula>
      <formula>#REF!</formula>
    </cfRule>
    <cfRule type="cellIs" dxfId="5592" priority="6259" stopIfTrue="1" operator="equal">
      <formula>#REF!</formula>
    </cfRule>
    <cfRule type="cellIs" dxfId="5591" priority="6264" stopIfTrue="1" operator="between">
      <formula>#REF!</formula>
      <formula>#REF!</formula>
    </cfRule>
    <cfRule type="cellIs" dxfId="5590" priority="6261" stopIfTrue="1" operator="between">
      <formula>#REF!</formula>
      <formula>#REF!</formula>
    </cfRule>
    <cfRule type="cellIs" dxfId="5589" priority="6262" stopIfTrue="1" operator="equal">
      <formula>#REF!</formula>
    </cfRule>
    <cfRule type="cellIs" dxfId="5588" priority="6260" stopIfTrue="1" operator="equal">
      <formula>#REF!</formula>
    </cfRule>
    <cfRule type="cellIs" dxfId="5587" priority="6263" stopIfTrue="1" operator="equal">
      <formula>#REF!</formula>
    </cfRule>
  </conditionalFormatting>
  <conditionalFormatting sqref="CN142:CN143">
    <cfRule type="cellIs" dxfId="5586" priority="5368" stopIfTrue="1" operator="equal">
      <formula>#REF!</formula>
    </cfRule>
    <cfRule type="cellIs" dxfId="5585" priority="5372" stopIfTrue="1" operator="equal">
      <formula>#REF!</formula>
    </cfRule>
    <cfRule type="cellIs" dxfId="5584" priority="5369" stopIfTrue="1" operator="equal">
      <formula>#REF!</formula>
    </cfRule>
    <cfRule type="cellIs" dxfId="5583" priority="5373" stopIfTrue="1" operator="between">
      <formula>#REF!</formula>
      <formula>#REF!</formula>
    </cfRule>
    <cfRule type="cellIs" dxfId="5582" priority="5367" stopIfTrue="1" operator="between">
      <formula>#REF!</formula>
      <formula>#REF!</formula>
    </cfRule>
    <cfRule type="cellIs" dxfId="5581" priority="5370" stopIfTrue="1" operator="between">
      <formula>#REF!</formula>
      <formula>#REF!</formula>
    </cfRule>
    <cfRule type="cellIs" dxfId="5580" priority="5371" stopIfTrue="1" operator="equal">
      <formula>#REF!</formula>
    </cfRule>
  </conditionalFormatting>
  <conditionalFormatting sqref="CN144:CN173">
    <cfRule type="cellIs" dxfId="5579" priority="4480" stopIfTrue="1" operator="equal">
      <formula>#REF!</formula>
    </cfRule>
    <cfRule type="cellIs" dxfId="5578" priority="4475" stopIfTrue="1" operator="equal">
      <formula>#REF!</formula>
    </cfRule>
    <cfRule type="cellIs" dxfId="5577" priority="4476" stopIfTrue="1" operator="between">
      <formula>#REF!</formula>
      <formula>#REF!</formula>
    </cfRule>
    <cfRule type="cellIs" dxfId="5576" priority="4478" stopIfTrue="1" operator="equal">
      <formula>#REF!</formula>
    </cfRule>
    <cfRule type="cellIs" dxfId="5575" priority="4477" stopIfTrue="1" operator="equal">
      <formula>#REF!</formula>
    </cfRule>
    <cfRule type="cellIs" dxfId="5574" priority="4479" stopIfTrue="1" operator="between">
      <formula>#REF!</formula>
      <formula>#REF!</formula>
    </cfRule>
    <cfRule type="cellIs" dxfId="5573" priority="4482" stopIfTrue="1" operator="between">
      <formula>#REF!</formula>
      <formula>#REF!</formula>
    </cfRule>
    <cfRule type="cellIs" dxfId="5572" priority="4481" stopIfTrue="1" operator="equal">
      <formula>#REF!</formula>
    </cfRule>
  </conditionalFormatting>
  <conditionalFormatting sqref="CN174:CN199">
    <cfRule type="cellIs" dxfId="5571" priority="908" stopIfTrue="1" operator="equal">
      <formula>#REF!</formula>
    </cfRule>
    <cfRule type="cellIs" dxfId="5570" priority="909" stopIfTrue="1" operator="between">
      <formula>#REF!</formula>
      <formula>#REF!</formula>
    </cfRule>
    <cfRule type="cellIs" dxfId="5569" priority="903" stopIfTrue="1" operator="between">
      <formula>#REF!</formula>
      <formula>#REF!</formula>
    </cfRule>
    <cfRule type="cellIs" dxfId="5568" priority="907" stopIfTrue="1" operator="equal">
      <formula>#REF!</formula>
    </cfRule>
    <cfRule type="cellIs" dxfId="5567" priority="904" stopIfTrue="1" operator="equal">
      <formula>#REF!</formula>
    </cfRule>
    <cfRule type="cellIs" dxfId="5566" priority="905" stopIfTrue="1" operator="equal">
      <formula>#REF!</formula>
    </cfRule>
    <cfRule type="cellIs" dxfId="5565" priority="906" stopIfTrue="1" operator="between">
      <formula>#REF!</formula>
      <formula>#REF!</formula>
    </cfRule>
    <cfRule type="cellIs" dxfId="5564" priority="902" stopIfTrue="1" operator="equal">
      <formula>#REF!</formula>
    </cfRule>
  </conditionalFormatting>
  <conditionalFormatting sqref="CN103:CO103">
    <cfRule type="cellIs" dxfId="5563" priority="9475" stopIfTrue="1" operator="equal">
      <formula>#REF!</formula>
    </cfRule>
  </conditionalFormatting>
  <conditionalFormatting sqref="CN104:CO104">
    <cfRule type="cellIs" dxfId="5562" priority="9413" stopIfTrue="1" operator="equal">
      <formula>#REF!</formula>
    </cfRule>
  </conditionalFormatting>
  <conditionalFormatting sqref="CN105:CO105">
    <cfRule type="cellIs" dxfId="5561" priority="9346" stopIfTrue="1" operator="equal">
      <formula>#REF!</formula>
    </cfRule>
    <cfRule type="cellIs" dxfId="5560" priority="9347" stopIfTrue="1" operator="equal">
      <formula>#REF!</formula>
    </cfRule>
  </conditionalFormatting>
  <conditionalFormatting sqref="CN106:CO106">
    <cfRule type="cellIs" dxfId="5559" priority="9277" stopIfTrue="1" operator="equal">
      <formula>#REF!</formula>
    </cfRule>
    <cfRule type="cellIs" dxfId="5558" priority="9278" stopIfTrue="1" operator="equal">
      <formula>#REF!</formula>
    </cfRule>
  </conditionalFormatting>
  <conditionalFormatting sqref="CN107:CO107">
    <cfRule type="cellIs" dxfId="5557" priority="9197" stopIfTrue="1" operator="equal">
      <formula>#REF!</formula>
    </cfRule>
    <cfRule type="cellIs" dxfId="5556" priority="9196" stopIfTrue="1" operator="equal">
      <formula>#REF!</formula>
    </cfRule>
  </conditionalFormatting>
  <conditionalFormatting sqref="CN108:CO108">
    <cfRule type="cellIs" dxfId="5555" priority="9106" stopIfTrue="1" operator="equal">
      <formula>#REF!</formula>
    </cfRule>
    <cfRule type="cellIs" dxfId="5554" priority="9107" stopIfTrue="1" operator="equal">
      <formula>#REF!</formula>
    </cfRule>
  </conditionalFormatting>
  <conditionalFormatting sqref="CN109:CO109">
    <cfRule type="cellIs" dxfId="5553" priority="9008" stopIfTrue="1" operator="equal">
      <formula>#REF!</formula>
    </cfRule>
    <cfRule type="cellIs" dxfId="5552" priority="9007" stopIfTrue="1" operator="equal">
      <formula>#REF!</formula>
    </cfRule>
  </conditionalFormatting>
  <conditionalFormatting sqref="CN110:CO110">
    <cfRule type="cellIs" dxfId="5551" priority="8899" stopIfTrue="1" operator="equal">
      <formula>#REF!</formula>
    </cfRule>
    <cfRule type="cellIs" dxfId="5550" priority="8900" stopIfTrue="1" operator="equal">
      <formula>#REF!</formula>
    </cfRule>
  </conditionalFormatting>
  <conditionalFormatting sqref="CN111:CO111">
    <cfRule type="cellIs" dxfId="5549" priority="8782" stopIfTrue="1" operator="equal">
      <formula>#REF!</formula>
    </cfRule>
    <cfRule type="cellIs" dxfId="5548" priority="8783" stopIfTrue="1" operator="equal">
      <formula>#REF!</formula>
    </cfRule>
  </conditionalFormatting>
  <conditionalFormatting sqref="CN112:CO112">
    <cfRule type="cellIs" dxfId="5547" priority="8656" stopIfTrue="1" operator="equal">
      <formula>#REF!</formula>
    </cfRule>
    <cfRule type="cellIs" dxfId="5546" priority="8657" stopIfTrue="1" operator="equal">
      <formula>#REF!</formula>
    </cfRule>
  </conditionalFormatting>
  <conditionalFormatting sqref="CN113:CO113">
    <cfRule type="cellIs" dxfId="5545" priority="8522" stopIfTrue="1" operator="equal">
      <formula>#REF!</formula>
    </cfRule>
    <cfRule type="cellIs" dxfId="5544" priority="8521" stopIfTrue="1" operator="equal">
      <formula>#REF!</formula>
    </cfRule>
  </conditionalFormatting>
  <conditionalFormatting sqref="CN114:CO115">
    <cfRule type="cellIs" dxfId="5543" priority="8377" stopIfTrue="1" operator="equal">
      <formula>#REF!</formula>
    </cfRule>
    <cfRule type="cellIs" dxfId="5542" priority="8378" stopIfTrue="1" operator="equal">
      <formula>#REF!</formula>
    </cfRule>
  </conditionalFormatting>
  <conditionalFormatting sqref="CN116:CO116">
    <cfRule type="cellIs" dxfId="5541" priority="8215" stopIfTrue="1" operator="equal">
      <formula>#REF!</formula>
    </cfRule>
    <cfRule type="cellIs" dxfId="5540" priority="8216" stopIfTrue="1" operator="equal">
      <formula>#REF!</formula>
    </cfRule>
  </conditionalFormatting>
  <conditionalFormatting sqref="CN117:CO129">
    <cfRule type="cellIs" dxfId="5539" priority="8072" stopIfTrue="1" operator="equal">
      <formula>#REF!</formula>
    </cfRule>
    <cfRule type="cellIs" dxfId="5538" priority="8071" stopIfTrue="1" operator="equal">
      <formula>#REF!</formula>
    </cfRule>
  </conditionalFormatting>
  <conditionalFormatting sqref="CN130:CO130">
    <cfRule type="cellIs" dxfId="5537" priority="7163" stopIfTrue="1" operator="equal">
      <formula>#REF!</formula>
    </cfRule>
    <cfRule type="cellIs" dxfId="5536" priority="7162" stopIfTrue="1" operator="equal">
      <formula>#REF!</formula>
    </cfRule>
  </conditionalFormatting>
  <conditionalFormatting sqref="CN131:CO141">
    <cfRule type="cellIs" dxfId="5535" priority="6254" stopIfTrue="1" operator="equal">
      <formula>#REF!</formula>
    </cfRule>
    <cfRule type="cellIs" dxfId="5534" priority="6253" stopIfTrue="1" operator="equal">
      <formula>#REF!</formula>
    </cfRule>
  </conditionalFormatting>
  <conditionalFormatting sqref="CN142:CO143">
    <cfRule type="cellIs" dxfId="5533" priority="5362" stopIfTrue="1" operator="equal">
      <formula>#REF!</formula>
    </cfRule>
    <cfRule type="cellIs" dxfId="5532" priority="5363" stopIfTrue="1" operator="equal">
      <formula>#REF!</formula>
    </cfRule>
  </conditionalFormatting>
  <conditionalFormatting sqref="CN144:CO173">
    <cfRule type="cellIs" dxfId="5531" priority="4471" stopIfTrue="1" operator="equal">
      <formula>#REF!</formula>
    </cfRule>
  </conditionalFormatting>
  <conditionalFormatting sqref="CN174:CO199">
    <cfRule type="cellIs" dxfId="5530" priority="898" stopIfTrue="1" operator="equal">
      <formula>#REF!</formula>
    </cfRule>
  </conditionalFormatting>
  <conditionalFormatting sqref="CN104:CP104">
    <cfRule type="cellIs" dxfId="5529" priority="9412" stopIfTrue="1" operator="equal">
      <formula>#REF!</formula>
    </cfRule>
  </conditionalFormatting>
  <conditionalFormatting sqref="CO104">
    <cfRule type="cellIs" dxfId="5528" priority="9409" stopIfTrue="1" operator="equal">
      <formula>#REF!</formula>
    </cfRule>
    <cfRule type="cellIs" dxfId="5527" priority="9408" stopIfTrue="1" operator="between">
      <formula>#REF!</formula>
      <formula>#REF!</formula>
    </cfRule>
    <cfRule type="cellIs" dxfId="5526" priority="9414" stopIfTrue="1" operator="between">
      <formula>#REF!</formula>
      <formula>#REF!</formula>
    </cfRule>
    <cfRule type="cellIs" dxfId="5525" priority="9411" stopIfTrue="1" operator="between">
      <formula>#REF!</formula>
      <formula>#REF!</formula>
    </cfRule>
    <cfRule type="cellIs" dxfId="5524" priority="9410" stopIfTrue="1" operator="equal">
      <formula>#REF!</formula>
    </cfRule>
  </conditionalFormatting>
  <conditionalFormatting sqref="CO104:CO105">
    <cfRule type="cellIs" dxfId="5523" priority="9349" stopIfTrue="1" operator="equal">
      <formula>#REF!</formula>
    </cfRule>
    <cfRule type="cellIs" dxfId="5522" priority="9350" stopIfTrue="1" operator="equal">
      <formula>#REF!</formula>
    </cfRule>
  </conditionalFormatting>
  <conditionalFormatting sqref="CO105">
    <cfRule type="cellIs" dxfId="5521" priority="9351" stopIfTrue="1" operator="between">
      <formula>#REF!</formula>
      <formula>#REF!</formula>
    </cfRule>
    <cfRule type="cellIs" dxfId="5520" priority="9348" stopIfTrue="1" operator="between">
      <formula>#REF!</formula>
      <formula>#REF!</formula>
    </cfRule>
    <cfRule type="cellIs" dxfId="5519" priority="9345" stopIfTrue="1" operator="between">
      <formula>#REF!</formula>
      <formula>#REF!</formula>
    </cfRule>
  </conditionalFormatting>
  <conditionalFormatting sqref="CO106">
    <cfRule type="cellIs" dxfId="5518" priority="9279" stopIfTrue="1" operator="between">
      <formula>#REF!</formula>
      <formula>#REF!</formula>
    </cfRule>
    <cfRule type="cellIs" dxfId="5517" priority="9275" stopIfTrue="1" operator="equal">
      <formula>#REF!</formula>
    </cfRule>
    <cfRule type="cellIs" dxfId="5516" priority="9276" stopIfTrue="1" operator="between">
      <formula>#REF!</formula>
      <formula>#REF!</formula>
    </cfRule>
    <cfRule type="cellIs" dxfId="5515" priority="9274" stopIfTrue="1" operator="equal">
      <formula>#REF!</formula>
    </cfRule>
    <cfRule type="cellIs" dxfId="5514" priority="9273" stopIfTrue="1" operator="between">
      <formula>#REF!</formula>
      <formula>#REF!</formula>
    </cfRule>
  </conditionalFormatting>
  <conditionalFormatting sqref="CO107">
    <cfRule type="cellIs" dxfId="5513" priority="9198" stopIfTrue="1" operator="between">
      <formula>#REF!</formula>
      <formula>#REF!</formula>
    </cfRule>
    <cfRule type="cellIs" dxfId="5512" priority="9194" stopIfTrue="1" operator="equal">
      <formula>#REF!</formula>
    </cfRule>
    <cfRule type="cellIs" dxfId="5511" priority="9193" stopIfTrue="1" operator="equal">
      <formula>#REF!</formula>
    </cfRule>
    <cfRule type="cellIs" dxfId="5510" priority="9192" stopIfTrue="1" operator="between">
      <formula>#REF!</formula>
      <formula>#REF!</formula>
    </cfRule>
    <cfRule type="cellIs" dxfId="5509" priority="9195" stopIfTrue="1" operator="between">
      <formula>#REF!</formula>
      <formula>#REF!</formula>
    </cfRule>
  </conditionalFormatting>
  <conditionalFormatting sqref="CO108">
    <cfRule type="cellIs" dxfId="5508" priority="9102" stopIfTrue="1" operator="between">
      <formula>#REF!</formula>
      <formula>#REF!</formula>
    </cfRule>
    <cfRule type="cellIs" dxfId="5507" priority="9103" stopIfTrue="1" operator="equal">
      <formula>#REF!</formula>
    </cfRule>
    <cfRule type="cellIs" dxfId="5506" priority="9104" stopIfTrue="1" operator="equal">
      <formula>#REF!</formula>
    </cfRule>
    <cfRule type="cellIs" dxfId="5505" priority="9105" stopIfTrue="1" operator="between">
      <formula>#REF!</formula>
      <formula>#REF!</formula>
    </cfRule>
    <cfRule type="cellIs" dxfId="5504" priority="9108" stopIfTrue="1" operator="between">
      <formula>#REF!</formula>
      <formula>#REF!</formula>
    </cfRule>
  </conditionalFormatting>
  <conditionalFormatting sqref="CO109">
    <cfRule type="cellIs" dxfId="5503" priority="9006" stopIfTrue="1" operator="between">
      <formula>#REF!</formula>
      <formula>#REF!</formula>
    </cfRule>
    <cfRule type="cellIs" dxfId="5502" priority="9005" stopIfTrue="1" operator="equal">
      <formula>#REF!</formula>
    </cfRule>
    <cfRule type="cellIs" dxfId="5501" priority="9009" stopIfTrue="1" operator="between">
      <formula>#REF!</formula>
      <formula>#REF!</formula>
    </cfRule>
    <cfRule type="cellIs" dxfId="5500" priority="9004" stopIfTrue="1" operator="equal">
      <formula>#REF!</formula>
    </cfRule>
    <cfRule type="cellIs" dxfId="5499" priority="9003" stopIfTrue="1" operator="between">
      <formula>#REF!</formula>
      <formula>#REF!</formula>
    </cfRule>
  </conditionalFormatting>
  <conditionalFormatting sqref="CO110">
    <cfRule type="cellIs" dxfId="5498" priority="8901" stopIfTrue="1" operator="between">
      <formula>#REF!</formula>
      <formula>#REF!</formula>
    </cfRule>
    <cfRule type="cellIs" dxfId="5497" priority="8896" stopIfTrue="1" operator="equal">
      <formula>#REF!</formula>
    </cfRule>
    <cfRule type="cellIs" dxfId="5496" priority="8895" stopIfTrue="1" operator="between">
      <formula>#REF!</formula>
      <formula>#REF!</formula>
    </cfRule>
    <cfRule type="cellIs" dxfId="5495" priority="8897" stopIfTrue="1" operator="equal">
      <formula>#REF!</formula>
    </cfRule>
    <cfRule type="cellIs" dxfId="5494" priority="8898" stopIfTrue="1" operator="between">
      <formula>#REF!</formula>
      <formula>#REF!</formula>
    </cfRule>
  </conditionalFormatting>
  <conditionalFormatting sqref="CO111">
    <cfRule type="cellIs" dxfId="5493" priority="8778" stopIfTrue="1" operator="between">
      <formula>#REF!</formula>
      <formula>#REF!</formula>
    </cfRule>
    <cfRule type="cellIs" dxfId="5492" priority="8779" stopIfTrue="1" operator="equal">
      <formula>#REF!</formula>
    </cfRule>
    <cfRule type="cellIs" dxfId="5491" priority="8780" stopIfTrue="1" operator="equal">
      <formula>#REF!</formula>
    </cfRule>
    <cfRule type="cellIs" dxfId="5490" priority="8781" stopIfTrue="1" operator="between">
      <formula>#REF!</formula>
      <formula>#REF!</formula>
    </cfRule>
    <cfRule type="cellIs" dxfId="5489" priority="8784" stopIfTrue="1" operator="between">
      <formula>#REF!</formula>
      <formula>#REF!</formula>
    </cfRule>
  </conditionalFormatting>
  <conditionalFormatting sqref="CO112">
    <cfRule type="cellIs" dxfId="5488" priority="8658" stopIfTrue="1" operator="between">
      <formula>#REF!</formula>
      <formula>#REF!</formula>
    </cfRule>
    <cfRule type="cellIs" dxfId="5487" priority="8655" stopIfTrue="1" operator="between">
      <formula>#REF!</formula>
      <formula>#REF!</formula>
    </cfRule>
    <cfRule type="cellIs" dxfId="5486" priority="8654" stopIfTrue="1" operator="equal">
      <formula>#REF!</formula>
    </cfRule>
    <cfRule type="cellIs" dxfId="5485" priority="8652" stopIfTrue="1" operator="between">
      <formula>#REF!</formula>
      <formula>#REF!</formula>
    </cfRule>
    <cfRule type="cellIs" dxfId="5484" priority="8653" stopIfTrue="1" operator="equal">
      <formula>#REF!</formula>
    </cfRule>
  </conditionalFormatting>
  <conditionalFormatting sqref="CO113">
    <cfRule type="cellIs" dxfId="5483" priority="8523" stopIfTrue="1" operator="between">
      <formula>#REF!</formula>
      <formula>#REF!</formula>
    </cfRule>
    <cfRule type="cellIs" dxfId="5482" priority="8520" stopIfTrue="1" operator="between">
      <formula>#REF!</formula>
      <formula>#REF!</formula>
    </cfRule>
    <cfRule type="cellIs" dxfId="5481" priority="8519" stopIfTrue="1" operator="equal">
      <formula>#REF!</formula>
    </cfRule>
    <cfRule type="cellIs" dxfId="5480" priority="8518" stopIfTrue="1" operator="equal">
      <formula>#REF!</formula>
    </cfRule>
    <cfRule type="cellIs" dxfId="5479" priority="8517" stopIfTrue="1" operator="between">
      <formula>#REF!</formula>
      <formula>#REF!</formula>
    </cfRule>
  </conditionalFormatting>
  <conditionalFormatting sqref="CO114:CO115">
    <cfRule type="cellIs" dxfId="5478" priority="8373" stopIfTrue="1" operator="between">
      <formula>#REF!</formula>
      <formula>#REF!</formula>
    </cfRule>
    <cfRule type="cellIs" dxfId="5477" priority="8374" stopIfTrue="1" operator="equal">
      <formula>#REF!</formula>
    </cfRule>
    <cfRule type="cellIs" dxfId="5476" priority="8375" stopIfTrue="1" operator="equal">
      <formula>#REF!</formula>
    </cfRule>
    <cfRule type="cellIs" dxfId="5475" priority="8376" stopIfTrue="1" operator="between">
      <formula>#REF!</formula>
      <formula>#REF!</formula>
    </cfRule>
    <cfRule type="cellIs" dxfId="5474" priority="8379" stopIfTrue="1" operator="between">
      <formula>#REF!</formula>
      <formula>#REF!</formula>
    </cfRule>
  </conditionalFormatting>
  <conditionalFormatting sqref="CO116">
    <cfRule type="cellIs" dxfId="5473" priority="8212" stopIfTrue="1" operator="equal">
      <formula>#REF!</formula>
    </cfRule>
    <cfRule type="cellIs" dxfId="5472" priority="8213" stopIfTrue="1" operator="equal">
      <formula>#REF!</formula>
    </cfRule>
    <cfRule type="cellIs" dxfId="5471" priority="8214" stopIfTrue="1" operator="between">
      <formula>#REF!</formula>
      <formula>#REF!</formula>
    </cfRule>
    <cfRule type="cellIs" dxfId="5470" priority="8217" stopIfTrue="1" operator="between">
      <formula>#REF!</formula>
      <formula>#REF!</formula>
    </cfRule>
    <cfRule type="cellIs" dxfId="5469" priority="8211" stopIfTrue="1" operator="between">
      <formula>#REF!</formula>
      <formula>#REF!</formula>
    </cfRule>
  </conditionalFormatting>
  <conditionalFormatting sqref="CO117:CO129">
    <cfRule type="cellIs" dxfId="5468" priority="8073" stopIfTrue="1" operator="between">
      <formula>#REF!</formula>
      <formula>#REF!</formula>
    </cfRule>
    <cfRule type="cellIs" dxfId="5467" priority="8069" stopIfTrue="1" operator="equal">
      <formula>#REF!</formula>
    </cfRule>
    <cfRule type="cellIs" dxfId="5466" priority="8070" stopIfTrue="1" operator="between">
      <formula>#REF!</formula>
      <formula>#REF!</formula>
    </cfRule>
    <cfRule type="cellIs" dxfId="5465" priority="8067" stopIfTrue="1" operator="between">
      <formula>#REF!</formula>
      <formula>#REF!</formula>
    </cfRule>
    <cfRule type="cellIs" dxfId="5464" priority="8068" stopIfTrue="1" operator="equal">
      <formula>#REF!</formula>
    </cfRule>
  </conditionalFormatting>
  <conditionalFormatting sqref="CO121:CO129">
    <cfRule type="cellIs" dxfId="5463" priority="7974" stopIfTrue="1" operator="between">
      <formula>#REF!</formula>
      <formula>#REF!</formula>
    </cfRule>
    <cfRule type="cellIs" dxfId="5462" priority="7973" stopIfTrue="1" operator="equal">
      <formula>#REF!</formula>
    </cfRule>
    <cfRule type="cellIs" dxfId="5461" priority="7972" stopIfTrue="1" operator="equal">
      <formula>#REF!</formula>
    </cfRule>
    <cfRule type="cellIs" dxfId="5460" priority="7971" stopIfTrue="1" operator="between">
      <formula>#REF!</formula>
      <formula>#REF!</formula>
    </cfRule>
    <cfRule type="cellIs" dxfId="5459" priority="7970" stopIfTrue="1" operator="equal">
      <formula>#REF!</formula>
    </cfRule>
    <cfRule type="cellIs" dxfId="5458" priority="7969" stopIfTrue="1" operator="equal">
      <formula>#REF!</formula>
    </cfRule>
    <cfRule type="cellIs" dxfId="5457" priority="7968" stopIfTrue="1" operator="between">
      <formula>#REF!</formula>
      <formula>#REF!</formula>
    </cfRule>
  </conditionalFormatting>
  <conditionalFormatting sqref="CO125:CO129">
    <cfRule type="cellIs" dxfId="5456" priority="7860" stopIfTrue="1" operator="between">
      <formula>#REF!</formula>
      <formula>#REF!</formula>
    </cfRule>
    <cfRule type="cellIs" dxfId="5455" priority="7861" stopIfTrue="1" operator="equal">
      <formula>#REF!</formula>
    </cfRule>
    <cfRule type="cellIs" dxfId="5454" priority="7862" stopIfTrue="1" operator="equal">
      <formula>#REF!</formula>
    </cfRule>
    <cfRule type="cellIs" dxfId="5453" priority="7863" stopIfTrue="1" operator="between">
      <formula>#REF!</formula>
      <formula>#REF!</formula>
    </cfRule>
    <cfRule type="cellIs" dxfId="5452" priority="7864" stopIfTrue="1" operator="equal">
      <formula>#REF!</formula>
    </cfRule>
    <cfRule type="cellIs" dxfId="5451" priority="7865" stopIfTrue="1" operator="equal">
      <formula>#REF!</formula>
    </cfRule>
    <cfRule type="cellIs" dxfId="5450" priority="7866" stopIfTrue="1" operator="between">
      <formula>#REF!</formula>
      <formula>#REF!</formula>
    </cfRule>
  </conditionalFormatting>
  <conditionalFormatting sqref="CO126:CO129">
    <cfRule type="cellIs" dxfId="5449" priority="7648" stopIfTrue="1" operator="equal">
      <formula>#REF!</formula>
    </cfRule>
    <cfRule type="cellIs" dxfId="5448" priority="7647" stopIfTrue="1" operator="between">
      <formula>#REF!</formula>
      <formula>#REF!</formula>
    </cfRule>
    <cfRule type="cellIs" dxfId="5447" priority="7646" stopIfTrue="1" operator="equal">
      <formula>#REF!</formula>
    </cfRule>
    <cfRule type="cellIs" dxfId="5446" priority="7649" stopIfTrue="1" operator="equal">
      <formula>#REF!</formula>
    </cfRule>
    <cfRule type="cellIs" dxfId="5445" priority="7644" stopIfTrue="1" operator="between">
      <formula>#REF!</formula>
      <formula>#REF!</formula>
    </cfRule>
    <cfRule type="cellIs" dxfId="5444" priority="7650" stopIfTrue="1" operator="between">
      <formula>#REF!</formula>
      <formula>#REF!</formula>
    </cfRule>
    <cfRule type="cellIs" dxfId="5443" priority="7645" stopIfTrue="1" operator="equal">
      <formula>#REF!</formula>
    </cfRule>
  </conditionalFormatting>
  <conditionalFormatting sqref="CO130">
    <cfRule type="cellIs" dxfId="5442" priority="6952" stopIfTrue="1" operator="equal">
      <formula>#REF!</formula>
    </cfRule>
    <cfRule type="cellIs" dxfId="5441" priority="6951" stopIfTrue="1" operator="between">
      <formula>#REF!</formula>
      <formula>#REF!</formula>
    </cfRule>
    <cfRule type="cellIs" dxfId="5440" priority="6735" stopIfTrue="1" operator="between">
      <formula>#REF!</formula>
      <formula>#REF!</formula>
    </cfRule>
    <cfRule type="cellIs" dxfId="5439" priority="6738" stopIfTrue="1" operator="between">
      <formula>#REF!</formula>
      <formula>#REF!</formula>
    </cfRule>
    <cfRule type="cellIs" dxfId="5438" priority="7164" stopIfTrue="1" operator="between">
      <formula>#REF!</formula>
      <formula>#REF!</formula>
    </cfRule>
    <cfRule type="cellIs" dxfId="5437" priority="6736" stopIfTrue="1" operator="equal">
      <formula>#REF!</formula>
    </cfRule>
    <cfRule type="cellIs" dxfId="5436" priority="6737" stopIfTrue="1" operator="equal">
      <formula>#REF!</formula>
    </cfRule>
    <cfRule type="cellIs" dxfId="5435" priority="6739" stopIfTrue="1" operator="equal">
      <formula>#REF!</formula>
    </cfRule>
    <cfRule type="cellIs" dxfId="5434" priority="6740" stopIfTrue="1" operator="equal">
      <formula>#REF!</formula>
    </cfRule>
    <cfRule type="cellIs" dxfId="5433" priority="6741" stopIfTrue="1" operator="between">
      <formula>#REF!</formula>
      <formula>#REF!</formula>
    </cfRule>
    <cfRule type="cellIs" dxfId="5432" priority="7065" stopIfTrue="1" operator="between">
      <formula>#REF!</formula>
      <formula>#REF!</formula>
    </cfRule>
    <cfRule type="cellIs" dxfId="5431" priority="7158" stopIfTrue="1" operator="between">
      <formula>#REF!</formula>
      <formula>#REF!</formula>
    </cfRule>
    <cfRule type="cellIs" dxfId="5430" priority="6956" stopIfTrue="1" operator="equal">
      <formula>#REF!</formula>
    </cfRule>
    <cfRule type="cellIs" dxfId="5429" priority="6955" stopIfTrue="1" operator="equal">
      <formula>#REF!</formula>
    </cfRule>
    <cfRule type="cellIs" dxfId="5428" priority="6954" stopIfTrue="1" operator="between">
      <formula>#REF!</formula>
      <formula>#REF!</formula>
    </cfRule>
    <cfRule type="cellIs" dxfId="5427" priority="7160" stopIfTrue="1" operator="equal">
      <formula>#REF!</formula>
    </cfRule>
    <cfRule type="cellIs" dxfId="5426" priority="7161" stopIfTrue="1" operator="between">
      <formula>#REF!</formula>
      <formula>#REF!</formula>
    </cfRule>
    <cfRule type="cellIs" dxfId="5425" priority="6953" stopIfTrue="1" operator="equal">
      <formula>#REF!</formula>
    </cfRule>
    <cfRule type="cellIs" dxfId="5424" priority="6957" stopIfTrue="1" operator="between">
      <formula>#REF!</formula>
      <formula>#REF!</formula>
    </cfRule>
    <cfRule type="cellIs" dxfId="5423" priority="7059" stopIfTrue="1" operator="between">
      <formula>#REF!</formula>
      <formula>#REF!</formula>
    </cfRule>
    <cfRule type="cellIs" dxfId="5422" priority="7060" stopIfTrue="1" operator="equal">
      <formula>#REF!</formula>
    </cfRule>
    <cfRule type="cellIs" dxfId="5421" priority="7061" stopIfTrue="1" operator="equal">
      <formula>#REF!</formula>
    </cfRule>
    <cfRule type="cellIs" dxfId="5420" priority="7062" stopIfTrue="1" operator="between">
      <formula>#REF!</formula>
      <formula>#REF!</formula>
    </cfRule>
    <cfRule type="cellIs" dxfId="5419" priority="7063" stopIfTrue="1" operator="equal">
      <formula>#REF!</formula>
    </cfRule>
    <cfRule type="cellIs" dxfId="5418" priority="7064" stopIfTrue="1" operator="equal">
      <formula>#REF!</formula>
    </cfRule>
    <cfRule type="cellIs" dxfId="5417" priority="7159" stopIfTrue="1" operator="equal">
      <formula>#REF!</formula>
    </cfRule>
  </conditionalFormatting>
  <conditionalFormatting sqref="CO131:CO141">
    <cfRule type="cellIs" dxfId="5416" priority="6150" stopIfTrue="1" operator="between">
      <formula>#REF!</formula>
      <formula>#REF!</formula>
    </cfRule>
    <cfRule type="cellIs" dxfId="5415" priority="6048" stopIfTrue="1" operator="between">
      <formula>#REF!</formula>
      <formula>#REF!</formula>
    </cfRule>
    <cfRule type="cellIs" dxfId="5414" priority="6047" stopIfTrue="1" operator="equal">
      <formula>#REF!</formula>
    </cfRule>
    <cfRule type="cellIs" dxfId="5413" priority="6045" stopIfTrue="1" operator="between">
      <formula>#REF!</formula>
      <formula>#REF!</formula>
    </cfRule>
    <cfRule type="cellIs" dxfId="5412" priority="6044" stopIfTrue="1" operator="equal">
      <formula>#REF!</formula>
    </cfRule>
    <cfRule type="cellIs" dxfId="5411" priority="6043" stopIfTrue="1" operator="equal">
      <formula>#REF!</formula>
    </cfRule>
    <cfRule type="cellIs" dxfId="5410" priority="6042" stopIfTrue="1" operator="between">
      <formula>#REF!</formula>
      <formula>#REF!</formula>
    </cfRule>
    <cfRule type="cellIs" dxfId="5409" priority="6046" stopIfTrue="1" operator="equal">
      <formula>#REF!</formula>
    </cfRule>
    <cfRule type="cellIs" dxfId="5408" priority="6249" stopIfTrue="1" operator="between">
      <formula>#REF!</formula>
      <formula>#REF!</formula>
    </cfRule>
    <cfRule type="cellIs" dxfId="5407" priority="6250" stopIfTrue="1" operator="equal">
      <formula>#REF!</formula>
    </cfRule>
    <cfRule type="cellIs" dxfId="5406" priority="6251" stopIfTrue="1" operator="equal">
      <formula>#REF!</formula>
    </cfRule>
    <cfRule type="cellIs" dxfId="5405" priority="6252" stopIfTrue="1" operator="between">
      <formula>#REF!</formula>
      <formula>#REF!</formula>
    </cfRule>
    <cfRule type="cellIs" dxfId="5404" priority="6255" stopIfTrue="1" operator="between">
      <formula>#REF!</formula>
      <formula>#REF!</formula>
    </cfRule>
    <cfRule type="cellIs" dxfId="5403" priority="5832" stopIfTrue="1" operator="between">
      <formula>#REF!</formula>
      <formula>#REF!</formula>
    </cfRule>
    <cfRule type="cellIs" dxfId="5402" priority="5831" stopIfTrue="1" operator="equal">
      <formula>#REF!</formula>
    </cfRule>
    <cfRule type="cellIs" dxfId="5401" priority="5830" stopIfTrue="1" operator="equal">
      <formula>#REF!</formula>
    </cfRule>
    <cfRule type="cellIs" dxfId="5400" priority="5829" stopIfTrue="1" operator="between">
      <formula>#REF!</formula>
      <formula>#REF!</formula>
    </cfRule>
    <cfRule type="cellIs" dxfId="5399" priority="5828" stopIfTrue="1" operator="equal">
      <formula>#REF!</formula>
    </cfRule>
    <cfRule type="cellIs" dxfId="5398" priority="5827" stopIfTrue="1" operator="equal">
      <formula>#REF!</formula>
    </cfRule>
    <cfRule type="cellIs" dxfId="5397" priority="6155" stopIfTrue="1" operator="equal">
      <formula>#REF!</formula>
    </cfRule>
    <cfRule type="cellIs" dxfId="5396" priority="6154" stopIfTrue="1" operator="equal">
      <formula>#REF!</formula>
    </cfRule>
    <cfRule type="cellIs" dxfId="5395" priority="5826" stopIfTrue="1" operator="between">
      <formula>#REF!</formula>
      <formula>#REF!</formula>
    </cfRule>
    <cfRule type="cellIs" dxfId="5394" priority="6153" stopIfTrue="1" operator="between">
      <formula>#REF!</formula>
      <formula>#REF!</formula>
    </cfRule>
    <cfRule type="cellIs" dxfId="5393" priority="6152" stopIfTrue="1" operator="equal">
      <formula>#REF!</formula>
    </cfRule>
    <cfRule type="cellIs" dxfId="5392" priority="6151" stopIfTrue="1" operator="equal">
      <formula>#REF!</formula>
    </cfRule>
    <cfRule type="cellIs" dxfId="5391" priority="6156" stopIfTrue="1" operator="between">
      <formula>#REF!</formula>
      <formula>#REF!</formula>
    </cfRule>
  </conditionalFormatting>
  <conditionalFormatting sqref="CO142:CO143">
    <cfRule type="cellIs" dxfId="5390" priority="5360" stopIfTrue="1" operator="equal">
      <formula>#REF!</formula>
    </cfRule>
    <cfRule type="cellIs" dxfId="5389" priority="5151" stopIfTrue="1" operator="between">
      <formula>#REF!</formula>
      <formula>#REF!</formula>
    </cfRule>
    <cfRule type="cellIs" dxfId="5388" priority="5152" stopIfTrue="1" operator="equal">
      <formula>#REF!</formula>
    </cfRule>
    <cfRule type="cellIs" dxfId="5387" priority="4938" stopIfTrue="1" operator="between">
      <formula>#REF!</formula>
      <formula>#REF!</formula>
    </cfRule>
    <cfRule type="cellIs" dxfId="5386" priority="5153" stopIfTrue="1" operator="equal">
      <formula>#REF!</formula>
    </cfRule>
    <cfRule type="cellIs" dxfId="5385" priority="5261" stopIfTrue="1" operator="equal">
      <formula>#REF!</formula>
    </cfRule>
    <cfRule type="cellIs" dxfId="5384" priority="5262" stopIfTrue="1" operator="between">
      <formula>#REF!</formula>
      <formula>#REF!</formula>
    </cfRule>
    <cfRule type="cellIs" dxfId="5383" priority="5263" stopIfTrue="1" operator="equal">
      <formula>#REF!</formula>
    </cfRule>
    <cfRule type="cellIs" dxfId="5382" priority="5264" stopIfTrue="1" operator="equal">
      <formula>#REF!</formula>
    </cfRule>
    <cfRule type="cellIs" dxfId="5381" priority="5265" stopIfTrue="1" operator="between">
      <formula>#REF!</formula>
      <formula>#REF!</formula>
    </cfRule>
    <cfRule type="cellIs" dxfId="5380" priority="5358" stopIfTrue="1" operator="between">
      <formula>#REF!</formula>
      <formula>#REF!</formula>
    </cfRule>
    <cfRule type="cellIs" dxfId="5379" priority="5359" stopIfTrue="1" operator="equal">
      <formula>#REF!</formula>
    </cfRule>
    <cfRule type="cellIs" dxfId="5378" priority="5157" stopIfTrue="1" operator="between">
      <formula>#REF!</formula>
      <formula>#REF!</formula>
    </cfRule>
    <cfRule type="cellIs" dxfId="5377" priority="5361" stopIfTrue="1" operator="between">
      <formula>#REF!</formula>
      <formula>#REF!</formula>
    </cfRule>
    <cfRule type="cellIs" dxfId="5376" priority="5364" stopIfTrue="1" operator="between">
      <formula>#REF!</formula>
      <formula>#REF!</formula>
    </cfRule>
    <cfRule type="cellIs" dxfId="5375" priority="5154" stopIfTrue="1" operator="between">
      <formula>#REF!</formula>
      <formula>#REF!</formula>
    </cfRule>
    <cfRule type="cellIs" dxfId="5374" priority="4940" stopIfTrue="1" operator="equal">
      <formula>#REF!</formula>
    </cfRule>
    <cfRule type="cellIs" dxfId="5373" priority="5156" stopIfTrue="1" operator="equal">
      <formula>#REF!</formula>
    </cfRule>
    <cfRule type="cellIs" dxfId="5372" priority="4934" stopIfTrue="1" operator="equal">
      <formula>#REF!</formula>
    </cfRule>
    <cfRule type="cellIs" dxfId="5371" priority="4935" stopIfTrue="1" operator="between">
      <formula>#REF!</formula>
      <formula>#REF!</formula>
    </cfRule>
    <cfRule type="cellIs" dxfId="5370" priority="4939" stopIfTrue="1" operator="equal">
      <formula>#REF!</formula>
    </cfRule>
    <cfRule type="cellIs" dxfId="5369" priority="5155" stopIfTrue="1" operator="equal">
      <formula>#REF!</formula>
    </cfRule>
    <cfRule type="cellIs" dxfId="5368" priority="4936" stopIfTrue="1" operator="equal">
      <formula>#REF!</formula>
    </cfRule>
    <cfRule type="cellIs" dxfId="5367" priority="4937" stopIfTrue="1" operator="equal">
      <formula>#REF!</formula>
    </cfRule>
    <cfRule type="cellIs" dxfId="5366" priority="5260" stopIfTrue="1" operator="equal">
      <formula>#REF!</formula>
    </cfRule>
    <cfRule type="cellIs" dxfId="5365" priority="5259" stopIfTrue="1" operator="between">
      <formula>#REF!</formula>
      <formula>#REF!</formula>
    </cfRule>
    <cfRule type="cellIs" dxfId="5364" priority="4941" stopIfTrue="1" operator="between">
      <formula>#REF!</formula>
      <formula>#REF!</formula>
    </cfRule>
  </conditionalFormatting>
  <conditionalFormatting sqref="CO144:CO173">
    <cfRule type="cellIs" dxfId="5363" priority="4047" stopIfTrue="1" operator="between">
      <formula>#REF!</formula>
      <formula>#REF!</formula>
    </cfRule>
    <cfRule type="cellIs" dxfId="5362" priority="4367" stopIfTrue="1" operator="equal">
      <formula>#REF!</formula>
    </cfRule>
    <cfRule type="cellIs" dxfId="5361" priority="4368" stopIfTrue="1" operator="between">
      <formula>#REF!</formula>
      <formula>#REF!</formula>
    </cfRule>
    <cfRule type="cellIs" dxfId="5360" priority="4048" stopIfTrue="1" operator="equal">
      <formula>#REF!</formula>
    </cfRule>
    <cfRule type="cellIs" dxfId="5359" priority="4049" stopIfTrue="1" operator="equal">
      <formula>#REF!</formula>
    </cfRule>
    <cfRule type="cellIs" dxfId="5358" priority="4050" stopIfTrue="1" operator="between">
      <formula>#REF!</formula>
      <formula>#REF!</formula>
    </cfRule>
    <cfRule type="cellIs" dxfId="5357" priority="4265" stopIfTrue="1" operator="equal">
      <formula>#REF!</formula>
    </cfRule>
    <cfRule type="cellIs" dxfId="5356" priority="4264" stopIfTrue="1" operator="equal">
      <formula>#REF!</formula>
    </cfRule>
    <cfRule type="cellIs" dxfId="5355" priority="4263" stopIfTrue="1" operator="between">
      <formula>#REF!</formula>
      <formula>#REF!</formula>
    </cfRule>
    <cfRule type="cellIs" dxfId="5354" priority="4262" stopIfTrue="1" operator="equal">
      <formula>#REF!</formula>
    </cfRule>
    <cfRule type="cellIs" dxfId="5353" priority="4369" stopIfTrue="1" operator="equal">
      <formula>#REF!</formula>
    </cfRule>
    <cfRule type="cellIs" dxfId="5352" priority="4261" stopIfTrue="1" operator="equal">
      <formula>#REF!</formula>
    </cfRule>
    <cfRule type="cellIs" dxfId="5351" priority="4260" stopIfTrue="1" operator="between">
      <formula>#REF!</formula>
      <formula>#REF!</formula>
    </cfRule>
    <cfRule type="cellIs" dxfId="5350" priority="4259" stopIfTrue="1" operator="equal">
      <formula>#REF!</formula>
    </cfRule>
    <cfRule type="cellIs" dxfId="5349" priority="4370" stopIfTrue="1" operator="equal">
      <formula>#REF!</formula>
    </cfRule>
    <cfRule type="cellIs" dxfId="5348" priority="4371" stopIfTrue="1" operator="between">
      <formula>#REF!</formula>
      <formula>#REF!</formula>
    </cfRule>
    <cfRule type="cellIs" dxfId="5347" priority="4372" stopIfTrue="1" operator="equal">
      <formula>#REF!</formula>
    </cfRule>
    <cfRule type="cellIs" dxfId="5346" priority="4373" stopIfTrue="1" operator="equal">
      <formula>#REF!</formula>
    </cfRule>
    <cfRule type="cellIs" dxfId="5345" priority="4473" stopIfTrue="1" operator="between">
      <formula>#REF!</formula>
      <formula>#REF!</formula>
    </cfRule>
    <cfRule type="cellIs" dxfId="5344" priority="4472" stopIfTrue="1" operator="equal">
      <formula>#REF!</formula>
    </cfRule>
    <cfRule type="cellIs" dxfId="5343" priority="4470" stopIfTrue="1" operator="between">
      <formula>#REF!</formula>
      <formula>#REF!</formula>
    </cfRule>
    <cfRule type="cellIs" dxfId="5342" priority="4469" stopIfTrue="1" operator="equal">
      <formula>#REF!</formula>
    </cfRule>
    <cfRule type="cellIs" dxfId="5341" priority="4266" stopIfTrue="1" operator="between">
      <formula>#REF!</formula>
      <formula>#REF!</formula>
    </cfRule>
    <cfRule type="cellIs" dxfId="5340" priority="4468" stopIfTrue="1" operator="equal">
      <formula>#REF!</formula>
    </cfRule>
    <cfRule type="cellIs" dxfId="5339" priority="4467" stopIfTrue="1" operator="between">
      <formula>#REF!</formula>
      <formula>#REF!</formula>
    </cfRule>
    <cfRule type="cellIs" dxfId="5338" priority="4466" stopIfTrue="1" operator="equal">
      <formula>#REF!</formula>
    </cfRule>
    <cfRule type="cellIs" dxfId="5337" priority="4043" stopIfTrue="1" operator="equal">
      <formula>#REF!</formula>
    </cfRule>
    <cfRule type="cellIs" dxfId="5336" priority="4044" stopIfTrue="1" operator="between">
      <formula>#REF!</formula>
      <formula>#REF!</formula>
    </cfRule>
    <cfRule type="cellIs" dxfId="5335" priority="4374" stopIfTrue="1" operator="between">
      <formula>#REF!</formula>
      <formula>#REF!</formula>
    </cfRule>
    <cfRule type="cellIs" dxfId="5334" priority="4045" stopIfTrue="1" operator="equal">
      <formula>#REF!</formula>
    </cfRule>
    <cfRule type="cellIs" dxfId="5333" priority="4046" stopIfTrue="1" operator="equal">
      <formula>#REF!</formula>
    </cfRule>
  </conditionalFormatting>
  <conditionalFormatting sqref="CO174:CO199">
    <cfRule type="cellIs" dxfId="5332" priority="691" stopIfTrue="1" operator="equal">
      <formula>#REF!</formula>
    </cfRule>
    <cfRule type="cellIs" dxfId="5331" priority="477" stopIfTrue="1" operator="between">
      <formula>#REF!</formula>
      <formula>#REF!</formula>
    </cfRule>
    <cfRule type="cellIs" dxfId="5330" priority="476" stopIfTrue="1" operator="equal">
      <formula>#REF!</formula>
    </cfRule>
    <cfRule type="cellIs" dxfId="5329" priority="474" stopIfTrue="1" operator="between">
      <formula>#REF!</formula>
      <formula>#REF!</formula>
    </cfRule>
    <cfRule type="cellIs" dxfId="5328" priority="473" stopIfTrue="1" operator="equal">
      <formula>#REF!</formula>
    </cfRule>
    <cfRule type="cellIs" dxfId="5327" priority="472" stopIfTrue="1" operator="equal">
      <formula>#REF!</formula>
    </cfRule>
    <cfRule type="cellIs" dxfId="5326" priority="471" stopIfTrue="1" operator="between">
      <formula>#REF!</formula>
      <formula>#REF!</formula>
    </cfRule>
    <cfRule type="cellIs" dxfId="5325" priority="470" stopIfTrue="1" operator="equal">
      <formula>#REF!</formula>
    </cfRule>
    <cfRule type="cellIs" dxfId="5324" priority="686" stopIfTrue="1" operator="equal">
      <formula>#REF!</formula>
    </cfRule>
    <cfRule type="cellIs" dxfId="5323" priority="687" stopIfTrue="1" operator="between">
      <formula>#REF!</formula>
      <formula>#REF!</formula>
    </cfRule>
    <cfRule type="cellIs" dxfId="5322" priority="688" stopIfTrue="1" operator="equal">
      <formula>#REF!</formula>
    </cfRule>
    <cfRule type="cellIs" dxfId="5321" priority="797" stopIfTrue="1" operator="equal">
      <formula>#REF!</formula>
    </cfRule>
    <cfRule type="cellIs" dxfId="5320" priority="799" stopIfTrue="1" operator="equal">
      <formula>#REF!</formula>
    </cfRule>
    <cfRule type="cellIs" dxfId="5319" priority="475" stopIfTrue="1" operator="equal">
      <formula>#REF!</formula>
    </cfRule>
    <cfRule type="cellIs" dxfId="5318" priority="800" stopIfTrue="1" operator="equal">
      <formula>#REF!</formula>
    </cfRule>
    <cfRule type="cellIs" dxfId="5317" priority="796" stopIfTrue="1" operator="equal">
      <formula>#REF!</formula>
    </cfRule>
    <cfRule type="cellIs" dxfId="5316" priority="895" stopIfTrue="1" operator="equal">
      <formula>#REF!</formula>
    </cfRule>
    <cfRule type="cellIs" dxfId="5315" priority="801" stopIfTrue="1" operator="between">
      <formula>#REF!</formula>
      <formula>#REF!</formula>
    </cfRule>
    <cfRule type="cellIs" dxfId="5314" priority="896" stopIfTrue="1" operator="equal">
      <formula>#REF!</formula>
    </cfRule>
    <cfRule type="cellIs" dxfId="5313" priority="897" stopIfTrue="1" operator="between">
      <formula>#REF!</formula>
      <formula>#REF!</formula>
    </cfRule>
    <cfRule type="cellIs" dxfId="5312" priority="899" stopIfTrue="1" operator="equal">
      <formula>#REF!</formula>
    </cfRule>
    <cfRule type="cellIs" dxfId="5311" priority="690" stopIfTrue="1" operator="between">
      <formula>#REF!</formula>
      <formula>#REF!</formula>
    </cfRule>
    <cfRule type="cellIs" dxfId="5310" priority="689" stopIfTrue="1" operator="equal">
      <formula>#REF!</formula>
    </cfRule>
    <cfRule type="cellIs" dxfId="5309" priority="798" stopIfTrue="1" operator="between">
      <formula>#REF!</formula>
      <formula>#REF!</formula>
    </cfRule>
    <cfRule type="cellIs" dxfId="5308" priority="893" stopIfTrue="1" operator="equal">
      <formula>#REF!</formula>
    </cfRule>
    <cfRule type="cellIs" dxfId="5307" priority="900" stopIfTrue="1" operator="between">
      <formula>#REF!</formula>
      <formula>#REF!</formula>
    </cfRule>
    <cfRule type="cellIs" dxfId="5306" priority="794" stopIfTrue="1" operator="equal">
      <formula>#REF!</formula>
    </cfRule>
    <cfRule type="cellIs" dxfId="5305" priority="795" stopIfTrue="1" operator="between">
      <formula>#REF!</formula>
      <formula>#REF!</formula>
    </cfRule>
    <cfRule type="cellIs" dxfId="5304" priority="693" stopIfTrue="1" operator="between">
      <formula>#REF!</formula>
      <formula>#REF!</formula>
    </cfRule>
    <cfRule type="cellIs" dxfId="5303" priority="692" stopIfTrue="1" operator="equal">
      <formula>#REF!</formula>
    </cfRule>
    <cfRule type="cellIs" dxfId="5302" priority="894" stopIfTrue="1" operator="between">
      <formula>#REF!</formula>
      <formula>#REF!</formula>
    </cfRule>
  </conditionalFormatting>
  <conditionalFormatting sqref="CO105:CP105">
    <cfRule type="cellIs" dxfId="5301" priority="9341" stopIfTrue="1" operator="equal">
      <formula>#REF!</formula>
    </cfRule>
  </conditionalFormatting>
  <conditionalFormatting sqref="CO106:CP106">
    <cfRule type="cellIs" dxfId="5300" priority="9265" stopIfTrue="1" operator="equal">
      <formula>#REF!</formula>
    </cfRule>
    <cfRule type="cellIs" dxfId="5299" priority="9266" stopIfTrue="1" operator="equal">
      <formula>#REF!</formula>
    </cfRule>
  </conditionalFormatting>
  <conditionalFormatting sqref="CO107:CP107">
    <cfRule type="cellIs" dxfId="5298" priority="9187" stopIfTrue="1" operator="equal">
      <formula>#REF!</formula>
    </cfRule>
    <cfRule type="cellIs" dxfId="5297" priority="9188" stopIfTrue="1" operator="equal">
      <formula>#REF!</formula>
    </cfRule>
  </conditionalFormatting>
  <conditionalFormatting sqref="CO108:CP108">
    <cfRule type="cellIs" dxfId="5296" priority="9098" stopIfTrue="1" operator="equal">
      <formula>#REF!</formula>
    </cfRule>
    <cfRule type="cellIs" dxfId="5295" priority="9097" stopIfTrue="1" operator="equal">
      <formula>#REF!</formula>
    </cfRule>
  </conditionalFormatting>
  <conditionalFormatting sqref="CO109:CP109">
    <cfRule type="cellIs" dxfId="5294" priority="8999" stopIfTrue="1" operator="equal">
      <formula>#REF!</formula>
    </cfRule>
    <cfRule type="cellIs" dxfId="5293" priority="8998" stopIfTrue="1" operator="equal">
      <formula>#REF!</formula>
    </cfRule>
  </conditionalFormatting>
  <conditionalFormatting sqref="CO110:CP110">
    <cfRule type="cellIs" dxfId="5292" priority="8891" stopIfTrue="1" operator="equal">
      <formula>#REF!</formula>
    </cfRule>
    <cfRule type="cellIs" dxfId="5291" priority="8890" stopIfTrue="1" operator="equal">
      <formula>#REF!</formula>
    </cfRule>
  </conditionalFormatting>
  <conditionalFormatting sqref="CO111:CP111">
    <cfRule type="cellIs" dxfId="5290" priority="8773" stopIfTrue="1" operator="equal">
      <formula>#REF!</formula>
    </cfRule>
    <cfRule type="cellIs" dxfId="5289" priority="8774" stopIfTrue="1" operator="equal">
      <formula>#REF!</formula>
    </cfRule>
  </conditionalFormatting>
  <conditionalFormatting sqref="CO112:CP112">
    <cfRule type="cellIs" dxfId="5288" priority="8647" stopIfTrue="1" operator="equal">
      <formula>#REF!</formula>
    </cfRule>
    <cfRule type="cellIs" dxfId="5287" priority="8648" stopIfTrue="1" operator="equal">
      <formula>#REF!</formula>
    </cfRule>
  </conditionalFormatting>
  <conditionalFormatting sqref="CO113:CP113">
    <cfRule type="cellIs" dxfId="5286" priority="8513" stopIfTrue="1" operator="equal">
      <formula>#REF!</formula>
    </cfRule>
    <cfRule type="cellIs" dxfId="5285" priority="8512" stopIfTrue="1" operator="equal">
      <formula>#REF!</formula>
    </cfRule>
  </conditionalFormatting>
  <conditionalFormatting sqref="CO114:CP115">
    <cfRule type="cellIs" dxfId="5284" priority="8369" stopIfTrue="1" operator="equal">
      <formula>#REF!</formula>
    </cfRule>
    <cfRule type="cellIs" dxfId="5283" priority="8368" stopIfTrue="1" operator="equal">
      <formula>#REF!</formula>
    </cfRule>
  </conditionalFormatting>
  <conditionalFormatting sqref="CO116:CP116">
    <cfRule type="cellIs" dxfId="5282" priority="8207" stopIfTrue="1" operator="equal">
      <formula>#REF!</formula>
    </cfRule>
    <cfRule type="cellIs" dxfId="5281" priority="8206" stopIfTrue="1" operator="equal">
      <formula>#REF!</formula>
    </cfRule>
  </conditionalFormatting>
  <conditionalFormatting sqref="CO117:CP129">
    <cfRule type="cellIs" dxfId="5280" priority="8062" stopIfTrue="1" operator="equal">
      <formula>#REF!</formula>
    </cfRule>
    <cfRule type="cellIs" dxfId="5279" priority="8063" stopIfTrue="1" operator="equal">
      <formula>#REF!</formula>
    </cfRule>
  </conditionalFormatting>
  <conditionalFormatting sqref="CO121:CP129">
    <cfRule type="cellIs" dxfId="5278" priority="7963" stopIfTrue="1" operator="equal">
      <formula>#REF!</formula>
    </cfRule>
    <cfRule type="cellIs" dxfId="5277" priority="7964" stopIfTrue="1" operator="equal">
      <formula>#REF!</formula>
    </cfRule>
  </conditionalFormatting>
  <conditionalFormatting sqref="CO125:CP129">
    <cfRule type="cellIs" dxfId="5276" priority="7856" stopIfTrue="1" operator="equal">
      <formula>#REF!</formula>
    </cfRule>
    <cfRule type="cellIs" dxfId="5275" priority="7855" stopIfTrue="1" operator="equal">
      <formula>#REF!</formula>
    </cfRule>
  </conditionalFormatting>
  <conditionalFormatting sqref="CO126:CP129">
    <cfRule type="cellIs" dxfId="5274" priority="7640" stopIfTrue="1" operator="equal">
      <formula>#REF!</formula>
    </cfRule>
    <cfRule type="cellIs" dxfId="5273" priority="7639" stopIfTrue="1" operator="equal">
      <formula>#REF!</formula>
    </cfRule>
  </conditionalFormatting>
  <conditionalFormatting sqref="CO130:CP130">
    <cfRule type="cellIs" dxfId="5272" priority="6731" stopIfTrue="1" operator="equal">
      <formula>#REF!</formula>
    </cfRule>
    <cfRule type="cellIs" dxfId="5271" priority="7054" stopIfTrue="1" operator="equal">
      <formula>#REF!</formula>
    </cfRule>
    <cfRule type="cellIs" dxfId="5270" priority="7055" stopIfTrue="1" operator="equal">
      <formula>#REF!</formula>
    </cfRule>
    <cfRule type="cellIs" dxfId="5269" priority="7153" stopIfTrue="1" operator="equal">
      <formula>#REF!</formula>
    </cfRule>
    <cfRule type="cellIs" dxfId="5268" priority="6730" stopIfTrue="1" operator="equal">
      <formula>#REF!</formula>
    </cfRule>
    <cfRule type="cellIs" dxfId="5267" priority="6946" stopIfTrue="1" operator="equal">
      <formula>#REF!</formula>
    </cfRule>
    <cfRule type="cellIs" dxfId="5266" priority="6947" stopIfTrue="1" operator="equal">
      <formula>#REF!</formula>
    </cfRule>
    <cfRule type="cellIs" dxfId="5265" priority="7154" stopIfTrue="1" operator="equal">
      <formula>#REF!</formula>
    </cfRule>
  </conditionalFormatting>
  <conditionalFormatting sqref="CO131:CP141">
    <cfRule type="cellIs" dxfId="5264" priority="6244" stopIfTrue="1" operator="equal">
      <formula>#REF!</formula>
    </cfRule>
    <cfRule type="cellIs" dxfId="5263" priority="6145" stopIfTrue="1" operator="equal">
      <formula>#REF!</formula>
    </cfRule>
    <cfRule type="cellIs" dxfId="5262" priority="6146" stopIfTrue="1" operator="equal">
      <formula>#REF!</formula>
    </cfRule>
    <cfRule type="cellIs" dxfId="5261" priority="5822" stopIfTrue="1" operator="equal">
      <formula>#REF!</formula>
    </cfRule>
    <cfRule type="cellIs" dxfId="5260" priority="5821" stopIfTrue="1" operator="equal">
      <formula>#REF!</formula>
    </cfRule>
    <cfRule type="cellIs" dxfId="5259" priority="6245" stopIfTrue="1" operator="equal">
      <formula>#REF!</formula>
    </cfRule>
    <cfRule type="cellIs" dxfId="5258" priority="6038" stopIfTrue="1" operator="equal">
      <formula>#REF!</formula>
    </cfRule>
    <cfRule type="cellIs" dxfId="5257" priority="6037" stopIfTrue="1" operator="equal">
      <formula>#REF!</formula>
    </cfRule>
  </conditionalFormatting>
  <conditionalFormatting sqref="CO142:CP143">
    <cfRule type="cellIs" dxfId="5256" priority="4930" stopIfTrue="1" operator="equal">
      <formula>#REF!</formula>
    </cfRule>
    <cfRule type="cellIs" dxfId="5255" priority="5255" stopIfTrue="1" operator="equal">
      <formula>#REF!</formula>
    </cfRule>
    <cfRule type="cellIs" dxfId="5254" priority="5254" stopIfTrue="1" operator="equal">
      <formula>#REF!</formula>
    </cfRule>
    <cfRule type="cellIs" dxfId="5253" priority="5353" stopIfTrue="1" operator="equal">
      <formula>#REF!</formula>
    </cfRule>
    <cfRule type="cellIs" dxfId="5252" priority="5354" stopIfTrue="1" operator="equal">
      <formula>#REF!</formula>
    </cfRule>
    <cfRule type="cellIs" dxfId="5251" priority="5146" stopIfTrue="1" operator="equal">
      <formula>#REF!</formula>
    </cfRule>
    <cfRule type="cellIs" dxfId="5250" priority="5147" stopIfTrue="1" operator="equal">
      <formula>#REF!</formula>
    </cfRule>
  </conditionalFormatting>
  <conditionalFormatting sqref="CO144:CP173">
    <cfRule type="cellIs" dxfId="5249" priority="4255" stopIfTrue="1" operator="equal">
      <formula>#REF!</formula>
    </cfRule>
    <cfRule type="cellIs" dxfId="5248" priority="4462" stopIfTrue="1" operator="equal">
      <formula>#REF!</formula>
    </cfRule>
    <cfRule type="cellIs" dxfId="5247" priority="4039" stopIfTrue="1" operator="equal">
      <formula>#REF!</formula>
    </cfRule>
    <cfRule type="cellIs" dxfId="5246" priority="4363" stopIfTrue="1" operator="equal">
      <formula>#REF!</formula>
    </cfRule>
  </conditionalFormatting>
  <conditionalFormatting sqref="CO174:CP199">
    <cfRule type="cellIs" dxfId="5245" priority="889" stopIfTrue="1" operator="equal">
      <formula>#REF!</formula>
    </cfRule>
    <cfRule type="cellIs" dxfId="5244" priority="682" stopIfTrue="1" operator="equal">
      <formula>#REF!</formula>
    </cfRule>
    <cfRule type="cellIs" dxfId="5243" priority="790" stopIfTrue="1" operator="equal">
      <formula>#REF!</formula>
    </cfRule>
    <cfRule type="cellIs" dxfId="5242" priority="466" stopIfTrue="1" operator="equal">
      <formula>#REF!</formula>
    </cfRule>
  </conditionalFormatting>
  <conditionalFormatting sqref="CO105:CQ105">
    <cfRule type="cellIs" dxfId="5241" priority="9340" stopIfTrue="1" operator="equal">
      <formula>#REF!</formula>
    </cfRule>
  </conditionalFormatting>
  <conditionalFormatting sqref="CP105">
    <cfRule type="cellIs" dxfId="5240" priority="9338" stopIfTrue="1" operator="equal">
      <formula>#REF!</formula>
    </cfRule>
    <cfRule type="cellIs" dxfId="5239" priority="9342" stopIfTrue="1" operator="between">
      <formula>#REF!</formula>
      <formula>#REF!</formula>
    </cfRule>
    <cfRule type="cellIs" dxfId="5238" priority="9339" stopIfTrue="1" operator="between">
      <formula>#REF!</formula>
      <formula>#REF!</formula>
    </cfRule>
    <cfRule type="cellIs" dxfId="5237" priority="9336" stopIfTrue="1" operator="between">
      <formula>#REF!</formula>
      <formula>#REF!</formula>
    </cfRule>
    <cfRule type="cellIs" dxfId="5236" priority="9337" stopIfTrue="1" operator="equal">
      <formula>#REF!</formula>
    </cfRule>
  </conditionalFormatting>
  <conditionalFormatting sqref="CP105:CP106">
    <cfRule type="cellIs" dxfId="5235" priority="9269" stopIfTrue="1" operator="equal">
      <formula>#REF!</formula>
    </cfRule>
    <cfRule type="cellIs" dxfId="5234" priority="9268" stopIfTrue="1" operator="equal">
      <formula>#REF!</formula>
    </cfRule>
  </conditionalFormatting>
  <conditionalFormatting sqref="CP106">
    <cfRule type="cellIs" dxfId="5233" priority="9270" stopIfTrue="1" operator="between">
      <formula>#REF!</formula>
      <formula>#REF!</formula>
    </cfRule>
    <cfRule type="cellIs" dxfId="5232" priority="9267" stopIfTrue="1" operator="between">
      <formula>#REF!</formula>
      <formula>#REF!</formula>
    </cfRule>
    <cfRule type="cellIs" dxfId="5231" priority="9264" stopIfTrue="1" operator="between">
      <formula>#REF!</formula>
      <formula>#REF!</formula>
    </cfRule>
  </conditionalFormatting>
  <conditionalFormatting sqref="CP107">
    <cfRule type="cellIs" dxfId="5230" priority="9184" stopIfTrue="1" operator="equal">
      <formula>#REF!</formula>
    </cfRule>
    <cfRule type="cellIs" dxfId="5229" priority="9189" stopIfTrue="1" operator="between">
      <formula>#REF!</formula>
      <formula>#REF!</formula>
    </cfRule>
    <cfRule type="cellIs" dxfId="5228" priority="9186" stopIfTrue="1" operator="between">
      <formula>#REF!</formula>
      <formula>#REF!</formula>
    </cfRule>
    <cfRule type="cellIs" dxfId="5227" priority="9185" stopIfTrue="1" operator="equal">
      <formula>#REF!</formula>
    </cfRule>
    <cfRule type="cellIs" dxfId="5226" priority="9183" stopIfTrue="1" operator="between">
      <formula>#REF!</formula>
      <formula>#REF!</formula>
    </cfRule>
  </conditionalFormatting>
  <conditionalFormatting sqref="CP108">
    <cfRule type="cellIs" dxfId="5225" priority="9099" stopIfTrue="1" operator="between">
      <formula>#REF!</formula>
      <formula>#REF!</formula>
    </cfRule>
    <cfRule type="cellIs" dxfId="5224" priority="9096" stopIfTrue="1" operator="between">
      <formula>#REF!</formula>
      <formula>#REF!</formula>
    </cfRule>
    <cfRule type="cellIs" dxfId="5223" priority="9095" stopIfTrue="1" operator="equal">
      <formula>#REF!</formula>
    </cfRule>
    <cfRule type="cellIs" dxfId="5222" priority="9094" stopIfTrue="1" operator="equal">
      <formula>#REF!</formula>
    </cfRule>
    <cfRule type="cellIs" dxfId="5221" priority="9093" stopIfTrue="1" operator="between">
      <formula>#REF!</formula>
      <formula>#REF!</formula>
    </cfRule>
  </conditionalFormatting>
  <conditionalFormatting sqref="CP109">
    <cfRule type="cellIs" dxfId="5220" priority="8994" stopIfTrue="1" operator="between">
      <formula>#REF!</formula>
      <formula>#REF!</formula>
    </cfRule>
    <cfRule type="cellIs" dxfId="5219" priority="9000" stopIfTrue="1" operator="between">
      <formula>#REF!</formula>
      <formula>#REF!</formula>
    </cfRule>
    <cfRule type="cellIs" dxfId="5218" priority="8995" stopIfTrue="1" operator="equal">
      <formula>#REF!</formula>
    </cfRule>
    <cfRule type="cellIs" dxfId="5217" priority="8996" stopIfTrue="1" operator="equal">
      <formula>#REF!</formula>
    </cfRule>
    <cfRule type="cellIs" dxfId="5216" priority="8997" stopIfTrue="1" operator="between">
      <formula>#REF!</formula>
      <formula>#REF!</formula>
    </cfRule>
  </conditionalFormatting>
  <conditionalFormatting sqref="CP110">
    <cfRule type="cellIs" dxfId="5215" priority="8889" stopIfTrue="1" operator="between">
      <formula>#REF!</formula>
      <formula>#REF!</formula>
    </cfRule>
    <cfRule type="cellIs" dxfId="5214" priority="8888" stopIfTrue="1" operator="equal">
      <formula>#REF!</formula>
    </cfRule>
    <cfRule type="cellIs" dxfId="5213" priority="8887" stopIfTrue="1" operator="equal">
      <formula>#REF!</formula>
    </cfRule>
    <cfRule type="cellIs" dxfId="5212" priority="8886" stopIfTrue="1" operator="between">
      <formula>#REF!</formula>
      <formula>#REF!</formula>
    </cfRule>
    <cfRule type="cellIs" dxfId="5211" priority="8892" stopIfTrue="1" operator="between">
      <formula>#REF!</formula>
      <formula>#REF!</formula>
    </cfRule>
  </conditionalFormatting>
  <conditionalFormatting sqref="CP111">
    <cfRule type="cellIs" dxfId="5210" priority="8772" stopIfTrue="1" operator="between">
      <formula>#REF!</formula>
      <formula>#REF!</formula>
    </cfRule>
    <cfRule type="cellIs" dxfId="5209" priority="8771" stopIfTrue="1" operator="equal">
      <formula>#REF!</formula>
    </cfRule>
    <cfRule type="cellIs" dxfId="5208" priority="8770" stopIfTrue="1" operator="equal">
      <formula>#REF!</formula>
    </cfRule>
    <cfRule type="cellIs" dxfId="5207" priority="8769" stopIfTrue="1" operator="between">
      <formula>#REF!</formula>
      <formula>#REF!</formula>
    </cfRule>
    <cfRule type="cellIs" dxfId="5206" priority="8775" stopIfTrue="1" operator="between">
      <formula>#REF!</formula>
      <formula>#REF!</formula>
    </cfRule>
  </conditionalFormatting>
  <conditionalFormatting sqref="CP112">
    <cfRule type="cellIs" dxfId="5205" priority="8644" stopIfTrue="1" operator="equal">
      <formula>#REF!</formula>
    </cfRule>
    <cfRule type="cellIs" dxfId="5204" priority="8643" stopIfTrue="1" operator="between">
      <formula>#REF!</formula>
      <formula>#REF!</formula>
    </cfRule>
    <cfRule type="cellIs" dxfId="5203" priority="8649" stopIfTrue="1" operator="between">
      <formula>#REF!</formula>
      <formula>#REF!</formula>
    </cfRule>
    <cfRule type="cellIs" dxfId="5202" priority="8646" stopIfTrue="1" operator="between">
      <formula>#REF!</formula>
      <formula>#REF!</formula>
    </cfRule>
    <cfRule type="cellIs" dxfId="5201" priority="8645" stopIfTrue="1" operator="equal">
      <formula>#REF!</formula>
    </cfRule>
  </conditionalFormatting>
  <conditionalFormatting sqref="CP113">
    <cfRule type="cellIs" dxfId="5200" priority="8514" stopIfTrue="1" operator="between">
      <formula>#REF!</formula>
      <formula>#REF!</formula>
    </cfRule>
    <cfRule type="cellIs" dxfId="5199" priority="8508" stopIfTrue="1" operator="between">
      <formula>#REF!</formula>
      <formula>#REF!</formula>
    </cfRule>
    <cfRule type="cellIs" dxfId="5198" priority="8511" stopIfTrue="1" operator="between">
      <formula>#REF!</formula>
      <formula>#REF!</formula>
    </cfRule>
    <cfRule type="cellIs" dxfId="5197" priority="8509" stopIfTrue="1" operator="equal">
      <formula>#REF!</formula>
    </cfRule>
    <cfRule type="cellIs" dxfId="5196" priority="8510" stopIfTrue="1" operator="equal">
      <formula>#REF!</formula>
    </cfRule>
  </conditionalFormatting>
  <conditionalFormatting sqref="CP114:CP115">
    <cfRule type="cellIs" dxfId="5195" priority="8365" stopIfTrue="1" operator="equal">
      <formula>#REF!</formula>
    </cfRule>
    <cfRule type="cellIs" dxfId="5194" priority="8364" stopIfTrue="1" operator="between">
      <formula>#REF!</formula>
      <formula>#REF!</formula>
    </cfRule>
    <cfRule type="cellIs" dxfId="5193" priority="8370" stopIfTrue="1" operator="between">
      <formula>#REF!</formula>
      <formula>#REF!</formula>
    </cfRule>
    <cfRule type="cellIs" dxfId="5192" priority="8367" stopIfTrue="1" operator="between">
      <formula>#REF!</formula>
      <formula>#REF!</formula>
    </cfRule>
    <cfRule type="cellIs" dxfId="5191" priority="8366" stopIfTrue="1" operator="equal">
      <formula>#REF!</formula>
    </cfRule>
  </conditionalFormatting>
  <conditionalFormatting sqref="CP116">
    <cfRule type="cellIs" dxfId="5190" priority="8203" stopIfTrue="1" operator="equal">
      <formula>#REF!</formula>
    </cfRule>
    <cfRule type="cellIs" dxfId="5189" priority="8205" stopIfTrue="1" operator="between">
      <formula>#REF!</formula>
      <formula>#REF!</formula>
    </cfRule>
    <cfRule type="cellIs" dxfId="5188" priority="8204" stopIfTrue="1" operator="equal">
      <formula>#REF!</formula>
    </cfRule>
    <cfRule type="cellIs" dxfId="5187" priority="8208" stopIfTrue="1" operator="between">
      <formula>#REF!</formula>
      <formula>#REF!</formula>
    </cfRule>
    <cfRule type="cellIs" dxfId="5186" priority="8202" stopIfTrue="1" operator="between">
      <formula>#REF!</formula>
      <formula>#REF!</formula>
    </cfRule>
  </conditionalFormatting>
  <conditionalFormatting sqref="CP117:CP129">
    <cfRule type="cellIs" dxfId="5185" priority="8061" stopIfTrue="1" operator="between">
      <formula>#REF!</formula>
      <formula>#REF!</formula>
    </cfRule>
    <cfRule type="cellIs" dxfId="5184" priority="8060" stopIfTrue="1" operator="equal">
      <formula>#REF!</formula>
    </cfRule>
    <cfRule type="cellIs" dxfId="5183" priority="8059" stopIfTrue="1" operator="equal">
      <formula>#REF!</formula>
    </cfRule>
    <cfRule type="cellIs" dxfId="5182" priority="8064" stopIfTrue="1" operator="between">
      <formula>#REF!</formula>
      <formula>#REF!</formula>
    </cfRule>
    <cfRule type="cellIs" dxfId="5181" priority="8058" stopIfTrue="1" operator="between">
      <formula>#REF!</formula>
      <formula>#REF!</formula>
    </cfRule>
  </conditionalFormatting>
  <conditionalFormatting sqref="CP121:CP129">
    <cfRule type="cellIs" dxfId="5180" priority="7962" stopIfTrue="1" operator="between">
      <formula>#REF!</formula>
      <formula>#REF!</formula>
    </cfRule>
    <cfRule type="cellIs" dxfId="5179" priority="7960" stopIfTrue="1" operator="equal">
      <formula>#REF!</formula>
    </cfRule>
    <cfRule type="cellIs" dxfId="5178" priority="7959" stopIfTrue="1" operator="between">
      <formula>#REF!</formula>
      <formula>#REF!</formula>
    </cfRule>
    <cfRule type="cellIs" dxfId="5177" priority="7965" stopIfTrue="1" operator="between">
      <formula>#REF!</formula>
      <formula>#REF!</formula>
    </cfRule>
    <cfRule type="cellIs" dxfId="5176" priority="7961" stopIfTrue="1" operator="equal">
      <formula>#REF!</formula>
    </cfRule>
  </conditionalFormatting>
  <conditionalFormatting sqref="CP125:CP129">
    <cfRule type="cellIs" dxfId="5175" priority="7853" stopIfTrue="1" operator="equal">
      <formula>#REF!</formula>
    </cfRule>
    <cfRule type="cellIs" dxfId="5174" priority="7753" stopIfTrue="1" operator="equal">
      <formula>#REF!</formula>
    </cfRule>
    <cfRule type="cellIs" dxfId="5173" priority="7752" stopIfTrue="1" operator="between">
      <formula>#REF!</formula>
      <formula>#REF!</formula>
    </cfRule>
    <cfRule type="cellIs" dxfId="5172" priority="7754" stopIfTrue="1" operator="equal">
      <formula>#REF!</formula>
    </cfRule>
    <cfRule type="cellIs" dxfId="5171" priority="7755" stopIfTrue="1" operator="between">
      <formula>#REF!</formula>
      <formula>#REF!</formula>
    </cfRule>
    <cfRule type="cellIs" dxfId="5170" priority="7851" stopIfTrue="1" operator="between">
      <formula>#REF!</formula>
      <formula>#REF!</formula>
    </cfRule>
    <cfRule type="cellIs" dxfId="5169" priority="7852" stopIfTrue="1" operator="equal">
      <formula>#REF!</formula>
    </cfRule>
    <cfRule type="cellIs" dxfId="5168" priority="7758" stopIfTrue="1" operator="between">
      <formula>#REF!</formula>
      <formula>#REF!</formula>
    </cfRule>
    <cfRule type="cellIs" dxfId="5167" priority="7857" stopIfTrue="1" operator="between">
      <formula>#REF!</formula>
      <formula>#REF!</formula>
    </cfRule>
    <cfRule type="cellIs" dxfId="5166" priority="7756" stopIfTrue="1" operator="equal">
      <formula>#REF!</formula>
    </cfRule>
    <cfRule type="cellIs" dxfId="5165" priority="7757" stopIfTrue="1" operator="equal">
      <formula>#REF!</formula>
    </cfRule>
    <cfRule type="cellIs" dxfId="5164" priority="7854" stopIfTrue="1" operator="between">
      <formula>#REF!</formula>
      <formula>#REF!</formula>
    </cfRule>
  </conditionalFormatting>
  <conditionalFormatting sqref="CP126:CP129">
    <cfRule type="cellIs" dxfId="5163" priority="7537" stopIfTrue="1" operator="equal">
      <formula>#REF!</formula>
    </cfRule>
    <cfRule type="cellIs" dxfId="5162" priority="7538" stopIfTrue="1" operator="equal">
      <formula>#REF!</formula>
    </cfRule>
    <cfRule type="cellIs" dxfId="5161" priority="7539" stopIfTrue="1" operator="between">
      <formula>#REF!</formula>
      <formula>#REF!</formula>
    </cfRule>
    <cfRule type="cellIs" dxfId="5160" priority="7540" stopIfTrue="1" operator="equal">
      <formula>#REF!</formula>
    </cfRule>
    <cfRule type="cellIs" dxfId="5159" priority="7541" stopIfTrue="1" operator="equal">
      <formula>#REF!</formula>
    </cfRule>
    <cfRule type="cellIs" dxfId="5158" priority="7542" stopIfTrue="1" operator="between">
      <formula>#REF!</formula>
      <formula>#REF!</formula>
    </cfRule>
    <cfRule type="cellIs" dxfId="5157" priority="7430" stopIfTrue="1" operator="equal">
      <formula>#REF!</formula>
    </cfRule>
    <cfRule type="cellIs" dxfId="5156" priority="7433" stopIfTrue="1" operator="equal">
      <formula>#REF!</formula>
    </cfRule>
    <cfRule type="cellIs" dxfId="5155" priority="7432" stopIfTrue="1" operator="equal">
      <formula>#REF!</formula>
    </cfRule>
    <cfRule type="cellIs" dxfId="5154" priority="7431" stopIfTrue="1" operator="between">
      <formula>#REF!</formula>
      <formula>#REF!</formula>
    </cfRule>
    <cfRule type="cellIs" dxfId="5153" priority="7429" stopIfTrue="1" operator="equal">
      <formula>#REF!</formula>
    </cfRule>
    <cfRule type="cellIs" dxfId="5152" priority="7428" stopIfTrue="1" operator="between">
      <formula>#REF!</formula>
      <formula>#REF!</formula>
    </cfRule>
    <cfRule type="cellIs" dxfId="5151" priority="7638" stopIfTrue="1" operator="between">
      <formula>#REF!</formula>
      <formula>#REF!</formula>
    </cfRule>
    <cfRule type="cellIs" dxfId="5150" priority="7637" stopIfTrue="1" operator="equal">
      <formula>#REF!</formula>
    </cfRule>
    <cfRule type="cellIs" dxfId="5149" priority="7636" stopIfTrue="1" operator="equal">
      <formula>#REF!</formula>
    </cfRule>
    <cfRule type="cellIs" dxfId="5148" priority="7635" stopIfTrue="1" operator="between">
      <formula>#REF!</formula>
      <formula>#REF!</formula>
    </cfRule>
    <cfRule type="cellIs" dxfId="5147" priority="7641" stopIfTrue="1" operator="between">
      <formula>#REF!</formula>
      <formula>#REF!</formula>
    </cfRule>
    <cfRule type="cellIs" dxfId="5146" priority="7434" stopIfTrue="1" operator="between">
      <formula>#REF!</formula>
      <formula>#REF!</formula>
    </cfRule>
    <cfRule type="cellIs" dxfId="5145" priority="7536" stopIfTrue="1" operator="between">
      <formula>#REF!</formula>
      <formula>#REF!</formula>
    </cfRule>
  </conditionalFormatting>
  <conditionalFormatting sqref="CP130">
    <cfRule type="cellIs" dxfId="5144" priority="7051" stopIfTrue="1" operator="equal">
      <formula>#REF!</formula>
    </cfRule>
    <cfRule type="cellIs" dxfId="5143" priority="7056" stopIfTrue="1" operator="between">
      <formula>#REF!</formula>
      <formula>#REF!</formula>
    </cfRule>
    <cfRule type="cellIs" dxfId="5142" priority="6844" stopIfTrue="1" operator="equal">
      <formula>#REF!</formula>
    </cfRule>
    <cfRule type="cellIs" dxfId="5141" priority="7152" stopIfTrue="1" operator="between">
      <formula>#REF!</formula>
      <formula>#REF!</formula>
    </cfRule>
    <cfRule type="cellIs" dxfId="5140" priority="6944" stopIfTrue="1" operator="equal">
      <formula>#REF!</formula>
    </cfRule>
    <cfRule type="cellIs" dxfId="5139" priority="6521" stopIfTrue="1" operator="equal">
      <formula>#REF!</formula>
    </cfRule>
    <cfRule type="cellIs" dxfId="5138" priority="6627" stopIfTrue="1" operator="between">
      <formula>#REF!</formula>
      <formula>#REF!</formula>
    </cfRule>
    <cfRule type="cellIs" dxfId="5137" priority="6628" stopIfTrue="1" operator="equal">
      <formula>#REF!</formula>
    </cfRule>
    <cfRule type="cellIs" dxfId="5136" priority="6945" stopIfTrue="1" operator="between">
      <formula>#REF!</formula>
      <formula>#REF!</formula>
    </cfRule>
    <cfRule type="cellIs" dxfId="5135" priority="6629" stopIfTrue="1" operator="equal">
      <formula>#REF!</formula>
    </cfRule>
    <cfRule type="cellIs" dxfId="5134" priority="6630" stopIfTrue="1" operator="between">
      <formula>#REF!</formula>
      <formula>#REF!</formula>
    </cfRule>
    <cfRule type="cellIs" dxfId="5133" priority="6631" stopIfTrue="1" operator="equal">
      <formula>#REF!</formula>
    </cfRule>
    <cfRule type="cellIs" dxfId="5132" priority="6849" stopIfTrue="1" operator="between">
      <formula>#REF!</formula>
      <formula>#REF!</formula>
    </cfRule>
    <cfRule type="cellIs" dxfId="5131" priority="6948" stopIfTrue="1" operator="between">
      <formula>#REF!</formula>
      <formula>#REF!</formula>
    </cfRule>
    <cfRule type="cellIs" dxfId="5130" priority="6843" stopIfTrue="1" operator="between">
      <formula>#REF!</formula>
      <formula>#REF!</formula>
    </cfRule>
    <cfRule type="cellIs" dxfId="5129" priority="6848" stopIfTrue="1" operator="equal">
      <formula>#REF!</formula>
    </cfRule>
    <cfRule type="cellIs" dxfId="5128" priority="6847" stopIfTrue="1" operator="equal">
      <formula>#REF!</formula>
    </cfRule>
    <cfRule type="cellIs" dxfId="5127" priority="7052" stopIfTrue="1" operator="equal">
      <formula>#REF!</formula>
    </cfRule>
    <cfRule type="cellIs" dxfId="5126" priority="6846" stopIfTrue="1" operator="between">
      <formula>#REF!</formula>
      <formula>#REF!</formula>
    </cfRule>
    <cfRule type="cellIs" dxfId="5125" priority="6845" stopIfTrue="1" operator="equal">
      <formula>#REF!</formula>
    </cfRule>
    <cfRule type="cellIs" dxfId="5124" priority="6524" stopIfTrue="1" operator="equal">
      <formula>#REF!</formula>
    </cfRule>
    <cfRule type="cellIs" dxfId="5123" priority="7050" stopIfTrue="1" operator="between">
      <formula>#REF!</formula>
      <formula>#REF!</formula>
    </cfRule>
    <cfRule type="cellIs" dxfId="5122" priority="7150" stopIfTrue="1" operator="equal">
      <formula>#REF!</formula>
    </cfRule>
    <cfRule type="cellIs" dxfId="5121" priority="7149" stopIfTrue="1" operator="between">
      <formula>#REF!</formula>
      <formula>#REF!</formula>
    </cfRule>
    <cfRule type="cellIs" dxfId="5120" priority="6520" stopIfTrue="1" operator="equal">
      <formula>#REF!</formula>
    </cfRule>
    <cfRule type="cellIs" dxfId="5119" priority="6632" stopIfTrue="1" operator="equal">
      <formula>#REF!</formula>
    </cfRule>
    <cfRule type="cellIs" dxfId="5118" priority="6943" stopIfTrue="1" operator="equal">
      <formula>#REF!</formula>
    </cfRule>
    <cfRule type="cellIs" dxfId="5117" priority="7155" stopIfTrue="1" operator="between">
      <formula>#REF!</formula>
      <formula>#REF!</formula>
    </cfRule>
    <cfRule type="cellIs" dxfId="5116" priority="6942" stopIfTrue="1" operator="between">
      <formula>#REF!</formula>
      <formula>#REF!</formula>
    </cfRule>
    <cfRule type="cellIs" dxfId="5115" priority="6726" stopIfTrue="1" operator="between">
      <formula>#REF!</formula>
      <formula>#REF!</formula>
    </cfRule>
    <cfRule type="cellIs" dxfId="5114" priority="6727" stopIfTrue="1" operator="equal">
      <formula>#REF!</formula>
    </cfRule>
    <cfRule type="cellIs" dxfId="5113" priority="6728" stopIfTrue="1" operator="equal">
      <formula>#REF!</formula>
    </cfRule>
    <cfRule type="cellIs" dxfId="5112" priority="6729" stopIfTrue="1" operator="between">
      <formula>#REF!</formula>
      <formula>#REF!</formula>
    </cfRule>
    <cfRule type="cellIs" dxfId="5111" priority="6522" stopIfTrue="1" operator="between">
      <formula>#REF!</formula>
      <formula>#REF!</formula>
    </cfRule>
    <cfRule type="cellIs" dxfId="5110" priority="6732" stopIfTrue="1" operator="between">
      <formula>#REF!</formula>
      <formula>#REF!</formula>
    </cfRule>
    <cfRule type="cellIs" dxfId="5109" priority="7053" stopIfTrue="1" operator="between">
      <formula>#REF!</formula>
      <formula>#REF!</formula>
    </cfRule>
    <cfRule type="cellIs" dxfId="5108" priority="6523" stopIfTrue="1" operator="equal">
      <formula>#REF!</formula>
    </cfRule>
    <cfRule type="cellIs" dxfId="5107" priority="6525" stopIfTrue="1" operator="between">
      <formula>#REF!</formula>
      <formula>#REF!</formula>
    </cfRule>
    <cfRule type="cellIs" dxfId="5106" priority="7151" stopIfTrue="1" operator="equal">
      <formula>#REF!</formula>
    </cfRule>
    <cfRule type="cellIs" dxfId="5105" priority="6633" stopIfTrue="1" operator="between">
      <formula>#REF!</formula>
      <formula>#REF!</formula>
    </cfRule>
    <cfRule type="cellIs" dxfId="5104" priority="6519" stopIfTrue="1" operator="between">
      <formula>#REF!</formula>
      <formula>#REF!</formula>
    </cfRule>
  </conditionalFormatting>
  <conditionalFormatting sqref="CP131:CP141">
    <cfRule type="cellIs" dxfId="5103" priority="5940" stopIfTrue="1" operator="between">
      <formula>#REF!</formula>
      <formula>#REF!</formula>
    </cfRule>
    <cfRule type="cellIs" dxfId="5102" priority="6246" stopIfTrue="1" operator="between">
      <formula>#REF!</formula>
      <formula>#REF!</formula>
    </cfRule>
    <cfRule type="cellIs" dxfId="5101" priority="5934" stopIfTrue="1" operator="between">
      <formula>#REF!</formula>
      <formula>#REF!</formula>
    </cfRule>
    <cfRule type="cellIs" dxfId="5100" priority="5939" stopIfTrue="1" operator="equal">
      <formula>#REF!</formula>
    </cfRule>
    <cfRule type="cellIs" dxfId="5099" priority="5718" stopIfTrue="1" operator="between">
      <formula>#REF!</formula>
      <formula>#REF!</formula>
    </cfRule>
    <cfRule type="cellIs" dxfId="5098" priority="5719" stopIfTrue="1" operator="equal">
      <formula>#REF!</formula>
    </cfRule>
    <cfRule type="cellIs" dxfId="5097" priority="5720" stopIfTrue="1" operator="equal">
      <formula>#REF!</formula>
    </cfRule>
    <cfRule type="cellIs" dxfId="5096" priority="5721" stopIfTrue="1" operator="between">
      <formula>#REF!</formula>
      <formula>#REF!</formula>
    </cfRule>
    <cfRule type="cellIs" dxfId="5095" priority="5938" stopIfTrue="1" operator="equal">
      <formula>#REF!</formula>
    </cfRule>
    <cfRule type="cellIs" dxfId="5094" priority="5722" stopIfTrue="1" operator="equal">
      <formula>#REF!</formula>
    </cfRule>
    <cfRule type="cellIs" dxfId="5093" priority="5724" stopIfTrue="1" operator="between">
      <formula>#REF!</formula>
      <formula>#REF!</formula>
    </cfRule>
    <cfRule type="cellIs" dxfId="5092" priority="5935" stopIfTrue="1" operator="equal">
      <formula>#REF!</formula>
    </cfRule>
    <cfRule type="cellIs" dxfId="5091" priority="6240" stopIfTrue="1" operator="between">
      <formula>#REF!</formula>
      <formula>#REF!</formula>
    </cfRule>
    <cfRule type="cellIs" dxfId="5090" priority="5614" stopIfTrue="1" operator="equal">
      <formula>#REF!</formula>
    </cfRule>
    <cfRule type="cellIs" dxfId="5089" priority="5613" stopIfTrue="1" operator="between">
      <formula>#REF!</formula>
      <formula>#REF!</formula>
    </cfRule>
    <cfRule type="cellIs" dxfId="5088" priority="5612" stopIfTrue="1" operator="equal">
      <formula>#REF!</formula>
    </cfRule>
    <cfRule type="cellIs" dxfId="5087" priority="5611" stopIfTrue="1" operator="equal">
      <formula>#REF!</formula>
    </cfRule>
    <cfRule type="cellIs" dxfId="5086" priority="5820" stopIfTrue="1" operator="between">
      <formula>#REF!</formula>
      <formula>#REF!</formula>
    </cfRule>
    <cfRule type="cellIs" dxfId="5085" priority="5819" stopIfTrue="1" operator="equal">
      <formula>#REF!</formula>
    </cfRule>
    <cfRule type="cellIs" dxfId="5084" priority="5818" stopIfTrue="1" operator="equal">
      <formula>#REF!</formula>
    </cfRule>
    <cfRule type="cellIs" dxfId="5083" priority="5615" stopIfTrue="1" operator="equal">
      <formula>#REF!</formula>
    </cfRule>
    <cfRule type="cellIs" dxfId="5082" priority="5817" stopIfTrue="1" operator="between">
      <formula>#REF!</formula>
      <formula>#REF!</formula>
    </cfRule>
    <cfRule type="cellIs" dxfId="5081" priority="5610" stopIfTrue="1" operator="between">
      <formula>#REF!</formula>
      <formula>#REF!</formula>
    </cfRule>
    <cfRule type="cellIs" dxfId="5080" priority="5937" stopIfTrue="1" operator="between">
      <formula>#REF!</formula>
      <formula>#REF!</formula>
    </cfRule>
    <cfRule type="cellIs" dxfId="5079" priority="6036" stopIfTrue="1" operator="between">
      <formula>#REF!</formula>
      <formula>#REF!</formula>
    </cfRule>
    <cfRule type="cellIs" dxfId="5078" priority="6241" stopIfTrue="1" operator="equal">
      <formula>#REF!</formula>
    </cfRule>
    <cfRule type="cellIs" dxfId="5077" priority="6242" stopIfTrue="1" operator="equal">
      <formula>#REF!</formula>
    </cfRule>
    <cfRule type="cellIs" dxfId="5076" priority="6243" stopIfTrue="1" operator="between">
      <formula>#REF!</formula>
      <formula>#REF!</formula>
    </cfRule>
    <cfRule type="cellIs" dxfId="5075" priority="6039" stopIfTrue="1" operator="between">
      <formula>#REF!</formula>
      <formula>#REF!</formula>
    </cfRule>
    <cfRule type="cellIs" dxfId="5074" priority="6141" stopIfTrue="1" operator="between">
      <formula>#REF!</formula>
      <formula>#REF!</formula>
    </cfRule>
    <cfRule type="cellIs" dxfId="5073" priority="6142" stopIfTrue="1" operator="equal">
      <formula>#REF!</formula>
    </cfRule>
    <cfRule type="cellIs" dxfId="5072" priority="6143" stopIfTrue="1" operator="equal">
      <formula>#REF!</formula>
    </cfRule>
    <cfRule type="cellIs" dxfId="5071" priority="6144" stopIfTrue="1" operator="between">
      <formula>#REF!</formula>
      <formula>#REF!</formula>
    </cfRule>
    <cfRule type="cellIs" dxfId="5070" priority="6035" stopIfTrue="1" operator="equal">
      <formula>#REF!</formula>
    </cfRule>
    <cfRule type="cellIs" dxfId="5069" priority="5823" stopIfTrue="1" operator="between">
      <formula>#REF!</formula>
      <formula>#REF!</formula>
    </cfRule>
    <cfRule type="cellIs" dxfId="5068" priority="6034" stopIfTrue="1" operator="equal">
      <formula>#REF!</formula>
    </cfRule>
    <cfRule type="cellIs" dxfId="5067" priority="6147" stopIfTrue="1" operator="between">
      <formula>#REF!</formula>
      <formula>#REF!</formula>
    </cfRule>
    <cfRule type="cellIs" dxfId="5066" priority="6033" stopIfTrue="1" operator="between">
      <formula>#REF!</formula>
      <formula>#REF!</formula>
    </cfRule>
    <cfRule type="cellIs" dxfId="5065" priority="5616" stopIfTrue="1" operator="between">
      <formula>#REF!</formula>
      <formula>#REF!</formula>
    </cfRule>
    <cfRule type="cellIs" dxfId="5064" priority="5723" stopIfTrue="1" operator="equal">
      <formula>#REF!</formula>
    </cfRule>
    <cfRule type="cellIs" dxfId="5063" priority="5936" stopIfTrue="1" operator="equal">
      <formula>#REF!</formula>
    </cfRule>
  </conditionalFormatting>
  <conditionalFormatting sqref="CP142:CP143">
    <cfRule type="cellIs" dxfId="5062" priority="4721" stopIfTrue="1" operator="equal">
      <formula>#REF!</formula>
    </cfRule>
    <cfRule type="cellIs" dxfId="5061" priority="4720" stopIfTrue="1" operator="equal">
      <formula>#REF!</formula>
    </cfRule>
    <cfRule type="cellIs" dxfId="5060" priority="4719" stopIfTrue="1" operator="between">
      <formula>#REF!</formula>
      <formula>#REF!</formula>
    </cfRule>
    <cfRule type="cellIs" dxfId="5059" priority="4718" stopIfTrue="1" operator="equal">
      <formula>#REF!</formula>
    </cfRule>
    <cfRule type="cellIs" dxfId="5058" priority="5148" stopIfTrue="1" operator="between">
      <formula>#REF!</formula>
      <formula>#REF!</formula>
    </cfRule>
    <cfRule type="cellIs" dxfId="5057" priority="5145" stopIfTrue="1" operator="between">
      <formula>#REF!</formula>
      <formula>#REF!</formula>
    </cfRule>
    <cfRule type="cellIs" dxfId="5056" priority="5144" stopIfTrue="1" operator="equal">
      <formula>#REF!</formula>
    </cfRule>
    <cfRule type="cellIs" dxfId="5055" priority="5143" stopIfTrue="1" operator="equal">
      <formula>#REF!</formula>
    </cfRule>
    <cfRule type="cellIs" dxfId="5054" priority="5142" stopIfTrue="1" operator="between">
      <formula>#REF!</formula>
      <formula>#REF!</formula>
    </cfRule>
    <cfRule type="cellIs" dxfId="5053" priority="4833" stopIfTrue="1" operator="between">
      <formula>#REF!</formula>
      <formula>#REF!</formula>
    </cfRule>
    <cfRule type="cellIs" dxfId="5052" priority="4826" stopIfTrue="1" operator="equal">
      <formula>#REF!</formula>
    </cfRule>
    <cfRule type="cellIs" dxfId="5051" priority="5252" stopIfTrue="1" operator="equal">
      <formula>#REF!</formula>
    </cfRule>
    <cfRule type="cellIs" dxfId="5050" priority="4827" stopIfTrue="1" operator="between">
      <formula>#REF!</formula>
      <formula>#REF!</formula>
    </cfRule>
    <cfRule type="cellIs" dxfId="5049" priority="4828" stopIfTrue="1" operator="equal">
      <formula>#REF!</formula>
    </cfRule>
    <cfRule type="cellIs" dxfId="5048" priority="4829" stopIfTrue="1" operator="equal">
      <formula>#REF!</formula>
    </cfRule>
    <cfRule type="cellIs" dxfId="5047" priority="4830" stopIfTrue="1" operator="between">
      <formula>#REF!</formula>
      <formula>#REF!</formula>
    </cfRule>
    <cfRule type="cellIs" dxfId="5046" priority="4831" stopIfTrue="1" operator="equal">
      <formula>#REF!</formula>
    </cfRule>
    <cfRule type="cellIs" dxfId="5045" priority="4832" stopIfTrue="1" operator="equal">
      <formula>#REF!</formula>
    </cfRule>
    <cfRule type="cellIs" dxfId="5044" priority="5048" stopIfTrue="1" operator="equal">
      <formula>#REF!</formula>
    </cfRule>
    <cfRule type="cellIs" dxfId="5043" priority="5355" stopIfTrue="1" operator="between">
      <formula>#REF!</formula>
      <formula>#REF!</formula>
    </cfRule>
    <cfRule type="cellIs" dxfId="5042" priority="5352" stopIfTrue="1" operator="between">
      <formula>#REF!</formula>
      <formula>#REF!</formula>
    </cfRule>
    <cfRule type="cellIs" dxfId="5041" priority="5351" stopIfTrue="1" operator="equal">
      <formula>#REF!</formula>
    </cfRule>
    <cfRule type="cellIs" dxfId="5040" priority="5350" stopIfTrue="1" operator="equal">
      <formula>#REF!</formula>
    </cfRule>
    <cfRule type="cellIs" dxfId="5039" priority="5047" stopIfTrue="1" operator="equal">
      <formula>#REF!</formula>
    </cfRule>
    <cfRule type="cellIs" dxfId="5038" priority="5349" stopIfTrue="1" operator="between">
      <formula>#REF!</formula>
      <formula>#REF!</formula>
    </cfRule>
    <cfRule type="cellIs" dxfId="5037" priority="5046" stopIfTrue="1" operator="between">
      <formula>#REF!</formula>
      <formula>#REF!</formula>
    </cfRule>
    <cfRule type="cellIs" dxfId="5036" priority="5045" stopIfTrue="1" operator="equal">
      <formula>#REF!</formula>
    </cfRule>
    <cfRule type="cellIs" dxfId="5035" priority="5044" stopIfTrue="1" operator="equal">
      <formula>#REF!</formula>
    </cfRule>
    <cfRule type="cellIs" dxfId="5034" priority="5043" stopIfTrue="1" operator="between">
      <formula>#REF!</formula>
      <formula>#REF!</formula>
    </cfRule>
    <cfRule type="cellIs" dxfId="5033" priority="4925" stopIfTrue="1" operator="equal">
      <formula>#REF!</formula>
    </cfRule>
    <cfRule type="cellIs" dxfId="5032" priority="4926" stopIfTrue="1" operator="between">
      <formula>#REF!</formula>
      <formula>#REF!</formula>
    </cfRule>
    <cfRule type="cellIs" dxfId="5031" priority="4927" stopIfTrue="1" operator="equal">
      <formula>#REF!</formula>
    </cfRule>
    <cfRule type="cellIs" dxfId="5030" priority="4928" stopIfTrue="1" operator="equal">
      <formula>#REF!</formula>
    </cfRule>
    <cfRule type="cellIs" dxfId="5029" priority="4929" stopIfTrue="1" operator="between">
      <formula>#REF!</formula>
      <formula>#REF!</formula>
    </cfRule>
    <cfRule type="cellIs" dxfId="5028" priority="4931" stopIfTrue="1" operator="equal">
      <formula>#REF!</formula>
    </cfRule>
    <cfRule type="cellIs" dxfId="5027" priority="4932" stopIfTrue="1" operator="between">
      <formula>#REF!</formula>
      <formula>#REF!</formula>
    </cfRule>
    <cfRule type="cellIs" dxfId="5026" priority="5251" stopIfTrue="1" operator="equal">
      <formula>#REF!</formula>
    </cfRule>
    <cfRule type="cellIs" dxfId="5025" priority="5250" stopIfTrue="1" operator="between">
      <formula>#REF!</formula>
      <formula>#REF!</formula>
    </cfRule>
    <cfRule type="cellIs" dxfId="5024" priority="4725" stopIfTrue="1" operator="between">
      <formula>#REF!</formula>
      <formula>#REF!</formula>
    </cfRule>
    <cfRule type="cellIs" dxfId="5023" priority="4724" stopIfTrue="1" operator="equal">
      <formula>#REF!</formula>
    </cfRule>
    <cfRule type="cellIs" dxfId="5022" priority="4723" stopIfTrue="1" operator="equal">
      <formula>#REF!</formula>
    </cfRule>
    <cfRule type="cellIs" dxfId="5021" priority="5256" stopIfTrue="1" operator="between">
      <formula>#REF!</formula>
      <formula>#REF!</formula>
    </cfRule>
    <cfRule type="cellIs" dxfId="5020" priority="5049" stopIfTrue="1" operator="between">
      <formula>#REF!</formula>
      <formula>#REF!</formula>
    </cfRule>
    <cfRule type="cellIs" dxfId="5019" priority="4722" stopIfTrue="1" operator="between">
      <formula>#REF!</formula>
      <formula>#REF!</formula>
    </cfRule>
    <cfRule type="cellIs" dxfId="5018" priority="5253" stopIfTrue="1" operator="between">
      <formula>#REF!</formula>
      <formula>#REF!</formula>
    </cfRule>
  </conditionalFormatting>
  <conditionalFormatting sqref="CP144:CP173">
    <cfRule type="cellIs" dxfId="5017" priority="4041" stopIfTrue="1" operator="between">
      <formula>#REF!</formula>
      <formula>#REF!</formula>
    </cfRule>
    <cfRule type="cellIs" dxfId="5016" priority="4040" stopIfTrue="1" operator="equal">
      <formula>#REF!</formula>
    </cfRule>
    <cfRule type="cellIs" dxfId="5015" priority="4038" stopIfTrue="1" operator="between">
      <formula>#REF!</formula>
      <formula>#REF!</formula>
    </cfRule>
    <cfRule type="cellIs" dxfId="5014" priority="4037" stopIfTrue="1" operator="equal">
      <formula>#REF!</formula>
    </cfRule>
    <cfRule type="cellIs" dxfId="5013" priority="4036" stopIfTrue="1" operator="equal">
      <formula>#REF!</formula>
    </cfRule>
    <cfRule type="cellIs" dxfId="5012" priority="3940" stopIfTrue="1" operator="equal">
      <formula>#REF!</formula>
    </cfRule>
    <cfRule type="cellIs" dxfId="5011" priority="3941" stopIfTrue="1" operator="equal">
      <formula>#REF!</formula>
    </cfRule>
    <cfRule type="cellIs" dxfId="5010" priority="3942" stopIfTrue="1" operator="between">
      <formula>#REF!</formula>
      <formula>#REF!</formula>
    </cfRule>
    <cfRule type="cellIs" dxfId="5009" priority="3831" stopIfTrue="1" operator="between">
      <formula>#REF!</formula>
      <formula>#REF!</formula>
    </cfRule>
    <cfRule type="cellIs" dxfId="5008" priority="3832" stopIfTrue="1" operator="equal">
      <formula>#REF!</formula>
    </cfRule>
    <cfRule type="cellIs" dxfId="5007" priority="4458" stopIfTrue="1" operator="between">
      <formula>#REF!</formula>
      <formula>#REF!</formula>
    </cfRule>
    <cfRule type="cellIs" dxfId="5006" priority="4035" stopIfTrue="1" operator="between">
      <formula>#REF!</formula>
      <formula>#REF!</formula>
    </cfRule>
    <cfRule type="cellIs" dxfId="5005" priority="4460" stopIfTrue="1" operator="equal">
      <formula>#REF!</formula>
    </cfRule>
    <cfRule type="cellIs" dxfId="5004" priority="4464" stopIfTrue="1" operator="between">
      <formula>#REF!</formula>
      <formula>#REF!</formula>
    </cfRule>
    <cfRule type="cellIs" dxfId="5003" priority="4252" stopIfTrue="1" operator="equal">
      <formula>#REF!</formula>
    </cfRule>
    <cfRule type="cellIs" dxfId="5002" priority="4034" stopIfTrue="1" operator="equal">
      <formula>#REF!</formula>
    </cfRule>
    <cfRule type="cellIs" dxfId="5001" priority="4463" stopIfTrue="1" operator="equal">
      <formula>#REF!</formula>
    </cfRule>
    <cfRule type="cellIs" dxfId="5000" priority="4158" stopIfTrue="1" operator="between">
      <formula>#REF!</formula>
      <formula>#REF!</formula>
    </cfRule>
    <cfRule type="cellIs" dxfId="4999" priority="4156" stopIfTrue="1" operator="equal">
      <formula>#REF!</formula>
    </cfRule>
    <cfRule type="cellIs" dxfId="4998" priority="4461" stopIfTrue="1" operator="between">
      <formula>#REF!</formula>
      <formula>#REF!</formula>
    </cfRule>
    <cfRule type="cellIs" dxfId="4997" priority="3833" stopIfTrue="1" operator="equal">
      <formula>#REF!</formula>
    </cfRule>
    <cfRule type="cellIs" dxfId="4996" priority="4157" stopIfTrue="1" operator="equal">
      <formula>#REF!</formula>
    </cfRule>
    <cfRule type="cellIs" dxfId="4995" priority="4459" stopIfTrue="1" operator="equal">
      <formula>#REF!</formula>
    </cfRule>
    <cfRule type="cellIs" dxfId="4994" priority="3834" stopIfTrue="1" operator="between">
      <formula>#REF!</formula>
      <formula>#REF!</formula>
    </cfRule>
    <cfRule type="cellIs" dxfId="4993" priority="4251" stopIfTrue="1" operator="between">
      <formula>#REF!</formula>
      <formula>#REF!</formula>
    </cfRule>
    <cfRule type="cellIs" dxfId="4992" priority="4253" stopIfTrue="1" operator="equal">
      <formula>#REF!</formula>
    </cfRule>
    <cfRule type="cellIs" dxfId="4991" priority="4254" stopIfTrue="1" operator="between">
      <formula>#REF!</formula>
      <formula>#REF!</formula>
    </cfRule>
    <cfRule type="cellIs" dxfId="4990" priority="4457" stopIfTrue="1" operator="equal">
      <formula>#REF!</formula>
    </cfRule>
    <cfRule type="cellIs" dxfId="4989" priority="4256" stopIfTrue="1" operator="equal">
      <formula>#REF!</formula>
    </cfRule>
    <cfRule type="cellIs" dxfId="4988" priority="4257" stopIfTrue="1" operator="between">
      <formula>#REF!</formula>
      <formula>#REF!</formula>
    </cfRule>
    <cfRule type="cellIs" dxfId="4987" priority="4250" stopIfTrue="1" operator="equal">
      <formula>#REF!</formula>
    </cfRule>
    <cfRule type="cellIs" dxfId="4986" priority="4151" stopIfTrue="1" operator="equal">
      <formula>#REF!</formula>
    </cfRule>
    <cfRule type="cellIs" dxfId="4985" priority="4152" stopIfTrue="1" operator="between">
      <formula>#REF!</formula>
      <formula>#REF!</formula>
    </cfRule>
    <cfRule type="cellIs" dxfId="4984" priority="4153" stopIfTrue="1" operator="equal">
      <formula>#REF!</formula>
    </cfRule>
    <cfRule type="cellIs" dxfId="4983" priority="4154" stopIfTrue="1" operator="equal">
      <formula>#REF!</formula>
    </cfRule>
    <cfRule type="cellIs" dxfId="4982" priority="4155" stopIfTrue="1" operator="between">
      <formula>#REF!</formula>
      <formula>#REF!</formula>
    </cfRule>
    <cfRule type="cellIs" dxfId="4981" priority="3830" stopIfTrue="1" operator="equal">
      <formula>#REF!</formula>
    </cfRule>
    <cfRule type="cellIs" dxfId="4980" priority="3829" stopIfTrue="1" operator="equal">
      <formula>#REF!</formula>
    </cfRule>
    <cfRule type="cellIs" dxfId="4979" priority="3828" stopIfTrue="1" operator="between">
      <formula>#REF!</formula>
      <formula>#REF!</formula>
    </cfRule>
    <cfRule type="cellIs" dxfId="4978" priority="3827" stopIfTrue="1" operator="equal">
      <formula>#REF!</formula>
    </cfRule>
    <cfRule type="cellIs" dxfId="4977" priority="4365" stopIfTrue="1" operator="between">
      <formula>#REF!</formula>
      <formula>#REF!</formula>
    </cfRule>
    <cfRule type="cellIs" dxfId="4976" priority="4364" stopIfTrue="1" operator="equal">
      <formula>#REF!</formula>
    </cfRule>
    <cfRule type="cellIs" dxfId="4975" priority="4362" stopIfTrue="1" operator="between">
      <formula>#REF!</formula>
      <formula>#REF!</formula>
    </cfRule>
    <cfRule type="cellIs" dxfId="4974" priority="4361" stopIfTrue="1" operator="equal">
      <formula>#REF!</formula>
    </cfRule>
    <cfRule type="cellIs" dxfId="4973" priority="4360" stopIfTrue="1" operator="equal">
      <formula>#REF!</formula>
    </cfRule>
    <cfRule type="cellIs" dxfId="4972" priority="4359" stopIfTrue="1" operator="between">
      <formula>#REF!</formula>
      <formula>#REF!</formula>
    </cfRule>
    <cfRule type="cellIs" dxfId="4971" priority="4358" stopIfTrue="1" operator="equal">
      <formula>#REF!</formula>
    </cfRule>
    <cfRule type="cellIs" dxfId="4970" priority="3935" stopIfTrue="1" operator="equal">
      <formula>#REF!</formula>
    </cfRule>
    <cfRule type="cellIs" dxfId="4969" priority="3936" stopIfTrue="1" operator="between">
      <formula>#REF!</formula>
      <formula>#REF!</formula>
    </cfRule>
    <cfRule type="cellIs" dxfId="4968" priority="3937" stopIfTrue="1" operator="equal">
      <formula>#REF!</formula>
    </cfRule>
    <cfRule type="cellIs" dxfId="4967" priority="3938" stopIfTrue="1" operator="equal">
      <formula>#REF!</formula>
    </cfRule>
    <cfRule type="cellIs" dxfId="4966" priority="3939" stopIfTrue="1" operator="between">
      <formula>#REF!</formula>
      <formula>#REF!</formula>
    </cfRule>
  </conditionalFormatting>
  <conditionalFormatting sqref="CP174:CP199">
    <cfRule type="cellIs" dxfId="4965" priority="891" stopIfTrue="1" operator="between">
      <formula>#REF!</formula>
      <formula>#REF!</formula>
    </cfRule>
    <cfRule type="cellIs" dxfId="4964" priority="890" stopIfTrue="1" operator="equal">
      <formula>#REF!</formula>
    </cfRule>
    <cfRule type="cellIs" dxfId="4963" priority="582" stopIfTrue="1" operator="between">
      <formula>#REF!</formula>
      <formula>#REF!</formula>
    </cfRule>
    <cfRule type="cellIs" dxfId="4962" priority="581" stopIfTrue="1" operator="equal">
      <formula>#REF!</formula>
    </cfRule>
    <cfRule type="cellIs" dxfId="4961" priority="888" stopIfTrue="1" operator="between">
      <formula>#REF!</formula>
      <formula>#REF!</formula>
    </cfRule>
    <cfRule type="cellIs" dxfId="4960" priority="887" stopIfTrue="1" operator="equal">
      <formula>#REF!</formula>
    </cfRule>
    <cfRule type="cellIs" dxfId="4959" priority="886" stopIfTrue="1" operator="equal">
      <formula>#REF!</formula>
    </cfRule>
    <cfRule type="cellIs" dxfId="4958" priority="885" stopIfTrue="1" operator="between">
      <formula>#REF!</formula>
      <formula>#REF!</formula>
    </cfRule>
    <cfRule type="cellIs" dxfId="4957" priority="884" stopIfTrue="1" operator="equal">
      <formula>#REF!</formula>
    </cfRule>
    <cfRule type="cellIs" dxfId="4956" priority="580" stopIfTrue="1" operator="equal">
      <formula>#REF!</formula>
    </cfRule>
    <cfRule type="cellIs" dxfId="4955" priority="579" stopIfTrue="1" operator="between">
      <formula>#REF!</formula>
      <formula>#REF!</formula>
    </cfRule>
    <cfRule type="cellIs" dxfId="4954" priority="578" stopIfTrue="1" operator="equal">
      <formula>#REF!</formula>
    </cfRule>
    <cfRule type="cellIs" dxfId="4953" priority="258" stopIfTrue="1" operator="between">
      <formula>#REF!</formula>
      <formula>#REF!</formula>
    </cfRule>
    <cfRule type="cellIs" dxfId="4952" priority="259" stopIfTrue="1" operator="equal">
      <formula>#REF!</formula>
    </cfRule>
    <cfRule type="cellIs" dxfId="4951" priority="260" stopIfTrue="1" operator="equal">
      <formula>#REF!</formula>
    </cfRule>
    <cfRule type="cellIs" dxfId="4950" priority="261" stopIfTrue="1" operator="between">
      <formula>#REF!</formula>
      <formula>#REF!</formula>
    </cfRule>
    <cfRule type="cellIs" dxfId="4949" priority="256" stopIfTrue="1" operator="equal">
      <formula>#REF!</formula>
    </cfRule>
    <cfRule type="cellIs" dxfId="4948" priority="677" stopIfTrue="1" operator="equal">
      <formula>#REF!</formula>
    </cfRule>
    <cfRule type="cellIs" dxfId="4947" priority="678" stopIfTrue="1" operator="between">
      <formula>#REF!</formula>
      <formula>#REF!</formula>
    </cfRule>
    <cfRule type="cellIs" dxfId="4946" priority="364" stopIfTrue="1" operator="equal">
      <formula>#REF!</formula>
    </cfRule>
    <cfRule type="cellIs" dxfId="4945" priority="257" stopIfTrue="1" operator="equal">
      <formula>#REF!</formula>
    </cfRule>
    <cfRule type="cellIs" dxfId="4944" priority="681" stopIfTrue="1" operator="between">
      <formula>#REF!</formula>
      <formula>#REF!</formula>
    </cfRule>
    <cfRule type="cellIs" dxfId="4943" priority="585" stopIfTrue="1" operator="between">
      <formula>#REF!</formula>
      <formula>#REF!</formula>
    </cfRule>
    <cfRule type="cellIs" dxfId="4942" priority="584" stopIfTrue="1" operator="equal">
      <formula>#REF!</formula>
    </cfRule>
    <cfRule type="cellIs" dxfId="4941" priority="362" stopIfTrue="1" operator="equal">
      <formula>#REF!</formula>
    </cfRule>
    <cfRule type="cellIs" dxfId="4940" priority="363" stopIfTrue="1" operator="between">
      <formula>#REF!</formula>
      <formula>#REF!</formula>
    </cfRule>
    <cfRule type="cellIs" dxfId="4939" priority="679" stopIfTrue="1" operator="equal">
      <formula>#REF!</formula>
    </cfRule>
    <cfRule type="cellIs" dxfId="4938" priority="680" stopIfTrue="1" operator="equal">
      <formula>#REF!</formula>
    </cfRule>
    <cfRule type="cellIs" dxfId="4937" priority="365" stopIfTrue="1" operator="equal">
      <formula>#REF!</formula>
    </cfRule>
    <cfRule type="cellIs" dxfId="4936" priority="366" stopIfTrue="1" operator="between">
      <formula>#REF!</formula>
      <formula>#REF!</formula>
    </cfRule>
    <cfRule type="cellIs" dxfId="4935" priority="461" stopIfTrue="1" operator="equal">
      <formula>#REF!</formula>
    </cfRule>
    <cfRule type="cellIs" dxfId="4934" priority="462" stopIfTrue="1" operator="between">
      <formula>#REF!</formula>
      <formula>#REF!</formula>
    </cfRule>
    <cfRule type="cellIs" dxfId="4933" priority="463" stopIfTrue="1" operator="equal">
      <formula>#REF!</formula>
    </cfRule>
    <cfRule type="cellIs" dxfId="4932" priority="464" stopIfTrue="1" operator="equal">
      <formula>#REF!</formula>
    </cfRule>
    <cfRule type="cellIs" dxfId="4931" priority="465" stopIfTrue="1" operator="between">
      <formula>#REF!</formula>
      <formula>#REF!</formula>
    </cfRule>
    <cfRule type="cellIs" dxfId="4930" priority="467" stopIfTrue="1" operator="equal">
      <formula>#REF!</formula>
    </cfRule>
    <cfRule type="cellIs" dxfId="4929" priority="468" stopIfTrue="1" operator="between">
      <formula>#REF!</formula>
      <formula>#REF!</formula>
    </cfRule>
    <cfRule type="cellIs" dxfId="4928" priority="255" stopIfTrue="1" operator="between">
      <formula>#REF!</formula>
      <formula>#REF!</formula>
    </cfRule>
    <cfRule type="cellIs" dxfId="4927" priority="368" stopIfTrue="1" operator="equal">
      <formula>#REF!</formula>
    </cfRule>
    <cfRule type="cellIs" dxfId="4926" priority="369" stopIfTrue="1" operator="between">
      <formula>#REF!</formula>
      <formula>#REF!</formula>
    </cfRule>
    <cfRule type="cellIs" dxfId="4925" priority="785" stopIfTrue="1" operator="equal">
      <formula>#REF!</formula>
    </cfRule>
    <cfRule type="cellIs" dxfId="4924" priority="786" stopIfTrue="1" operator="between">
      <formula>#REF!</formula>
      <formula>#REF!</formula>
    </cfRule>
    <cfRule type="cellIs" dxfId="4923" priority="787" stopIfTrue="1" operator="equal">
      <formula>#REF!</formula>
    </cfRule>
    <cfRule type="cellIs" dxfId="4922" priority="254" stopIfTrue="1" operator="equal">
      <formula>#REF!</formula>
    </cfRule>
    <cfRule type="cellIs" dxfId="4921" priority="683" stopIfTrue="1" operator="equal">
      <formula>#REF!</formula>
    </cfRule>
    <cfRule type="cellIs" dxfId="4920" priority="684" stopIfTrue="1" operator="between">
      <formula>#REF!</formula>
      <formula>#REF!</formula>
    </cfRule>
    <cfRule type="cellIs" dxfId="4919" priority="788" stopIfTrue="1" operator="equal">
      <formula>#REF!</formula>
    </cfRule>
    <cfRule type="cellIs" dxfId="4918" priority="789" stopIfTrue="1" operator="between">
      <formula>#REF!</formula>
      <formula>#REF!</formula>
    </cfRule>
    <cfRule type="cellIs" dxfId="4917" priority="791" stopIfTrue="1" operator="equal">
      <formula>#REF!</formula>
    </cfRule>
    <cfRule type="cellIs" dxfId="4916" priority="792" stopIfTrue="1" operator="between">
      <formula>#REF!</formula>
      <formula>#REF!</formula>
    </cfRule>
    <cfRule type="cellIs" dxfId="4915" priority="583" stopIfTrue="1" operator="equal">
      <formula>#REF!</formula>
    </cfRule>
    <cfRule type="cellIs" dxfId="4914" priority="367" stopIfTrue="1" operator="equal">
      <formula>#REF!</formula>
    </cfRule>
  </conditionalFormatting>
  <conditionalFormatting sqref="CP106:CQ106">
    <cfRule type="cellIs" dxfId="4913" priority="9260" stopIfTrue="1" operator="equal">
      <formula>#REF!</formula>
    </cfRule>
  </conditionalFormatting>
  <conditionalFormatting sqref="CP107:CQ107">
    <cfRule type="cellIs" dxfId="4912" priority="9176" stopIfTrue="1" operator="equal">
      <formula>#REF!</formula>
    </cfRule>
    <cfRule type="cellIs" dxfId="4911" priority="9175" stopIfTrue="1" operator="equal">
      <formula>#REF!</formula>
    </cfRule>
  </conditionalFormatting>
  <conditionalFormatting sqref="CP108:CQ108">
    <cfRule type="cellIs" dxfId="4910" priority="9089" stopIfTrue="1" operator="equal">
      <formula>#REF!</formula>
    </cfRule>
    <cfRule type="cellIs" dxfId="4909" priority="9088" stopIfTrue="1" operator="equal">
      <formula>#REF!</formula>
    </cfRule>
  </conditionalFormatting>
  <conditionalFormatting sqref="CP109:CQ109">
    <cfRule type="cellIs" dxfId="4908" priority="8990" stopIfTrue="1" operator="equal">
      <formula>#REF!</formula>
    </cfRule>
    <cfRule type="cellIs" dxfId="4907" priority="8989" stopIfTrue="1" operator="equal">
      <formula>#REF!</formula>
    </cfRule>
  </conditionalFormatting>
  <conditionalFormatting sqref="CP110:CQ110">
    <cfRule type="cellIs" dxfId="4906" priority="8881" stopIfTrue="1" operator="equal">
      <formula>#REF!</formula>
    </cfRule>
    <cfRule type="cellIs" dxfId="4905" priority="8882" stopIfTrue="1" operator="equal">
      <formula>#REF!</formula>
    </cfRule>
  </conditionalFormatting>
  <conditionalFormatting sqref="CP111:CQ111">
    <cfRule type="cellIs" dxfId="4904" priority="8765" stopIfTrue="1" operator="equal">
      <formula>#REF!</formula>
    </cfRule>
    <cfRule type="cellIs" dxfId="4903" priority="8764" stopIfTrue="1" operator="equal">
      <formula>#REF!</formula>
    </cfRule>
  </conditionalFormatting>
  <conditionalFormatting sqref="CP112:CQ112">
    <cfRule type="cellIs" dxfId="4902" priority="8639" stopIfTrue="1" operator="equal">
      <formula>#REF!</formula>
    </cfRule>
    <cfRule type="cellIs" dxfId="4901" priority="8638" stopIfTrue="1" operator="equal">
      <formula>#REF!</formula>
    </cfRule>
  </conditionalFormatting>
  <conditionalFormatting sqref="CP113:CQ113">
    <cfRule type="cellIs" dxfId="4900" priority="8504" stopIfTrue="1" operator="equal">
      <formula>#REF!</formula>
    </cfRule>
    <cfRule type="cellIs" dxfId="4899" priority="8503" stopIfTrue="1" operator="equal">
      <formula>#REF!</formula>
    </cfRule>
  </conditionalFormatting>
  <conditionalFormatting sqref="CP114:CQ115">
    <cfRule type="cellIs" dxfId="4898" priority="8360" stopIfTrue="1" operator="equal">
      <formula>#REF!</formula>
    </cfRule>
    <cfRule type="cellIs" dxfId="4897" priority="8359" stopIfTrue="1" operator="equal">
      <formula>#REF!</formula>
    </cfRule>
  </conditionalFormatting>
  <conditionalFormatting sqref="CP116:CQ116">
    <cfRule type="cellIs" dxfId="4896" priority="8197" stopIfTrue="1" operator="equal">
      <formula>#REF!</formula>
    </cfRule>
    <cfRule type="cellIs" dxfId="4895" priority="8198" stopIfTrue="1" operator="equal">
      <formula>#REF!</formula>
    </cfRule>
  </conditionalFormatting>
  <conditionalFormatting sqref="CP117:CQ129">
    <cfRule type="cellIs" dxfId="4894" priority="8054" stopIfTrue="1" operator="equal">
      <formula>#REF!</formula>
    </cfRule>
    <cfRule type="cellIs" dxfId="4893" priority="8053" stopIfTrue="1" operator="equal">
      <formula>#REF!</formula>
    </cfRule>
  </conditionalFormatting>
  <conditionalFormatting sqref="CP121:CQ129">
    <cfRule type="cellIs" dxfId="4892" priority="7955" stopIfTrue="1" operator="equal">
      <formula>#REF!</formula>
    </cfRule>
    <cfRule type="cellIs" dxfId="4891" priority="7954" stopIfTrue="1" operator="equal">
      <formula>#REF!</formula>
    </cfRule>
  </conditionalFormatting>
  <conditionalFormatting sqref="CP125:CQ129">
    <cfRule type="cellIs" dxfId="4890" priority="7847" stopIfTrue="1" operator="equal">
      <formula>#REF!</formula>
    </cfRule>
    <cfRule type="cellIs" dxfId="4889" priority="7846" stopIfTrue="1" operator="equal">
      <formula>#REF!</formula>
    </cfRule>
    <cfRule type="cellIs" dxfId="4888" priority="7747" stopIfTrue="1" operator="equal">
      <formula>#REF!</formula>
    </cfRule>
    <cfRule type="cellIs" dxfId="4887" priority="7748" stopIfTrue="1" operator="equal">
      <formula>#REF!</formula>
    </cfRule>
  </conditionalFormatting>
  <conditionalFormatting sqref="CP126:CQ129">
    <cfRule type="cellIs" dxfId="4886" priority="7631" stopIfTrue="1" operator="equal">
      <formula>#REF!</formula>
    </cfRule>
    <cfRule type="cellIs" dxfId="4885" priority="7630" stopIfTrue="1" operator="equal">
      <formula>#REF!</formula>
    </cfRule>
    <cfRule type="cellIs" dxfId="4884" priority="7531" stopIfTrue="1" operator="equal">
      <formula>#REF!</formula>
    </cfRule>
    <cfRule type="cellIs" dxfId="4883" priority="7424" stopIfTrue="1" operator="equal">
      <formula>#REF!</formula>
    </cfRule>
    <cfRule type="cellIs" dxfId="4882" priority="7423" stopIfTrue="1" operator="equal">
      <formula>#REF!</formula>
    </cfRule>
    <cfRule type="cellIs" dxfId="4881" priority="7532" stopIfTrue="1" operator="equal">
      <formula>#REF!</formula>
    </cfRule>
  </conditionalFormatting>
  <conditionalFormatting sqref="CP130:CQ130">
    <cfRule type="cellIs" dxfId="4880" priority="7144" stopIfTrue="1" operator="equal">
      <formula>#REF!</formula>
    </cfRule>
    <cfRule type="cellIs" dxfId="4879" priority="6623" stopIfTrue="1" operator="equal">
      <formula>#REF!</formula>
    </cfRule>
    <cfRule type="cellIs" dxfId="4878" priority="6622" stopIfTrue="1" operator="equal">
      <formula>#REF!</formula>
    </cfRule>
    <cfRule type="cellIs" dxfId="4877" priority="6721" stopIfTrue="1" operator="equal">
      <formula>#REF!</formula>
    </cfRule>
    <cfRule type="cellIs" dxfId="4876" priority="6515" stopIfTrue="1" operator="equal">
      <formula>#REF!</formula>
    </cfRule>
    <cfRule type="cellIs" dxfId="4875" priority="6514" stopIfTrue="1" operator="equal">
      <formula>#REF!</formula>
    </cfRule>
    <cfRule type="cellIs" dxfId="4874" priority="6938" stopIfTrue="1" operator="equal">
      <formula>#REF!</formula>
    </cfRule>
    <cfRule type="cellIs" dxfId="4873" priority="6722" stopIfTrue="1" operator="equal">
      <formula>#REF!</formula>
    </cfRule>
    <cfRule type="cellIs" dxfId="4872" priority="6937" stopIfTrue="1" operator="equal">
      <formula>#REF!</formula>
    </cfRule>
    <cfRule type="cellIs" dxfId="4871" priority="6838" stopIfTrue="1" operator="equal">
      <formula>#REF!</formula>
    </cfRule>
    <cfRule type="cellIs" dxfId="4870" priority="6839" stopIfTrue="1" operator="equal">
      <formula>#REF!</formula>
    </cfRule>
    <cfRule type="cellIs" dxfId="4869" priority="7045" stopIfTrue="1" operator="equal">
      <formula>#REF!</formula>
    </cfRule>
    <cfRule type="cellIs" dxfId="4868" priority="7046" stopIfTrue="1" operator="equal">
      <formula>#REF!</formula>
    </cfRule>
    <cfRule type="cellIs" dxfId="4867" priority="7145" stopIfTrue="1" operator="equal">
      <formula>#REF!</formula>
    </cfRule>
  </conditionalFormatting>
  <conditionalFormatting sqref="CP131:CQ141">
    <cfRule type="cellIs" dxfId="4866" priority="6029" stopIfTrue="1" operator="equal">
      <formula>#REF!</formula>
    </cfRule>
    <cfRule type="cellIs" dxfId="4865" priority="5714" stopIfTrue="1" operator="equal">
      <formula>#REF!</formula>
    </cfRule>
    <cfRule type="cellIs" dxfId="4864" priority="5713" stopIfTrue="1" operator="equal">
      <formula>#REF!</formula>
    </cfRule>
    <cfRule type="cellIs" dxfId="4863" priority="6235" stopIfTrue="1" operator="equal">
      <formula>#REF!</formula>
    </cfRule>
    <cfRule type="cellIs" dxfId="4862" priority="6236" stopIfTrue="1" operator="equal">
      <formula>#REF!</formula>
    </cfRule>
    <cfRule type="cellIs" dxfId="4861" priority="6137" stopIfTrue="1" operator="equal">
      <formula>#REF!</formula>
    </cfRule>
    <cfRule type="cellIs" dxfId="4860" priority="6136" stopIfTrue="1" operator="equal">
      <formula>#REF!</formula>
    </cfRule>
    <cfRule type="cellIs" dxfId="4859" priority="5929" stopIfTrue="1" operator="equal">
      <formula>#REF!</formula>
    </cfRule>
    <cfRule type="cellIs" dxfId="4858" priority="5930" stopIfTrue="1" operator="equal">
      <formula>#REF!</formula>
    </cfRule>
    <cfRule type="cellIs" dxfId="4857" priority="5812" stopIfTrue="1" operator="equal">
      <formula>#REF!</formula>
    </cfRule>
    <cfRule type="cellIs" dxfId="4856" priority="5813" stopIfTrue="1" operator="equal">
      <formula>#REF!</formula>
    </cfRule>
    <cfRule type="cellIs" dxfId="4855" priority="6028" stopIfTrue="1" operator="equal">
      <formula>#REF!</formula>
    </cfRule>
    <cfRule type="cellIs" dxfId="4854" priority="5606" stopIfTrue="1" operator="equal">
      <formula>#REF!</formula>
    </cfRule>
    <cfRule type="cellIs" dxfId="4853" priority="5605" stopIfTrue="1" operator="equal">
      <formula>#REF!</formula>
    </cfRule>
  </conditionalFormatting>
  <conditionalFormatting sqref="CP142:CQ143">
    <cfRule type="cellIs" dxfId="4852" priority="5345" stopIfTrue="1" operator="equal">
      <formula>#REF!</formula>
    </cfRule>
    <cfRule type="cellIs" dxfId="4851" priority="5344" stopIfTrue="1" operator="equal">
      <formula>#REF!</formula>
    </cfRule>
    <cfRule type="cellIs" dxfId="4850" priority="4714" stopIfTrue="1" operator="equal">
      <formula>#REF!</formula>
    </cfRule>
    <cfRule type="cellIs" dxfId="4849" priority="5245" stopIfTrue="1" operator="equal">
      <formula>#REF!</formula>
    </cfRule>
    <cfRule type="cellIs" dxfId="4848" priority="5246" stopIfTrue="1" operator="equal">
      <formula>#REF!</formula>
    </cfRule>
    <cfRule type="cellIs" dxfId="4847" priority="5038" stopIfTrue="1" operator="equal">
      <formula>#REF!</formula>
    </cfRule>
    <cfRule type="cellIs" dxfId="4846" priority="5039" stopIfTrue="1" operator="equal">
      <formula>#REF!</formula>
    </cfRule>
    <cfRule type="cellIs" dxfId="4845" priority="4921" stopIfTrue="1" operator="equal">
      <formula>#REF!</formula>
    </cfRule>
    <cfRule type="cellIs" dxfId="4844" priority="5137" stopIfTrue="1" operator="equal">
      <formula>#REF!</formula>
    </cfRule>
    <cfRule type="cellIs" dxfId="4843" priority="5138" stopIfTrue="1" operator="equal">
      <formula>#REF!</formula>
    </cfRule>
    <cfRule type="cellIs" dxfId="4842" priority="4822" stopIfTrue="1" operator="equal">
      <formula>#REF!</formula>
    </cfRule>
  </conditionalFormatting>
  <conditionalFormatting sqref="CP144:CQ173">
    <cfRule type="cellIs" dxfId="4841" priority="3823" stopIfTrue="1" operator="equal">
      <formula>#REF!</formula>
    </cfRule>
    <cfRule type="cellIs" dxfId="4840" priority="4354" stopIfTrue="1" operator="equal">
      <formula>#REF!</formula>
    </cfRule>
    <cfRule type="cellIs" dxfId="4839" priority="3931" stopIfTrue="1" operator="equal">
      <formula>#REF!</formula>
    </cfRule>
    <cfRule type="cellIs" dxfId="4838" priority="4147" stopIfTrue="1" operator="equal">
      <formula>#REF!</formula>
    </cfRule>
    <cfRule type="cellIs" dxfId="4837" priority="4453" stopIfTrue="1" operator="equal">
      <formula>#REF!</formula>
    </cfRule>
    <cfRule type="cellIs" dxfId="4836" priority="4246" stopIfTrue="1" operator="equal">
      <formula>#REF!</formula>
    </cfRule>
    <cfRule type="cellIs" dxfId="4835" priority="4030" stopIfTrue="1" operator="equal">
      <formula>#REF!</formula>
    </cfRule>
  </conditionalFormatting>
  <conditionalFormatting sqref="CP174:CQ199">
    <cfRule type="cellIs" dxfId="4834" priority="358" stopIfTrue="1" operator="equal">
      <formula>#REF!</formula>
    </cfRule>
    <cfRule type="cellIs" dxfId="4833" priority="781" stopIfTrue="1" operator="equal">
      <formula>#REF!</formula>
    </cfRule>
    <cfRule type="cellIs" dxfId="4832" priority="880" stopIfTrue="1" operator="equal">
      <formula>#REF!</formula>
    </cfRule>
    <cfRule type="cellIs" dxfId="4831" priority="250" stopIfTrue="1" operator="equal">
      <formula>#REF!</formula>
    </cfRule>
    <cfRule type="cellIs" dxfId="4830" priority="673" stopIfTrue="1" operator="equal">
      <formula>#REF!</formula>
    </cfRule>
    <cfRule type="cellIs" dxfId="4829" priority="574" stopIfTrue="1" operator="equal">
      <formula>#REF!</formula>
    </cfRule>
    <cfRule type="cellIs" dxfId="4828" priority="457" stopIfTrue="1" operator="equal">
      <formula>#REF!</formula>
    </cfRule>
  </conditionalFormatting>
  <conditionalFormatting sqref="CP106:CR106">
    <cfRule type="cellIs" dxfId="4827" priority="9259" stopIfTrue="1" operator="equal">
      <formula>#REF!</formula>
    </cfRule>
  </conditionalFormatting>
  <conditionalFormatting sqref="CQ106">
    <cfRule type="cellIs" dxfId="4826" priority="9256" stopIfTrue="1" operator="equal">
      <formula>#REF!</formula>
    </cfRule>
    <cfRule type="cellIs" dxfId="4825" priority="9261" stopIfTrue="1" operator="between">
      <formula>#REF!</formula>
      <formula>#REF!</formula>
    </cfRule>
    <cfRule type="cellIs" dxfId="4824" priority="9258" stopIfTrue="1" operator="between">
      <formula>#REF!</formula>
      <formula>#REF!</formula>
    </cfRule>
    <cfRule type="cellIs" dxfId="4823" priority="9255" stopIfTrue="1" operator="between">
      <formula>#REF!</formula>
      <formula>#REF!</formula>
    </cfRule>
    <cfRule type="cellIs" dxfId="4822" priority="9257" stopIfTrue="1" operator="equal">
      <formula>#REF!</formula>
    </cfRule>
  </conditionalFormatting>
  <conditionalFormatting sqref="CQ106:CQ107">
    <cfRule type="cellIs" dxfId="4821" priority="9178" stopIfTrue="1" operator="equal">
      <formula>#REF!</formula>
    </cfRule>
    <cfRule type="cellIs" dxfId="4820" priority="9179" stopIfTrue="1" operator="equal">
      <formula>#REF!</formula>
    </cfRule>
  </conditionalFormatting>
  <conditionalFormatting sqref="CQ107">
    <cfRule type="cellIs" dxfId="4819" priority="9180" stopIfTrue="1" operator="between">
      <formula>#REF!</formula>
      <formula>#REF!</formula>
    </cfRule>
    <cfRule type="cellIs" dxfId="4818" priority="9177" stopIfTrue="1" operator="between">
      <formula>#REF!</formula>
      <formula>#REF!</formula>
    </cfRule>
    <cfRule type="cellIs" dxfId="4817" priority="9174" stopIfTrue="1" operator="between">
      <formula>#REF!</formula>
      <formula>#REF!</formula>
    </cfRule>
  </conditionalFormatting>
  <conditionalFormatting sqref="CQ108">
    <cfRule type="cellIs" dxfId="4816" priority="9090" stopIfTrue="1" operator="between">
      <formula>#REF!</formula>
      <formula>#REF!</formula>
    </cfRule>
    <cfRule type="cellIs" dxfId="4815" priority="9087" stopIfTrue="1" operator="between">
      <formula>#REF!</formula>
      <formula>#REF!</formula>
    </cfRule>
    <cfRule type="cellIs" dxfId="4814" priority="9086" stopIfTrue="1" operator="equal">
      <formula>#REF!</formula>
    </cfRule>
    <cfRule type="cellIs" dxfId="4813" priority="9085" stopIfTrue="1" operator="equal">
      <formula>#REF!</formula>
    </cfRule>
    <cfRule type="cellIs" dxfId="4812" priority="9084" stopIfTrue="1" operator="between">
      <formula>#REF!</formula>
      <formula>#REF!</formula>
    </cfRule>
  </conditionalFormatting>
  <conditionalFormatting sqref="CQ109">
    <cfRule type="cellIs" dxfId="4811" priority="8985" stopIfTrue="1" operator="between">
      <formula>#REF!</formula>
      <formula>#REF!</formula>
    </cfRule>
    <cfRule type="cellIs" dxfId="4810" priority="8986" stopIfTrue="1" operator="equal">
      <formula>#REF!</formula>
    </cfRule>
    <cfRule type="cellIs" dxfId="4809" priority="8987" stopIfTrue="1" operator="equal">
      <formula>#REF!</formula>
    </cfRule>
    <cfRule type="cellIs" dxfId="4808" priority="8988" stopIfTrue="1" operator="between">
      <formula>#REF!</formula>
      <formula>#REF!</formula>
    </cfRule>
    <cfRule type="cellIs" dxfId="4807" priority="8991" stopIfTrue="1" operator="between">
      <formula>#REF!</formula>
      <formula>#REF!</formula>
    </cfRule>
  </conditionalFormatting>
  <conditionalFormatting sqref="CQ110">
    <cfRule type="cellIs" dxfId="4806" priority="8877" stopIfTrue="1" operator="between">
      <formula>#REF!</formula>
      <formula>#REF!</formula>
    </cfRule>
    <cfRule type="cellIs" dxfId="4805" priority="8883" stopIfTrue="1" operator="between">
      <formula>#REF!</formula>
      <formula>#REF!</formula>
    </cfRule>
    <cfRule type="cellIs" dxfId="4804" priority="8880" stopIfTrue="1" operator="between">
      <formula>#REF!</formula>
      <formula>#REF!</formula>
    </cfRule>
    <cfRule type="cellIs" dxfId="4803" priority="8879" stopIfTrue="1" operator="equal">
      <formula>#REF!</formula>
    </cfRule>
    <cfRule type="cellIs" dxfId="4802" priority="8878" stopIfTrue="1" operator="equal">
      <formula>#REF!</formula>
    </cfRule>
  </conditionalFormatting>
  <conditionalFormatting sqref="CQ111">
    <cfRule type="cellIs" dxfId="4801" priority="8760" stopIfTrue="1" operator="between">
      <formula>#REF!</formula>
      <formula>#REF!</formula>
    </cfRule>
    <cfRule type="cellIs" dxfId="4800" priority="8766" stopIfTrue="1" operator="between">
      <formula>#REF!</formula>
      <formula>#REF!</formula>
    </cfRule>
    <cfRule type="cellIs" dxfId="4799" priority="8763" stopIfTrue="1" operator="between">
      <formula>#REF!</formula>
      <formula>#REF!</formula>
    </cfRule>
    <cfRule type="cellIs" dxfId="4798" priority="8762" stopIfTrue="1" operator="equal">
      <formula>#REF!</formula>
    </cfRule>
    <cfRule type="cellIs" dxfId="4797" priority="8761" stopIfTrue="1" operator="equal">
      <formula>#REF!</formula>
    </cfRule>
  </conditionalFormatting>
  <conditionalFormatting sqref="CQ112">
    <cfRule type="cellIs" dxfId="4796" priority="8634" stopIfTrue="1" operator="between">
      <formula>#REF!</formula>
      <formula>#REF!</formula>
    </cfRule>
    <cfRule type="cellIs" dxfId="4795" priority="8635" stopIfTrue="1" operator="equal">
      <formula>#REF!</formula>
    </cfRule>
    <cfRule type="cellIs" dxfId="4794" priority="8636" stopIfTrue="1" operator="equal">
      <formula>#REF!</formula>
    </cfRule>
    <cfRule type="cellIs" dxfId="4793" priority="8637" stopIfTrue="1" operator="between">
      <formula>#REF!</formula>
      <formula>#REF!</formula>
    </cfRule>
    <cfRule type="cellIs" dxfId="4792" priority="8640" stopIfTrue="1" operator="between">
      <formula>#REF!</formula>
      <formula>#REF!</formula>
    </cfRule>
  </conditionalFormatting>
  <conditionalFormatting sqref="CQ113">
    <cfRule type="cellIs" dxfId="4791" priority="8502" stopIfTrue="1" operator="between">
      <formula>#REF!</formula>
      <formula>#REF!</formula>
    </cfRule>
    <cfRule type="cellIs" dxfId="4790" priority="8500" stopIfTrue="1" operator="equal">
      <formula>#REF!</formula>
    </cfRule>
    <cfRule type="cellIs" dxfId="4789" priority="8501" stopIfTrue="1" operator="equal">
      <formula>#REF!</formula>
    </cfRule>
    <cfRule type="cellIs" dxfId="4788" priority="8499" stopIfTrue="1" operator="between">
      <formula>#REF!</formula>
      <formula>#REF!</formula>
    </cfRule>
    <cfRule type="cellIs" dxfId="4787" priority="8505" stopIfTrue="1" operator="between">
      <formula>#REF!</formula>
      <formula>#REF!</formula>
    </cfRule>
  </conditionalFormatting>
  <conditionalFormatting sqref="CQ114:CQ115">
    <cfRule type="cellIs" dxfId="4786" priority="8361" stopIfTrue="1" operator="between">
      <formula>#REF!</formula>
      <formula>#REF!</formula>
    </cfRule>
    <cfRule type="cellIs" dxfId="4785" priority="8355" stopIfTrue="1" operator="between">
      <formula>#REF!</formula>
      <formula>#REF!</formula>
    </cfRule>
    <cfRule type="cellIs" dxfId="4784" priority="8357" stopIfTrue="1" operator="equal">
      <formula>#REF!</formula>
    </cfRule>
    <cfRule type="cellIs" dxfId="4783" priority="8356" stopIfTrue="1" operator="equal">
      <formula>#REF!</formula>
    </cfRule>
    <cfRule type="cellIs" dxfId="4782" priority="8358" stopIfTrue="1" operator="between">
      <formula>#REF!</formula>
      <formula>#REF!</formula>
    </cfRule>
  </conditionalFormatting>
  <conditionalFormatting sqref="CQ116">
    <cfRule type="cellIs" dxfId="4781" priority="8196" stopIfTrue="1" operator="between">
      <formula>#REF!</formula>
      <formula>#REF!</formula>
    </cfRule>
    <cfRule type="cellIs" dxfId="4780" priority="8193" stopIfTrue="1" operator="between">
      <formula>#REF!</formula>
      <formula>#REF!</formula>
    </cfRule>
    <cfRule type="cellIs" dxfId="4779" priority="8194" stopIfTrue="1" operator="equal">
      <formula>#REF!</formula>
    </cfRule>
    <cfRule type="cellIs" dxfId="4778" priority="8195" stopIfTrue="1" operator="equal">
      <formula>#REF!</formula>
    </cfRule>
    <cfRule type="cellIs" dxfId="4777" priority="8199" stopIfTrue="1" operator="between">
      <formula>#REF!</formula>
      <formula>#REF!</formula>
    </cfRule>
  </conditionalFormatting>
  <conditionalFormatting sqref="CQ117:CQ129">
    <cfRule type="cellIs" dxfId="4776" priority="8055" stopIfTrue="1" operator="between">
      <formula>#REF!</formula>
      <formula>#REF!</formula>
    </cfRule>
    <cfRule type="cellIs" dxfId="4775" priority="8051" stopIfTrue="1" operator="equal">
      <formula>#REF!</formula>
    </cfRule>
    <cfRule type="cellIs" dxfId="4774" priority="8050" stopIfTrue="1" operator="equal">
      <formula>#REF!</formula>
    </cfRule>
    <cfRule type="cellIs" dxfId="4773" priority="8049" stopIfTrue="1" operator="between">
      <formula>#REF!</formula>
      <formula>#REF!</formula>
    </cfRule>
    <cfRule type="cellIs" dxfId="4772" priority="8052" stopIfTrue="1" operator="between">
      <formula>#REF!</formula>
      <formula>#REF!</formula>
    </cfRule>
  </conditionalFormatting>
  <conditionalFormatting sqref="CQ121:CQ129">
    <cfRule type="cellIs" dxfId="4771" priority="7951" stopIfTrue="1" operator="equal">
      <formula>#REF!</formula>
    </cfRule>
    <cfRule type="cellIs" dxfId="4770" priority="7950" stopIfTrue="1" operator="between">
      <formula>#REF!</formula>
      <formula>#REF!</formula>
    </cfRule>
    <cfRule type="cellIs" dxfId="4769" priority="7956" stopIfTrue="1" operator="between">
      <formula>#REF!</formula>
      <formula>#REF!</formula>
    </cfRule>
    <cfRule type="cellIs" dxfId="4768" priority="7952" stopIfTrue="1" operator="equal">
      <formula>#REF!</formula>
    </cfRule>
    <cfRule type="cellIs" dxfId="4767" priority="7953" stopIfTrue="1" operator="between">
      <formula>#REF!</formula>
      <formula>#REF!</formula>
    </cfRule>
  </conditionalFormatting>
  <conditionalFormatting sqref="CQ125:CQ129">
    <cfRule type="cellIs" dxfId="4766" priority="7745" stopIfTrue="1" operator="equal">
      <formula>#REF!</formula>
    </cfRule>
    <cfRule type="cellIs" dxfId="4765" priority="7845" stopIfTrue="1" operator="between">
      <formula>#REF!</formula>
      <formula>#REF!</formula>
    </cfRule>
    <cfRule type="cellIs" dxfId="4764" priority="7848" stopIfTrue="1" operator="between">
      <formula>#REF!</formula>
      <formula>#REF!</formula>
    </cfRule>
    <cfRule type="cellIs" dxfId="4763" priority="7843" stopIfTrue="1" operator="equal">
      <formula>#REF!</formula>
    </cfRule>
    <cfRule type="cellIs" dxfId="4762" priority="7842" stopIfTrue="1" operator="between">
      <formula>#REF!</formula>
      <formula>#REF!</formula>
    </cfRule>
    <cfRule type="cellIs" dxfId="4761" priority="7844" stopIfTrue="1" operator="equal">
      <formula>#REF!</formula>
    </cfRule>
    <cfRule type="cellIs" dxfId="4760" priority="7749" stopIfTrue="1" operator="between">
      <formula>#REF!</formula>
      <formula>#REF!</formula>
    </cfRule>
    <cfRule type="cellIs" dxfId="4759" priority="7746" stopIfTrue="1" operator="between">
      <formula>#REF!</formula>
      <formula>#REF!</formula>
    </cfRule>
    <cfRule type="cellIs" dxfId="4758" priority="7744" stopIfTrue="1" operator="equal">
      <formula>#REF!</formula>
    </cfRule>
    <cfRule type="cellIs" dxfId="4757" priority="7743" stopIfTrue="1" operator="between">
      <formula>#REF!</formula>
      <formula>#REF!</formula>
    </cfRule>
  </conditionalFormatting>
  <conditionalFormatting sqref="CQ126:CQ129">
    <cfRule type="cellIs" dxfId="4756" priority="7421" stopIfTrue="1" operator="equal">
      <formula>#REF!</formula>
    </cfRule>
    <cfRule type="cellIs" dxfId="4755" priority="7321" stopIfTrue="1" operator="equal">
      <formula>#REF!</formula>
    </cfRule>
    <cfRule type="cellIs" dxfId="4754" priority="7322" stopIfTrue="1" operator="equal">
      <formula>#REF!</formula>
    </cfRule>
    <cfRule type="cellIs" dxfId="4753" priority="7529" stopIfTrue="1" operator="equal">
      <formula>#REF!</formula>
    </cfRule>
    <cfRule type="cellIs" dxfId="4752" priority="7527" stopIfTrue="1" operator="between">
      <formula>#REF!</formula>
      <formula>#REF!</formula>
    </cfRule>
    <cfRule type="cellIs" dxfId="4751" priority="7528" stopIfTrue="1" operator="equal">
      <formula>#REF!</formula>
    </cfRule>
    <cfRule type="cellIs" dxfId="4750" priority="7530" stopIfTrue="1" operator="between">
      <formula>#REF!</formula>
      <formula>#REF!</formula>
    </cfRule>
    <cfRule type="cellIs" dxfId="4749" priority="7533" stopIfTrue="1" operator="between">
      <formula>#REF!</formula>
      <formula>#REF!</formula>
    </cfRule>
    <cfRule type="cellIs" dxfId="4748" priority="7419" stopIfTrue="1" operator="between">
      <formula>#REF!</formula>
      <formula>#REF!</formula>
    </cfRule>
    <cfRule type="cellIs" dxfId="4747" priority="7420" stopIfTrue="1" operator="equal">
      <formula>#REF!</formula>
    </cfRule>
    <cfRule type="cellIs" dxfId="4746" priority="7632" stopIfTrue="1" operator="between">
      <formula>#REF!</formula>
      <formula>#REF!</formula>
    </cfRule>
    <cfRule type="cellIs" dxfId="4745" priority="7326" stopIfTrue="1" operator="between">
      <formula>#REF!</formula>
      <formula>#REF!</formula>
    </cfRule>
    <cfRule type="cellIs" dxfId="4744" priority="7325" stopIfTrue="1" operator="equal">
      <formula>#REF!</formula>
    </cfRule>
    <cfRule type="cellIs" dxfId="4743" priority="7323" stopIfTrue="1" operator="between">
      <formula>#REF!</formula>
      <formula>#REF!</formula>
    </cfRule>
    <cfRule type="cellIs" dxfId="4742" priority="7324" stopIfTrue="1" operator="equal">
      <formula>#REF!</formula>
    </cfRule>
    <cfRule type="cellIs" dxfId="4741" priority="7422" stopIfTrue="1" operator="between">
      <formula>#REF!</formula>
      <formula>#REF!</formula>
    </cfRule>
    <cfRule type="cellIs" dxfId="4740" priority="7629" stopIfTrue="1" operator="between">
      <formula>#REF!</formula>
      <formula>#REF!</formula>
    </cfRule>
    <cfRule type="cellIs" dxfId="4739" priority="7628" stopIfTrue="1" operator="equal">
      <formula>#REF!</formula>
    </cfRule>
    <cfRule type="cellIs" dxfId="4738" priority="7627" stopIfTrue="1" operator="equal">
      <formula>#REF!</formula>
    </cfRule>
    <cfRule type="cellIs" dxfId="4737" priority="7626" stopIfTrue="1" operator="between">
      <formula>#REF!</formula>
      <formula>#REF!</formula>
    </cfRule>
    <cfRule type="cellIs" dxfId="4736" priority="7425" stopIfTrue="1" operator="between">
      <formula>#REF!</formula>
      <formula>#REF!</formula>
    </cfRule>
    <cfRule type="cellIs" dxfId="4735" priority="7320" stopIfTrue="1" operator="between">
      <formula>#REF!</formula>
      <formula>#REF!</formula>
    </cfRule>
  </conditionalFormatting>
  <conditionalFormatting sqref="CQ130">
    <cfRule type="cellIs" dxfId="4734" priority="6416" stopIfTrue="1" operator="equal">
      <formula>#REF!</formula>
    </cfRule>
    <cfRule type="cellIs" dxfId="4733" priority="6417" stopIfTrue="1" operator="between">
      <formula>#REF!</formula>
      <formula>#REF!</formula>
    </cfRule>
    <cfRule type="cellIs" dxfId="4732" priority="6516" stopIfTrue="1" operator="between">
      <formula>#REF!</formula>
      <formula>#REF!</formula>
    </cfRule>
    <cfRule type="cellIs" dxfId="4731" priority="6619" stopIfTrue="1" operator="equal">
      <formula>#REF!</formula>
    </cfRule>
    <cfRule type="cellIs" dxfId="4730" priority="6620" stopIfTrue="1" operator="equal">
      <formula>#REF!</formula>
    </cfRule>
    <cfRule type="cellIs" dxfId="4729" priority="6834" stopIfTrue="1" operator="between">
      <formula>#REF!</formula>
      <formula>#REF!</formula>
    </cfRule>
    <cfRule type="cellIs" dxfId="4728" priority="6835" stopIfTrue="1" operator="equal">
      <formula>#REF!</formula>
    </cfRule>
    <cfRule type="cellIs" dxfId="4727" priority="6836" stopIfTrue="1" operator="equal">
      <formula>#REF!</formula>
    </cfRule>
    <cfRule type="cellIs" dxfId="4726" priority="6837" stopIfTrue="1" operator="between">
      <formula>#REF!</formula>
      <formula>#REF!</formula>
    </cfRule>
    <cfRule type="cellIs" dxfId="4725" priority="6840" stopIfTrue="1" operator="between">
      <formula>#REF!</formula>
      <formula>#REF!</formula>
    </cfRule>
    <cfRule type="cellIs" dxfId="4724" priority="6723" stopIfTrue="1" operator="between">
      <formula>#REF!</formula>
      <formula>#REF!</formula>
    </cfRule>
    <cfRule type="cellIs" dxfId="4723" priority="6720" stopIfTrue="1" operator="between">
      <formula>#REF!</formula>
      <formula>#REF!</formula>
    </cfRule>
    <cfRule type="cellIs" dxfId="4722" priority="6719" stopIfTrue="1" operator="equal">
      <formula>#REF!</formula>
    </cfRule>
    <cfRule type="cellIs" dxfId="4721" priority="6718" stopIfTrue="1" operator="equal">
      <formula>#REF!</formula>
    </cfRule>
    <cfRule type="cellIs" dxfId="4720" priority="6717" stopIfTrue="1" operator="between">
      <formula>#REF!</formula>
      <formula>#REF!</formula>
    </cfRule>
    <cfRule type="cellIs" dxfId="4719" priority="6621" stopIfTrue="1" operator="between">
      <formula>#REF!</formula>
      <formula>#REF!</formula>
    </cfRule>
    <cfRule type="cellIs" dxfId="4718" priority="6510" stopIfTrue="1" operator="between">
      <formula>#REF!</formula>
      <formula>#REF!</formula>
    </cfRule>
    <cfRule type="cellIs" dxfId="4717" priority="6511" stopIfTrue="1" operator="equal">
      <formula>#REF!</formula>
    </cfRule>
    <cfRule type="cellIs" dxfId="4716" priority="6512" stopIfTrue="1" operator="equal">
      <formula>#REF!</formula>
    </cfRule>
    <cfRule type="cellIs" dxfId="4715" priority="6933" stopIfTrue="1" operator="between">
      <formula>#REF!</formula>
      <formula>#REF!</formula>
    </cfRule>
    <cfRule type="cellIs" dxfId="4714" priority="6934" stopIfTrue="1" operator="equal">
      <formula>#REF!</formula>
    </cfRule>
    <cfRule type="cellIs" dxfId="4713" priority="6935" stopIfTrue="1" operator="equal">
      <formula>#REF!</formula>
    </cfRule>
    <cfRule type="cellIs" dxfId="4712" priority="6936" stopIfTrue="1" operator="between">
      <formula>#REF!</formula>
      <formula>#REF!</formula>
    </cfRule>
    <cfRule type="cellIs" dxfId="4711" priority="6939" stopIfTrue="1" operator="between">
      <formula>#REF!</formula>
      <formula>#REF!</formula>
    </cfRule>
    <cfRule type="cellIs" dxfId="4710" priority="6624" stopIfTrue="1" operator="between">
      <formula>#REF!</formula>
      <formula>#REF!</formula>
    </cfRule>
    <cfRule type="cellIs" dxfId="4709" priority="6513" stopIfTrue="1" operator="between">
      <formula>#REF!</formula>
      <formula>#REF!</formula>
    </cfRule>
    <cfRule type="cellIs" dxfId="4708" priority="7041" stopIfTrue="1" operator="between">
      <formula>#REF!</formula>
      <formula>#REF!</formula>
    </cfRule>
    <cfRule type="cellIs" dxfId="4707" priority="7146" stopIfTrue="1" operator="between">
      <formula>#REF!</formula>
      <formula>#REF!</formula>
    </cfRule>
    <cfRule type="cellIs" dxfId="4706" priority="7143" stopIfTrue="1" operator="between">
      <formula>#REF!</formula>
      <formula>#REF!</formula>
    </cfRule>
    <cfRule type="cellIs" dxfId="4705" priority="7142" stopIfTrue="1" operator="equal">
      <formula>#REF!</formula>
    </cfRule>
    <cfRule type="cellIs" dxfId="4704" priority="7141" stopIfTrue="1" operator="equal">
      <formula>#REF!</formula>
    </cfRule>
    <cfRule type="cellIs" dxfId="4703" priority="7140" stopIfTrue="1" operator="between">
      <formula>#REF!</formula>
      <formula>#REF!</formula>
    </cfRule>
    <cfRule type="cellIs" dxfId="4702" priority="7042" stopIfTrue="1" operator="equal">
      <formula>#REF!</formula>
    </cfRule>
    <cfRule type="cellIs" dxfId="4701" priority="7043" stopIfTrue="1" operator="equal">
      <formula>#REF!</formula>
    </cfRule>
    <cfRule type="cellIs" dxfId="4700" priority="7044" stopIfTrue="1" operator="between">
      <formula>#REF!</formula>
      <formula>#REF!</formula>
    </cfRule>
    <cfRule type="cellIs" dxfId="4699" priority="6411" stopIfTrue="1" operator="between">
      <formula>#REF!</formula>
      <formula>#REF!</formula>
    </cfRule>
    <cfRule type="cellIs" dxfId="4698" priority="6412" stopIfTrue="1" operator="equal">
      <formula>#REF!</formula>
    </cfRule>
    <cfRule type="cellIs" dxfId="4697" priority="6413" stopIfTrue="1" operator="equal">
      <formula>#REF!</formula>
    </cfRule>
    <cfRule type="cellIs" dxfId="4696" priority="6414" stopIfTrue="1" operator="between">
      <formula>#REF!</formula>
      <formula>#REF!</formula>
    </cfRule>
    <cfRule type="cellIs" dxfId="4695" priority="6415" stopIfTrue="1" operator="equal">
      <formula>#REF!</formula>
    </cfRule>
    <cfRule type="cellIs" dxfId="4694" priority="7047" stopIfTrue="1" operator="between">
      <formula>#REF!</formula>
      <formula>#REF!</formula>
    </cfRule>
    <cfRule type="cellIs" dxfId="4693" priority="6618" stopIfTrue="1" operator="between">
      <formula>#REF!</formula>
      <formula>#REF!</formula>
    </cfRule>
  </conditionalFormatting>
  <conditionalFormatting sqref="CQ131:CQ141">
    <cfRule type="cellIs" dxfId="4692" priority="6237" stopIfTrue="1" operator="between">
      <formula>#REF!</formula>
      <formula>#REF!</formula>
    </cfRule>
    <cfRule type="cellIs" dxfId="4691" priority="5505" stopIfTrue="1" operator="between">
      <formula>#REF!</formula>
      <formula>#REF!</formula>
    </cfRule>
    <cfRule type="cellIs" dxfId="4690" priority="5710" stopIfTrue="1" operator="equal">
      <formula>#REF!</formula>
    </cfRule>
    <cfRule type="cellIs" dxfId="4689" priority="5711" stopIfTrue="1" operator="equal">
      <formula>#REF!</formula>
    </cfRule>
    <cfRule type="cellIs" dxfId="4688" priority="5506" stopIfTrue="1" operator="equal">
      <formula>#REF!</formula>
    </cfRule>
    <cfRule type="cellIs" dxfId="4687" priority="5503" stopIfTrue="1" operator="equal">
      <formula>#REF!</formula>
    </cfRule>
    <cfRule type="cellIs" dxfId="4686" priority="5507" stopIfTrue="1" operator="equal">
      <formula>#REF!</formula>
    </cfRule>
    <cfRule type="cellIs" dxfId="4685" priority="5508" stopIfTrue="1" operator="between">
      <formula>#REF!</formula>
      <formula>#REF!</formula>
    </cfRule>
    <cfRule type="cellIs" dxfId="4684" priority="5814" stopIfTrue="1" operator="between">
      <formula>#REF!</formula>
      <formula>#REF!</formula>
    </cfRule>
    <cfRule type="cellIs" dxfId="4683" priority="6027" stopIfTrue="1" operator="between">
      <formula>#REF!</formula>
      <formula>#REF!</formula>
    </cfRule>
    <cfRule type="cellIs" dxfId="4682" priority="5811" stopIfTrue="1" operator="between">
      <formula>#REF!</formula>
      <formula>#REF!</formula>
    </cfRule>
    <cfRule type="cellIs" dxfId="4681" priority="5712" stopIfTrue="1" operator="between">
      <formula>#REF!</formula>
      <formula>#REF!</formula>
    </cfRule>
    <cfRule type="cellIs" dxfId="4680" priority="6135" stopIfTrue="1" operator="between">
      <formula>#REF!</formula>
      <formula>#REF!</formula>
    </cfRule>
    <cfRule type="cellIs" dxfId="4679" priority="6134" stopIfTrue="1" operator="equal">
      <formula>#REF!</formula>
    </cfRule>
    <cfRule type="cellIs" dxfId="4678" priority="6024" stopIfTrue="1" operator="between">
      <formula>#REF!</formula>
      <formula>#REF!</formula>
    </cfRule>
    <cfRule type="cellIs" dxfId="4677" priority="5604" stopIfTrue="1" operator="between">
      <formula>#REF!</formula>
      <formula>#REF!</formula>
    </cfRule>
    <cfRule type="cellIs" dxfId="4676" priority="5603" stopIfTrue="1" operator="equal">
      <formula>#REF!</formula>
    </cfRule>
    <cfRule type="cellIs" dxfId="4675" priority="5602" stopIfTrue="1" operator="equal">
      <formula>#REF!</formula>
    </cfRule>
    <cfRule type="cellIs" dxfId="4674" priority="6133" stopIfTrue="1" operator="equal">
      <formula>#REF!</formula>
    </cfRule>
    <cfRule type="cellIs" dxfId="4673" priority="5601" stopIfTrue="1" operator="between">
      <formula>#REF!</formula>
      <formula>#REF!</formula>
    </cfRule>
    <cfRule type="cellIs" dxfId="4672" priority="5931" stopIfTrue="1" operator="between">
      <formula>#REF!</formula>
      <formula>#REF!</formula>
    </cfRule>
    <cfRule type="cellIs" dxfId="4671" priority="6132" stopIfTrue="1" operator="between">
      <formula>#REF!</formula>
      <formula>#REF!</formula>
    </cfRule>
    <cfRule type="cellIs" dxfId="4670" priority="5709" stopIfTrue="1" operator="between">
      <formula>#REF!</formula>
      <formula>#REF!</formula>
    </cfRule>
    <cfRule type="cellIs" dxfId="4669" priority="5810" stopIfTrue="1" operator="equal">
      <formula>#REF!</formula>
    </cfRule>
    <cfRule type="cellIs" dxfId="4668" priority="6234" stopIfTrue="1" operator="between">
      <formula>#REF!</formula>
      <formula>#REF!</formula>
    </cfRule>
    <cfRule type="cellIs" dxfId="4667" priority="5715" stopIfTrue="1" operator="between">
      <formula>#REF!</formula>
      <formula>#REF!</formula>
    </cfRule>
    <cfRule type="cellIs" dxfId="4666" priority="6026" stopIfTrue="1" operator="equal">
      <formula>#REF!</formula>
    </cfRule>
    <cfRule type="cellIs" dxfId="4665" priority="5607" stopIfTrue="1" operator="between">
      <formula>#REF!</formula>
      <formula>#REF!</formula>
    </cfRule>
    <cfRule type="cellIs" dxfId="4664" priority="5925" stopIfTrue="1" operator="between">
      <formula>#REF!</formula>
      <formula>#REF!</formula>
    </cfRule>
    <cfRule type="cellIs" dxfId="4663" priority="5926" stopIfTrue="1" operator="equal">
      <formula>#REF!</formula>
    </cfRule>
    <cfRule type="cellIs" dxfId="4662" priority="5502" stopIfTrue="1" operator="between">
      <formula>#REF!</formula>
      <formula>#REF!</formula>
    </cfRule>
    <cfRule type="cellIs" dxfId="4661" priority="5927" stopIfTrue="1" operator="equal">
      <formula>#REF!</formula>
    </cfRule>
    <cfRule type="cellIs" dxfId="4660" priority="5504" stopIfTrue="1" operator="equal">
      <formula>#REF!</formula>
    </cfRule>
    <cfRule type="cellIs" dxfId="4659" priority="6025" stopIfTrue="1" operator="equal">
      <formula>#REF!</formula>
    </cfRule>
    <cfRule type="cellIs" dxfId="4658" priority="6233" stopIfTrue="1" operator="equal">
      <formula>#REF!</formula>
    </cfRule>
    <cfRule type="cellIs" dxfId="4657" priority="5928" stopIfTrue="1" operator="between">
      <formula>#REF!</formula>
      <formula>#REF!</formula>
    </cfRule>
    <cfRule type="cellIs" dxfId="4656" priority="6138" stopIfTrue="1" operator="between">
      <formula>#REF!</formula>
      <formula>#REF!</formula>
    </cfRule>
    <cfRule type="cellIs" dxfId="4655" priority="6232" stopIfTrue="1" operator="equal">
      <formula>#REF!</formula>
    </cfRule>
    <cfRule type="cellIs" dxfId="4654" priority="5809" stopIfTrue="1" operator="equal">
      <formula>#REF!</formula>
    </cfRule>
    <cfRule type="cellIs" dxfId="4653" priority="6231" stopIfTrue="1" operator="between">
      <formula>#REF!</formula>
      <formula>#REF!</formula>
    </cfRule>
    <cfRule type="cellIs" dxfId="4652" priority="5808" stopIfTrue="1" operator="between">
      <formula>#REF!</formula>
      <formula>#REF!</formula>
    </cfRule>
    <cfRule type="cellIs" dxfId="4651" priority="6030" stopIfTrue="1" operator="between">
      <formula>#REF!</formula>
      <formula>#REF!</formula>
    </cfRule>
  </conditionalFormatting>
  <conditionalFormatting sqref="CQ142:CQ143">
    <cfRule type="cellIs" dxfId="4650" priority="5340" stopIfTrue="1" operator="between">
      <formula>#REF!</formula>
      <formula>#REF!</formula>
    </cfRule>
    <cfRule type="cellIs" dxfId="4649" priority="4617" stopIfTrue="1" operator="between">
      <formula>#REF!</formula>
      <formula>#REF!</formula>
    </cfRule>
    <cfRule type="cellIs" dxfId="4648" priority="4616" stopIfTrue="1" operator="equal">
      <formula>#REF!</formula>
    </cfRule>
    <cfRule type="cellIs" dxfId="4647" priority="5134" stopIfTrue="1" operator="equal">
      <formula>#REF!</formula>
    </cfRule>
    <cfRule type="cellIs" dxfId="4646" priority="4614" stopIfTrue="1" operator="between">
      <formula>#REF!</formula>
      <formula>#REF!</formula>
    </cfRule>
    <cfRule type="cellIs" dxfId="4645" priority="4613" stopIfTrue="1" operator="equal">
      <formula>#REF!</formula>
    </cfRule>
    <cfRule type="cellIs" dxfId="4644" priority="4612" stopIfTrue="1" operator="equal">
      <formula>#REF!</formula>
    </cfRule>
    <cfRule type="cellIs" dxfId="4643" priority="5341" stopIfTrue="1" operator="equal">
      <formula>#REF!</formula>
    </cfRule>
    <cfRule type="cellIs" dxfId="4642" priority="4916" stopIfTrue="1" operator="equal">
      <formula>#REF!</formula>
    </cfRule>
    <cfRule type="cellIs" dxfId="4641" priority="4917" stopIfTrue="1" operator="between">
      <formula>#REF!</formula>
      <formula>#REF!</formula>
    </cfRule>
    <cfRule type="cellIs" dxfId="4640" priority="4918" stopIfTrue="1" operator="equal">
      <formula>#REF!</formula>
    </cfRule>
    <cfRule type="cellIs" dxfId="4639" priority="4919" stopIfTrue="1" operator="equal">
      <formula>#REF!</formula>
    </cfRule>
    <cfRule type="cellIs" dxfId="4638" priority="4922" stopIfTrue="1" operator="equal">
      <formula>#REF!</formula>
    </cfRule>
    <cfRule type="cellIs" dxfId="4637" priority="4923" stopIfTrue="1" operator="between">
      <formula>#REF!</formula>
      <formula>#REF!</formula>
    </cfRule>
    <cfRule type="cellIs" dxfId="4636" priority="5037" stopIfTrue="1" operator="between">
      <formula>#REF!</formula>
      <formula>#REF!</formula>
    </cfRule>
    <cfRule type="cellIs" dxfId="4635" priority="5247" stopIfTrue="1" operator="between">
      <formula>#REF!</formula>
      <formula>#REF!</formula>
    </cfRule>
    <cfRule type="cellIs" dxfId="4634" priority="5135" stopIfTrue="1" operator="equal">
      <formula>#REF!</formula>
    </cfRule>
    <cfRule type="cellIs" dxfId="4633" priority="4710" stopIfTrue="1" operator="between">
      <formula>#REF!</formula>
      <formula>#REF!</formula>
    </cfRule>
    <cfRule type="cellIs" dxfId="4632" priority="4709" stopIfTrue="1" operator="equal">
      <formula>#REF!</formula>
    </cfRule>
    <cfRule type="cellIs" dxfId="4631" priority="4610" stopIfTrue="1" operator="equal">
      <formula>#REF!</formula>
    </cfRule>
    <cfRule type="cellIs" dxfId="4630" priority="5139" stopIfTrue="1" operator="between">
      <formula>#REF!</formula>
      <formula>#REF!</formula>
    </cfRule>
    <cfRule type="cellIs" dxfId="4629" priority="4818" stopIfTrue="1" operator="between">
      <formula>#REF!</formula>
      <formula>#REF!</formula>
    </cfRule>
    <cfRule type="cellIs" dxfId="4628" priority="4819" stopIfTrue="1" operator="equal">
      <formula>#REF!</formula>
    </cfRule>
    <cfRule type="cellIs" dxfId="4627" priority="5244" stopIfTrue="1" operator="between">
      <formula>#REF!</formula>
      <formula>#REF!</formula>
    </cfRule>
    <cfRule type="cellIs" dxfId="4626" priority="5346" stopIfTrue="1" operator="between">
      <formula>#REF!</formula>
      <formula>#REF!</formula>
    </cfRule>
    <cfRule type="cellIs" dxfId="4625" priority="5242" stopIfTrue="1" operator="equal">
      <formula>#REF!</formula>
    </cfRule>
    <cfRule type="cellIs" dxfId="4624" priority="4820" stopIfTrue="1" operator="equal">
      <formula>#REF!</formula>
    </cfRule>
    <cfRule type="cellIs" dxfId="4623" priority="4821" stopIfTrue="1" operator="between">
      <formula>#REF!</formula>
      <formula>#REF!</formula>
    </cfRule>
    <cfRule type="cellIs" dxfId="4622" priority="4823" stopIfTrue="1" operator="equal">
      <formula>#REF!</formula>
    </cfRule>
    <cfRule type="cellIs" dxfId="4621" priority="4824" stopIfTrue="1" operator="between">
      <formula>#REF!</formula>
      <formula>#REF!</formula>
    </cfRule>
    <cfRule type="cellIs" dxfId="4620" priority="4920" stopIfTrue="1" operator="between">
      <formula>#REF!</formula>
      <formula>#REF!</formula>
    </cfRule>
    <cfRule type="cellIs" dxfId="4619" priority="4713" stopIfTrue="1" operator="between">
      <formula>#REF!</formula>
      <formula>#REF!</formula>
    </cfRule>
    <cfRule type="cellIs" dxfId="4618" priority="5241" stopIfTrue="1" operator="between">
      <formula>#REF!</formula>
      <formula>#REF!</formula>
    </cfRule>
    <cfRule type="cellIs" dxfId="4617" priority="5243" stopIfTrue="1" operator="equal">
      <formula>#REF!</formula>
    </cfRule>
    <cfRule type="cellIs" dxfId="4616" priority="4711" stopIfTrue="1" operator="equal">
      <formula>#REF!</formula>
    </cfRule>
    <cfRule type="cellIs" dxfId="4615" priority="4615" stopIfTrue="1" operator="equal">
      <formula>#REF!</formula>
    </cfRule>
    <cfRule type="cellIs" dxfId="4614" priority="5035" stopIfTrue="1" operator="equal">
      <formula>#REF!</formula>
    </cfRule>
    <cfRule type="cellIs" dxfId="4613" priority="4715" stopIfTrue="1" operator="equal">
      <formula>#REF!</formula>
    </cfRule>
    <cfRule type="cellIs" dxfId="4612" priority="4716" stopIfTrue="1" operator="between">
      <formula>#REF!</formula>
      <formula>#REF!</formula>
    </cfRule>
    <cfRule type="cellIs" dxfId="4611" priority="5036" stopIfTrue="1" operator="equal">
      <formula>#REF!</formula>
    </cfRule>
    <cfRule type="cellIs" dxfId="4610" priority="4712" stopIfTrue="1" operator="equal">
      <formula>#REF!</formula>
    </cfRule>
    <cfRule type="cellIs" dxfId="4609" priority="5136" stopIfTrue="1" operator="between">
      <formula>#REF!</formula>
      <formula>#REF!</formula>
    </cfRule>
    <cfRule type="cellIs" dxfId="4608" priority="5040" stopIfTrue="1" operator="between">
      <formula>#REF!</formula>
      <formula>#REF!</formula>
    </cfRule>
    <cfRule type="cellIs" dxfId="4607" priority="5133" stopIfTrue="1" operator="between">
      <formula>#REF!</formula>
      <formula>#REF!</formula>
    </cfRule>
    <cfRule type="cellIs" dxfId="4606" priority="4817" stopIfTrue="1" operator="equal">
      <formula>#REF!</formula>
    </cfRule>
    <cfRule type="cellIs" dxfId="4605" priority="4611" stopIfTrue="1" operator="between">
      <formula>#REF!</formula>
      <formula>#REF!</formula>
    </cfRule>
    <cfRule type="cellIs" dxfId="4604" priority="5343" stopIfTrue="1" operator="between">
      <formula>#REF!</formula>
      <formula>#REF!</formula>
    </cfRule>
    <cfRule type="cellIs" dxfId="4603" priority="5342" stopIfTrue="1" operator="equal">
      <formula>#REF!</formula>
    </cfRule>
    <cfRule type="cellIs" dxfId="4602" priority="5034" stopIfTrue="1" operator="between">
      <formula>#REF!</formula>
      <formula>#REF!</formula>
    </cfRule>
  </conditionalFormatting>
  <conditionalFormatting sqref="CQ144:CQ173">
    <cfRule type="cellIs" dxfId="4601" priority="4350" stopIfTrue="1" operator="between">
      <formula>#REF!</formula>
      <formula>#REF!</formula>
    </cfRule>
    <cfRule type="cellIs" dxfId="4600" priority="4351" stopIfTrue="1" operator="equal">
      <formula>#REF!</formula>
    </cfRule>
    <cfRule type="cellIs" dxfId="4599" priority="4352" stopIfTrue="1" operator="equal">
      <formula>#REF!</formula>
    </cfRule>
    <cfRule type="cellIs" dxfId="4598" priority="4353" stopIfTrue="1" operator="between">
      <formula>#REF!</formula>
      <formula>#REF!</formula>
    </cfRule>
    <cfRule type="cellIs" dxfId="4597" priority="4355" stopIfTrue="1" operator="equal">
      <formula>#REF!</formula>
    </cfRule>
    <cfRule type="cellIs" dxfId="4596" priority="4356" stopIfTrue="1" operator="between">
      <formula>#REF!</formula>
      <formula>#REF!</formula>
    </cfRule>
    <cfRule type="cellIs" dxfId="4595" priority="4448" stopIfTrue="1" operator="equal">
      <formula>#REF!</formula>
    </cfRule>
    <cfRule type="cellIs" dxfId="4594" priority="4449" stopIfTrue="1" operator="between">
      <formula>#REF!</formula>
      <formula>#REF!</formula>
    </cfRule>
    <cfRule type="cellIs" dxfId="4593" priority="4450" stopIfTrue="1" operator="equal">
      <formula>#REF!</formula>
    </cfRule>
    <cfRule type="cellIs" dxfId="4592" priority="4451" stopIfTrue="1" operator="equal">
      <formula>#REF!</formula>
    </cfRule>
    <cfRule type="cellIs" dxfId="4591" priority="4452" stopIfTrue="1" operator="between">
      <formula>#REF!</formula>
      <formula>#REF!</formula>
    </cfRule>
    <cfRule type="cellIs" dxfId="4590" priority="4454" stopIfTrue="1" operator="equal">
      <formula>#REF!</formula>
    </cfRule>
    <cfRule type="cellIs" dxfId="4589" priority="4455" stopIfTrue="1" operator="between">
      <formula>#REF!</formula>
      <formula>#REF!</formula>
    </cfRule>
    <cfRule type="cellIs" dxfId="4588" priority="4248" stopIfTrue="1" operator="between">
      <formula>#REF!</formula>
      <formula>#REF!</formula>
    </cfRule>
    <cfRule type="cellIs" dxfId="4587" priority="4247" stopIfTrue="1" operator="equal">
      <formula>#REF!</formula>
    </cfRule>
    <cfRule type="cellIs" dxfId="4586" priority="4245" stopIfTrue="1" operator="between">
      <formula>#REF!</formula>
      <formula>#REF!</formula>
    </cfRule>
    <cfRule type="cellIs" dxfId="4585" priority="3926" stopIfTrue="1" operator="equal">
      <formula>#REF!</formula>
    </cfRule>
    <cfRule type="cellIs" dxfId="4584" priority="3927" stopIfTrue="1" operator="between">
      <formula>#REF!</formula>
      <formula>#REF!</formula>
    </cfRule>
    <cfRule type="cellIs" dxfId="4583" priority="3928" stopIfTrue="1" operator="equal">
      <formula>#REF!</formula>
    </cfRule>
    <cfRule type="cellIs" dxfId="4582" priority="3720" stopIfTrue="1" operator="between">
      <formula>#REF!</formula>
      <formula>#REF!</formula>
    </cfRule>
    <cfRule type="cellIs" dxfId="4581" priority="4149" stopIfTrue="1" operator="between">
      <formula>#REF!</formula>
      <formula>#REF!</formula>
    </cfRule>
    <cfRule type="cellIs" dxfId="4580" priority="4148" stopIfTrue="1" operator="equal">
      <formula>#REF!</formula>
    </cfRule>
    <cfRule type="cellIs" dxfId="4579" priority="4146" stopIfTrue="1" operator="between">
      <formula>#REF!</formula>
      <formula>#REF!</formula>
    </cfRule>
    <cfRule type="cellIs" dxfId="4578" priority="4145" stopIfTrue="1" operator="equal">
      <formula>#REF!</formula>
    </cfRule>
    <cfRule type="cellIs" dxfId="4577" priority="4144" stopIfTrue="1" operator="equal">
      <formula>#REF!</formula>
    </cfRule>
    <cfRule type="cellIs" dxfId="4576" priority="4143" stopIfTrue="1" operator="between">
      <formula>#REF!</formula>
      <formula>#REF!</formula>
    </cfRule>
    <cfRule type="cellIs" dxfId="4575" priority="4142" stopIfTrue="1" operator="equal">
      <formula>#REF!</formula>
    </cfRule>
    <cfRule type="cellIs" dxfId="4574" priority="3929" stopIfTrue="1" operator="equal">
      <formula>#REF!</formula>
    </cfRule>
    <cfRule type="cellIs" dxfId="4573" priority="4032" stopIfTrue="1" operator="between">
      <formula>#REF!</formula>
      <formula>#REF!</formula>
    </cfRule>
    <cfRule type="cellIs" dxfId="4572" priority="4031" stopIfTrue="1" operator="equal">
      <formula>#REF!</formula>
    </cfRule>
    <cfRule type="cellIs" dxfId="4571" priority="3930" stopIfTrue="1" operator="between">
      <formula>#REF!</formula>
      <formula>#REF!</formula>
    </cfRule>
    <cfRule type="cellIs" dxfId="4570" priority="3932" stopIfTrue="1" operator="equal">
      <formula>#REF!</formula>
    </cfRule>
    <cfRule type="cellIs" dxfId="4569" priority="3933" stopIfTrue="1" operator="between">
      <formula>#REF!</formula>
      <formula>#REF!</formula>
    </cfRule>
    <cfRule type="cellIs" dxfId="4568" priority="4029" stopIfTrue="1" operator="between">
      <formula>#REF!</formula>
      <formula>#REF!</formula>
    </cfRule>
    <cfRule type="cellIs" dxfId="4567" priority="4244" stopIfTrue="1" operator="equal">
      <formula>#REF!</formula>
    </cfRule>
    <cfRule type="cellIs" dxfId="4566" priority="3825" stopIfTrue="1" operator="between">
      <formula>#REF!</formula>
      <formula>#REF!</formula>
    </cfRule>
    <cfRule type="cellIs" dxfId="4565" priority="3824" stopIfTrue="1" operator="equal">
      <formula>#REF!</formula>
    </cfRule>
    <cfRule type="cellIs" dxfId="4564" priority="3822" stopIfTrue="1" operator="between">
      <formula>#REF!</formula>
      <formula>#REF!</formula>
    </cfRule>
    <cfRule type="cellIs" dxfId="4563" priority="4028" stopIfTrue="1" operator="equal">
      <formula>#REF!</formula>
    </cfRule>
    <cfRule type="cellIs" dxfId="4562" priority="4027" stopIfTrue="1" operator="equal">
      <formula>#REF!</formula>
    </cfRule>
    <cfRule type="cellIs" dxfId="4561" priority="3821" stopIfTrue="1" operator="equal">
      <formula>#REF!</formula>
    </cfRule>
    <cfRule type="cellIs" dxfId="4560" priority="3820" stopIfTrue="1" operator="equal">
      <formula>#REF!</formula>
    </cfRule>
    <cfRule type="cellIs" dxfId="4559" priority="3819" stopIfTrue="1" operator="between">
      <formula>#REF!</formula>
      <formula>#REF!</formula>
    </cfRule>
    <cfRule type="cellIs" dxfId="4558" priority="3818" stopIfTrue="1" operator="equal">
      <formula>#REF!</formula>
    </cfRule>
    <cfRule type="cellIs" dxfId="4557" priority="4243" stopIfTrue="1" operator="equal">
      <formula>#REF!</formula>
    </cfRule>
    <cfRule type="cellIs" dxfId="4556" priority="4242" stopIfTrue="1" operator="between">
      <formula>#REF!</formula>
      <formula>#REF!</formula>
    </cfRule>
    <cfRule type="cellIs" dxfId="4555" priority="4241" stopIfTrue="1" operator="equal">
      <formula>#REF!</formula>
    </cfRule>
    <cfRule type="cellIs" dxfId="4554" priority="3719" stopIfTrue="1" operator="equal">
      <formula>#REF!</formula>
    </cfRule>
    <cfRule type="cellIs" dxfId="4553" priority="3721" stopIfTrue="1" operator="equal">
      <formula>#REF!</formula>
    </cfRule>
    <cfRule type="cellIs" dxfId="4552" priority="3722" stopIfTrue="1" operator="equal">
      <formula>#REF!</formula>
    </cfRule>
    <cfRule type="cellIs" dxfId="4551" priority="3723" stopIfTrue="1" operator="between">
      <formula>#REF!</formula>
      <formula>#REF!</formula>
    </cfRule>
    <cfRule type="cellIs" dxfId="4550" priority="3724" stopIfTrue="1" operator="equal">
      <formula>#REF!</formula>
    </cfRule>
    <cfRule type="cellIs" dxfId="4549" priority="3725" stopIfTrue="1" operator="equal">
      <formula>#REF!</formula>
    </cfRule>
    <cfRule type="cellIs" dxfId="4548" priority="3726" stopIfTrue="1" operator="between">
      <formula>#REF!</formula>
      <formula>#REF!</formula>
    </cfRule>
    <cfRule type="cellIs" dxfId="4547" priority="4026" stopIfTrue="1" operator="between">
      <formula>#REF!</formula>
      <formula>#REF!</formula>
    </cfRule>
    <cfRule type="cellIs" dxfId="4546" priority="4025" stopIfTrue="1" operator="equal">
      <formula>#REF!</formula>
    </cfRule>
    <cfRule type="cellIs" dxfId="4545" priority="4349" stopIfTrue="1" operator="equal">
      <formula>#REF!</formula>
    </cfRule>
  </conditionalFormatting>
  <conditionalFormatting sqref="CQ174:CQ199">
    <cfRule type="cellIs" dxfId="4544" priority="876" stopIfTrue="1" operator="between">
      <formula>#REF!</formula>
      <formula>#REF!</formula>
    </cfRule>
    <cfRule type="cellIs" dxfId="4543" priority="150" stopIfTrue="1" operator="between">
      <formula>#REF!</formula>
      <formula>#REF!</formula>
    </cfRule>
    <cfRule type="cellIs" dxfId="4542" priority="151" stopIfTrue="1" operator="equal">
      <formula>#REF!</formula>
    </cfRule>
    <cfRule type="cellIs" dxfId="4541" priority="669" stopIfTrue="1" operator="between">
      <formula>#REF!</formula>
      <formula>#REF!</formula>
    </cfRule>
    <cfRule type="cellIs" dxfId="4540" priority="777" stopIfTrue="1" operator="between">
      <formula>#REF!</formula>
      <formula>#REF!</formula>
    </cfRule>
    <cfRule type="cellIs" dxfId="4539" priority="152" stopIfTrue="1" operator="equal">
      <formula>#REF!</formula>
    </cfRule>
    <cfRule type="cellIs" dxfId="4538" priority="153" stopIfTrue="1" operator="between">
      <formula>#REF!</formula>
      <formula>#REF!</formula>
    </cfRule>
    <cfRule type="cellIs" dxfId="4537" priority="359" stopIfTrue="1" operator="equal">
      <formula>#REF!</formula>
    </cfRule>
    <cfRule type="cellIs" dxfId="4536" priority="453" stopIfTrue="1" operator="between">
      <formula>#REF!</formula>
      <formula>#REF!</formula>
    </cfRule>
    <cfRule type="cellIs" dxfId="4535" priority="672" stopIfTrue="1" operator="between">
      <formula>#REF!</formula>
      <formula>#REF!</formula>
    </cfRule>
    <cfRule type="cellIs" dxfId="4534" priority="572" stopIfTrue="1" operator="equal">
      <formula>#REF!</formula>
    </cfRule>
    <cfRule type="cellIs" dxfId="4533" priority="360" stopIfTrue="1" operator="between">
      <formula>#REF!</formula>
      <formula>#REF!</formula>
    </cfRule>
    <cfRule type="cellIs" dxfId="4532" priority="452" stopIfTrue="1" operator="equal">
      <formula>#REF!</formula>
    </cfRule>
    <cfRule type="cellIs" dxfId="4531" priority="146" stopIfTrue="1" operator="equal">
      <formula>#REF!</formula>
    </cfRule>
    <cfRule type="cellIs" dxfId="4530" priority="877" stopIfTrue="1" operator="equal">
      <formula>#REF!</formula>
    </cfRule>
    <cfRule type="cellIs" dxfId="4529" priority="671" stopIfTrue="1" operator="equal">
      <formula>#REF!</formula>
    </cfRule>
    <cfRule type="cellIs" dxfId="4528" priority="878" stopIfTrue="1" operator="equal">
      <formula>#REF!</formula>
    </cfRule>
    <cfRule type="cellIs" dxfId="4527" priority="879" stopIfTrue="1" operator="between">
      <formula>#REF!</formula>
      <formula>#REF!</formula>
    </cfRule>
    <cfRule type="cellIs" dxfId="4526" priority="668" stopIfTrue="1" operator="equal">
      <formula>#REF!</formula>
    </cfRule>
    <cfRule type="cellIs" dxfId="4525" priority="670" stopIfTrue="1" operator="equal">
      <formula>#REF!</formula>
    </cfRule>
    <cfRule type="cellIs" dxfId="4524" priority="454" stopIfTrue="1" operator="equal">
      <formula>#REF!</formula>
    </cfRule>
    <cfRule type="cellIs" dxfId="4523" priority="455" stopIfTrue="1" operator="equal">
      <formula>#REF!</formula>
    </cfRule>
    <cfRule type="cellIs" dxfId="4522" priority="782" stopIfTrue="1" operator="equal">
      <formula>#REF!</formula>
    </cfRule>
    <cfRule type="cellIs" dxfId="4521" priority="780" stopIfTrue="1" operator="between">
      <formula>#REF!</formula>
      <formula>#REF!</formula>
    </cfRule>
    <cfRule type="cellIs" dxfId="4520" priority="456" stopIfTrue="1" operator="between">
      <formula>#REF!</formula>
      <formula>#REF!</formula>
    </cfRule>
    <cfRule type="cellIs" dxfId="4519" priority="458" stopIfTrue="1" operator="equal">
      <formula>#REF!</formula>
    </cfRule>
    <cfRule type="cellIs" dxfId="4518" priority="875" stopIfTrue="1" operator="equal">
      <formula>#REF!</formula>
    </cfRule>
    <cfRule type="cellIs" dxfId="4517" priority="573" stopIfTrue="1" operator="between">
      <formula>#REF!</formula>
      <formula>#REF!</formula>
    </cfRule>
    <cfRule type="cellIs" dxfId="4516" priority="575" stopIfTrue="1" operator="equal">
      <formula>#REF!</formula>
    </cfRule>
    <cfRule type="cellIs" dxfId="4515" priority="245" stopIfTrue="1" operator="equal">
      <formula>#REF!</formula>
    </cfRule>
    <cfRule type="cellIs" dxfId="4514" priority="576" stopIfTrue="1" operator="between">
      <formula>#REF!</formula>
      <formula>#REF!</formula>
    </cfRule>
    <cfRule type="cellIs" dxfId="4513" priority="246" stopIfTrue="1" operator="between">
      <formula>#REF!</formula>
      <formula>#REF!</formula>
    </cfRule>
    <cfRule type="cellIs" dxfId="4512" priority="247" stopIfTrue="1" operator="equal">
      <formula>#REF!</formula>
    </cfRule>
    <cfRule type="cellIs" dxfId="4511" priority="248" stopIfTrue="1" operator="equal">
      <formula>#REF!</formula>
    </cfRule>
    <cfRule type="cellIs" dxfId="4510" priority="249" stopIfTrue="1" operator="between">
      <formula>#REF!</formula>
      <formula>#REF!</formula>
    </cfRule>
    <cfRule type="cellIs" dxfId="4509" priority="252" stopIfTrue="1" operator="between">
      <formula>#REF!</formula>
      <formula>#REF!</formula>
    </cfRule>
    <cfRule type="cellIs" dxfId="4508" priority="776" stopIfTrue="1" operator="equal">
      <formula>#REF!</formula>
    </cfRule>
    <cfRule type="cellIs" dxfId="4507" priority="459" stopIfTrue="1" operator="between">
      <formula>#REF!</formula>
      <formula>#REF!</formula>
    </cfRule>
    <cfRule type="cellIs" dxfId="4506" priority="569" stopIfTrue="1" operator="equal">
      <formula>#REF!</formula>
    </cfRule>
    <cfRule type="cellIs" dxfId="4505" priority="675" stopIfTrue="1" operator="between">
      <formula>#REF!</formula>
      <formula>#REF!</formula>
    </cfRule>
    <cfRule type="cellIs" dxfId="4504" priority="674" stopIfTrue="1" operator="equal">
      <formula>#REF!</formula>
    </cfRule>
    <cfRule type="cellIs" dxfId="4503" priority="353" stopIfTrue="1" operator="equal">
      <formula>#REF!</formula>
    </cfRule>
    <cfRule type="cellIs" dxfId="4502" priority="570" stopIfTrue="1" operator="between">
      <formula>#REF!</formula>
      <formula>#REF!</formula>
    </cfRule>
    <cfRule type="cellIs" dxfId="4501" priority="881" stopIfTrue="1" operator="equal">
      <formula>#REF!</formula>
    </cfRule>
    <cfRule type="cellIs" dxfId="4500" priority="882" stopIfTrue="1" operator="between">
      <formula>#REF!</formula>
      <formula>#REF!</formula>
    </cfRule>
    <cfRule type="cellIs" dxfId="4499" priority="354" stopIfTrue="1" operator="between">
      <formula>#REF!</formula>
      <formula>#REF!</formula>
    </cfRule>
    <cfRule type="cellIs" dxfId="4498" priority="779" stopIfTrue="1" operator="equal">
      <formula>#REF!</formula>
    </cfRule>
    <cfRule type="cellIs" dxfId="4497" priority="778" stopIfTrue="1" operator="equal">
      <formula>#REF!</formula>
    </cfRule>
    <cfRule type="cellIs" dxfId="4496" priority="355" stopIfTrue="1" operator="equal">
      <formula>#REF!</formula>
    </cfRule>
    <cfRule type="cellIs" dxfId="4495" priority="356" stopIfTrue="1" operator="equal">
      <formula>#REF!</formula>
    </cfRule>
    <cfRule type="cellIs" dxfId="4494" priority="357" stopIfTrue="1" operator="between">
      <formula>#REF!</formula>
      <formula>#REF!</formula>
    </cfRule>
    <cfRule type="cellIs" dxfId="4493" priority="783" stopIfTrue="1" operator="between">
      <formula>#REF!</formula>
      <formula>#REF!</formula>
    </cfRule>
    <cfRule type="cellIs" dxfId="4492" priority="571" stopIfTrue="1" operator="equal">
      <formula>#REF!</formula>
    </cfRule>
    <cfRule type="cellIs" dxfId="4491" priority="251" stopIfTrue="1" operator="equal">
      <formula>#REF!</formula>
    </cfRule>
    <cfRule type="cellIs" dxfId="4490" priority="147" stopIfTrue="1" operator="between">
      <formula>#REF!</formula>
      <formula>#REF!</formula>
    </cfRule>
    <cfRule type="cellIs" dxfId="4489" priority="148" stopIfTrue="1" operator="equal">
      <formula>#REF!</formula>
    </cfRule>
    <cfRule type="cellIs" dxfId="4488" priority="149" stopIfTrue="1" operator="equal">
      <formula>#REF!</formula>
    </cfRule>
  </conditionalFormatting>
  <conditionalFormatting sqref="CQ107:CR107">
    <cfRule type="cellIs" dxfId="4487" priority="9170" stopIfTrue="1" operator="equal">
      <formula>#REF!</formula>
    </cfRule>
  </conditionalFormatting>
  <conditionalFormatting sqref="CQ108:CR108">
    <cfRule type="cellIs" dxfId="4486" priority="9076" stopIfTrue="1" operator="equal">
      <formula>#REF!</formula>
    </cfRule>
    <cfRule type="cellIs" dxfId="4485" priority="9077" stopIfTrue="1" operator="equal">
      <formula>#REF!</formula>
    </cfRule>
  </conditionalFormatting>
  <conditionalFormatting sqref="CQ109:CR109">
    <cfRule type="cellIs" dxfId="4484" priority="8981" stopIfTrue="1" operator="equal">
      <formula>#REF!</formula>
    </cfRule>
    <cfRule type="cellIs" dxfId="4483" priority="8980" stopIfTrue="1" operator="equal">
      <formula>#REF!</formula>
    </cfRule>
  </conditionalFormatting>
  <conditionalFormatting sqref="CQ110:CR110">
    <cfRule type="cellIs" dxfId="4482" priority="8873" stopIfTrue="1" operator="equal">
      <formula>#REF!</formula>
    </cfRule>
    <cfRule type="cellIs" dxfId="4481" priority="8872" stopIfTrue="1" operator="equal">
      <formula>#REF!</formula>
    </cfRule>
  </conditionalFormatting>
  <conditionalFormatting sqref="CQ111:CR111">
    <cfRule type="cellIs" dxfId="4480" priority="8756" stopIfTrue="1" operator="equal">
      <formula>#REF!</formula>
    </cfRule>
    <cfRule type="cellIs" dxfId="4479" priority="8755" stopIfTrue="1" operator="equal">
      <formula>#REF!</formula>
    </cfRule>
  </conditionalFormatting>
  <conditionalFormatting sqref="CQ112:CR112">
    <cfRule type="cellIs" dxfId="4478" priority="8629" stopIfTrue="1" operator="equal">
      <formula>#REF!</formula>
    </cfRule>
    <cfRule type="cellIs" dxfId="4477" priority="8630" stopIfTrue="1" operator="equal">
      <formula>#REF!</formula>
    </cfRule>
  </conditionalFormatting>
  <conditionalFormatting sqref="CQ113:CR113">
    <cfRule type="cellIs" dxfId="4476" priority="8495" stopIfTrue="1" operator="equal">
      <formula>#REF!</formula>
    </cfRule>
    <cfRule type="cellIs" dxfId="4475" priority="8494" stopIfTrue="1" operator="equal">
      <formula>#REF!</formula>
    </cfRule>
  </conditionalFormatting>
  <conditionalFormatting sqref="CQ114:CR115">
    <cfRule type="cellIs" dxfId="4474" priority="8350" stopIfTrue="1" operator="equal">
      <formula>#REF!</formula>
    </cfRule>
    <cfRule type="cellIs" dxfId="4473" priority="8351" stopIfTrue="1" operator="equal">
      <formula>#REF!</formula>
    </cfRule>
  </conditionalFormatting>
  <conditionalFormatting sqref="CQ116:CR116">
    <cfRule type="cellIs" dxfId="4472" priority="8188" stopIfTrue="1" operator="equal">
      <formula>#REF!</formula>
    </cfRule>
    <cfRule type="cellIs" dxfId="4471" priority="8189" stopIfTrue="1" operator="equal">
      <formula>#REF!</formula>
    </cfRule>
  </conditionalFormatting>
  <conditionalFormatting sqref="CQ117:CR129">
    <cfRule type="cellIs" dxfId="4470" priority="8045" stopIfTrue="1" operator="equal">
      <formula>#REF!</formula>
    </cfRule>
    <cfRule type="cellIs" dxfId="4469" priority="8044" stopIfTrue="1" operator="equal">
      <formula>#REF!</formula>
    </cfRule>
  </conditionalFormatting>
  <conditionalFormatting sqref="CQ121:CR129">
    <cfRule type="cellIs" dxfId="4468" priority="7946" stopIfTrue="1" operator="equal">
      <formula>#REF!</formula>
    </cfRule>
    <cfRule type="cellIs" dxfId="4467" priority="7945" stopIfTrue="1" operator="equal">
      <formula>#REF!</formula>
    </cfRule>
  </conditionalFormatting>
  <conditionalFormatting sqref="CQ125:CR129">
    <cfRule type="cellIs" dxfId="4466" priority="7739" stopIfTrue="1" operator="equal">
      <formula>#REF!</formula>
    </cfRule>
    <cfRule type="cellIs" dxfId="4465" priority="7838" stopIfTrue="1" operator="equal">
      <formula>#REF!</formula>
    </cfRule>
    <cfRule type="cellIs" dxfId="4464" priority="7837" stopIfTrue="1" operator="equal">
      <formula>#REF!</formula>
    </cfRule>
    <cfRule type="cellIs" dxfId="4463" priority="7738" stopIfTrue="1" operator="equal">
      <formula>#REF!</formula>
    </cfRule>
  </conditionalFormatting>
  <conditionalFormatting sqref="CQ126:CR129">
    <cfRule type="cellIs" dxfId="4462" priority="7415" stopIfTrue="1" operator="equal">
      <formula>#REF!</formula>
    </cfRule>
    <cfRule type="cellIs" dxfId="4461" priority="7414" stopIfTrue="1" operator="equal">
      <formula>#REF!</formula>
    </cfRule>
    <cfRule type="cellIs" dxfId="4460" priority="7315" stopIfTrue="1" operator="equal">
      <formula>#REF!</formula>
    </cfRule>
    <cfRule type="cellIs" dxfId="4459" priority="7621" stopIfTrue="1" operator="equal">
      <formula>#REF!</formula>
    </cfRule>
    <cfRule type="cellIs" dxfId="4458" priority="7622" stopIfTrue="1" operator="equal">
      <formula>#REF!</formula>
    </cfRule>
    <cfRule type="cellIs" dxfId="4457" priority="7523" stopIfTrue="1" operator="equal">
      <formula>#REF!</formula>
    </cfRule>
    <cfRule type="cellIs" dxfId="4456" priority="7522" stopIfTrue="1" operator="equal">
      <formula>#REF!</formula>
    </cfRule>
    <cfRule type="cellIs" dxfId="4455" priority="7316" stopIfTrue="1" operator="equal">
      <formula>#REF!</formula>
    </cfRule>
  </conditionalFormatting>
  <conditionalFormatting sqref="CQ130:CR130">
    <cfRule type="cellIs" dxfId="4454" priority="6505" stopIfTrue="1" operator="equal">
      <formula>#REF!</formula>
    </cfRule>
    <cfRule type="cellIs" dxfId="4453" priority="6712" stopIfTrue="1" operator="equal">
      <formula>#REF!</formula>
    </cfRule>
    <cfRule type="cellIs" dxfId="4452" priority="6830" stopIfTrue="1" operator="equal">
      <formula>#REF!</formula>
    </cfRule>
    <cfRule type="cellIs" dxfId="4451" priority="6506" stopIfTrue="1" operator="equal">
      <formula>#REF!</formula>
    </cfRule>
    <cfRule type="cellIs" dxfId="4450" priority="6829" stopIfTrue="1" operator="equal">
      <formula>#REF!</formula>
    </cfRule>
    <cfRule type="cellIs" dxfId="4449" priority="6928" stopIfTrue="1" operator="equal">
      <formula>#REF!</formula>
    </cfRule>
    <cfRule type="cellIs" dxfId="4448" priority="6406" stopIfTrue="1" operator="equal">
      <formula>#REF!</formula>
    </cfRule>
    <cfRule type="cellIs" dxfId="4447" priority="6713" stopIfTrue="1" operator="equal">
      <formula>#REF!</formula>
    </cfRule>
    <cfRule type="cellIs" dxfId="4446" priority="6614" stopIfTrue="1" operator="equal">
      <formula>#REF!</formula>
    </cfRule>
    <cfRule type="cellIs" dxfId="4445" priority="7135" stopIfTrue="1" operator="equal">
      <formula>#REF!</formula>
    </cfRule>
    <cfRule type="cellIs" dxfId="4444" priority="7136" stopIfTrue="1" operator="equal">
      <formula>#REF!</formula>
    </cfRule>
    <cfRule type="cellIs" dxfId="4443" priority="6929" stopIfTrue="1" operator="equal">
      <formula>#REF!</formula>
    </cfRule>
    <cfRule type="cellIs" dxfId="4442" priority="6407" stopIfTrue="1" operator="equal">
      <formula>#REF!</formula>
    </cfRule>
    <cfRule type="cellIs" dxfId="4441" priority="7036" stopIfTrue="1" operator="equal">
      <formula>#REF!</formula>
    </cfRule>
    <cfRule type="cellIs" dxfId="4440" priority="7037" stopIfTrue="1" operator="equal">
      <formula>#REF!</formula>
    </cfRule>
    <cfRule type="cellIs" dxfId="4439" priority="6613" stopIfTrue="1" operator="equal">
      <formula>#REF!</formula>
    </cfRule>
  </conditionalFormatting>
  <conditionalFormatting sqref="CQ131:CR141">
    <cfRule type="cellIs" dxfId="4438" priority="6128" stopIfTrue="1" operator="equal">
      <formula>#REF!</formula>
    </cfRule>
    <cfRule type="cellIs" dxfId="4437" priority="6019" stopIfTrue="1" operator="equal">
      <formula>#REF!</formula>
    </cfRule>
    <cfRule type="cellIs" dxfId="4436" priority="6020" stopIfTrue="1" operator="equal">
      <formula>#REF!</formula>
    </cfRule>
    <cfRule type="cellIs" dxfId="4435" priority="5803" stopIfTrue="1" operator="equal">
      <formula>#REF!</formula>
    </cfRule>
    <cfRule type="cellIs" dxfId="4434" priority="6127" stopIfTrue="1" operator="equal">
      <formula>#REF!</formula>
    </cfRule>
    <cfRule type="cellIs" dxfId="4433" priority="5804" stopIfTrue="1" operator="equal">
      <formula>#REF!</formula>
    </cfRule>
    <cfRule type="cellIs" dxfId="4432" priority="5920" stopIfTrue="1" operator="equal">
      <formula>#REF!</formula>
    </cfRule>
    <cfRule type="cellIs" dxfId="4431" priority="5921" stopIfTrue="1" operator="equal">
      <formula>#REF!</formula>
    </cfRule>
    <cfRule type="cellIs" dxfId="4430" priority="6227" stopIfTrue="1" operator="equal">
      <formula>#REF!</formula>
    </cfRule>
    <cfRule type="cellIs" dxfId="4429" priority="5497" stopIfTrue="1" operator="equal">
      <formula>#REF!</formula>
    </cfRule>
    <cfRule type="cellIs" dxfId="4428" priority="5498" stopIfTrue="1" operator="equal">
      <formula>#REF!</formula>
    </cfRule>
    <cfRule type="cellIs" dxfId="4427" priority="5596" stopIfTrue="1" operator="equal">
      <formula>#REF!</formula>
    </cfRule>
    <cfRule type="cellIs" dxfId="4426" priority="5597" stopIfTrue="1" operator="equal">
      <formula>#REF!</formula>
    </cfRule>
    <cfRule type="cellIs" dxfId="4425" priority="6226" stopIfTrue="1" operator="equal">
      <formula>#REF!</formula>
    </cfRule>
    <cfRule type="cellIs" dxfId="4424" priority="5704" stopIfTrue="1" operator="equal">
      <formula>#REF!</formula>
    </cfRule>
    <cfRule type="cellIs" dxfId="4423" priority="5705" stopIfTrue="1" operator="equal">
      <formula>#REF!</formula>
    </cfRule>
  </conditionalFormatting>
  <conditionalFormatting sqref="CQ142:CR143">
    <cfRule type="cellIs" dxfId="4422" priority="4705" stopIfTrue="1" operator="equal">
      <formula>#REF!</formula>
    </cfRule>
    <cfRule type="cellIs" dxfId="4421" priority="4912" stopIfTrue="1" operator="equal">
      <formula>#REF!</formula>
    </cfRule>
    <cfRule type="cellIs" dxfId="4420" priority="5336" stopIfTrue="1" operator="equal">
      <formula>#REF!</formula>
    </cfRule>
    <cfRule type="cellIs" dxfId="4419" priority="5128" stopIfTrue="1" operator="equal">
      <formula>#REF!</formula>
    </cfRule>
    <cfRule type="cellIs" dxfId="4418" priority="5129" stopIfTrue="1" operator="equal">
      <formula>#REF!</formula>
    </cfRule>
    <cfRule type="cellIs" dxfId="4417" priority="5335" stopIfTrue="1" operator="equal">
      <formula>#REF!</formula>
    </cfRule>
    <cfRule type="cellIs" dxfId="4416" priority="5029" stopIfTrue="1" operator="equal">
      <formula>#REF!</formula>
    </cfRule>
    <cfRule type="cellIs" dxfId="4415" priority="5030" stopIfTrue="1" operator="equal">
      <formula>#REF!</formula>
    </cfRule>
    <cfRule type="cellIs" dxfId="4414" priority="5237" stopIfTrue="1" operator="equal">
      <formula>#REF!</formula>
    </cfRule>
    <cfRule type="cellIs" dxfId="4413" priority="5236" stopIfTrue="1" operator="equal">
      <formula>#REF!</formula>
    </cfRule>
    <cfRule type="cellIs" dxfId="4412" priority="4606" stopIfTrue="1" operator="equal">
      <formula>#REF!</formula>
    </cfRule>
    <cfRule type="cellIs" dxfId="4411" priority="4813" stopIfTrue="1" operator="equal">
      <formula>#REF!</formula>
    </cfRule>
  </conditionalFormatting>
  <conditionalFormatting sqref="CQ144:CR173">
    <cfRule type="cellIs" dxfId="4410" priority="4021" stopIfTrue="1" operator="equal">
      <formula>#REF!</formula>
    </cfRule>
    <cfRule type="cellIs" dxfId="4409" priority="4138" stopIfTrue="1" operator="equal">
      <formula>#REF!</formula>
    </cfRule>
    <cfRule type="cellIs" dxfId="4408" priority="4444" stopIfTrue="1" operator="equal">
      <formula>#REF!</formula>
    </cfRule>
    <cfRule type="cellIs" dxfId="4407" priority="3922" stopIfTrue="1" operator="equal">
      <formula>#REF!</formula>
    </cfRule>
    <cfRule type="cellIs" dxfId="4406" priority="3814" stopIfTrue="1" operator="equal">
      <formula>#REF!</formula>
    </cfRule>
    <cfRule type="cellIs" dxfId="4405" priority="4345" stopIfTrue="1" operator="equal">
      <formula>#REF!</formula>
    </cfRule>
    <cfRule type="cellIs" dxfId="4404" priority="4237" stopIfTrue="1" operator="equal">
      <formula>#REF!</formula>
    </cfRule>
    <cfRule type="cellIs" dxfId="4403" priority="3715" stopIfTrue="1" operator="equal">
      <formula>#REF!</formula>
    </cfRule>
  </conditionalFormatting>
  <conditionalFormatting sqref="CQ174:CR199">
    <cfRule type="cellIs" dxfId="4402" priority="349" stopIfTrue="1" operator="equal">
      <formula>#REF!</formula>
    </cfRule>
    <cfRule type="cellIs" dxfId="4401" priority="664" stopIfTrue="1" operator="equal">
      <formula>#REF!</formula>
    </cfRule>
    <cfRule type="cellIs" dxfId="4400" priority="241" stopIfTrue="1" operator="equal">
      <formula>#REF!</formula>
    </cfRule>
    <cfRule type="cellIs" dxfId="4399" priority="142" stopIfTrue="1" operator="equal">
      <formula>#REF!</formula>
    </cfRule>
    <cfRule type="cellIs" dxfId="4398" priority="565" stopIfTrue="1" operator="equal">
      <formula>#REF!</formula>
    </cfRule>
    <cfRule type="cellIs" dxfId="4397" priority="871" stopIfTrue="1" operator="equal">
      <formula>#REF!</formula>
    </cfRule>
    <cfRule type="cellIs" dxfId="4396" priority="448" stopIfTrue="1" operator="equal">
      <formula>#REF!</formula>
    </cfRule>
    <cfRule type="cellIs" dxfId="4395" priority="772" stopIfTrue="1" operator="equal">
      <formula>#REF!</formula>
    </cfRule>
  </conditionalFormatting>
  <conditionalFormatting sqref="CQ107:CS107">
    <cfRule type="cellIs" dxfId="4394" priority="9169" stopIfTrue="1" operator="equal">
      <formula>#REF!</formula>
    </cfRule>
  </conditionalFormatting>
  <conditionalFormatting sqref="CR107">
    <cfRule type="cellIs" dxfId="4393" priority="9171" stopIfTrue="1" operator="between">
      <formula>#REF!</formula>
      <formula>#REF!</formula>
    </cfRule>
    <cfRule type="cellIs" dxfId="4392" priority="9166" stopIfTrue="1" operator="equal">
      <formula>#REF!</formula>
    </cfRule>
    <cfRule type="cellIs" dxfId="4391" priority="9167" stopIfTrue="1" operator="equal">
      <formula>#REF!</formula>
    </cfRule>
    <cfRule type="cellIs" dxfId="4390" priority="9168" stopIfTrue="1" operator="between">
      <formula>#REF!</formula>
      <formula>#REF!</formula>
    </cfRule>
    <cfRule type="cellIs" dxfId="4389" priority="9165" stopIfTrue="1" operator="between">
      <formula>#REF!</formula>
      <formula>#REF!</formula>
    </cfRule>
  </conditionalFormatting>
  <conditionalFormatting sqref="CR107:CR108">
    <cfRule type="cellIs" dxfId="4388" priority="9079" stopIfTrue="1" operator="equal">
      <formula>#REF!</formula>
    </cfRule>
    <cfRule type="cellIs" dxfId="4387" priority="9080" stopIfTrue="1" operator="equal">
      <formula>#REF!</formula>
    </cfRule>
  </conditionalFormatting>
  <conditionalFormatting sqref="CR108">
    <cfRule type="cellIs" dxfId="4386" priority="9078" stopIfTrue="1" operator="between">
      <formula>#REF!</formula>
      <formula>#REF!</formula>
    </cfRule>
    <cfRule type="cellIs" dxfId="4385" priority="9081" stopIfTrue="1" operator="between">
      <formula>#REF!</formula>
      <formula>#REF!</formula>
    </cfRule>
    <cfRule type="cellIs" dxfId="4384" priority="9075" stopIfTrue="1" operator="between">
      <formula>#REF!</formula>
      <formula>#REF!</formula>
    </cfRule>
  </conditionalFormatting>
  <conditionalFormatting sqref="CR109">
    <cfRule type="cellIs" dxfId="4383" priority="8979" stopIfTrue="1" operator="between">
      <formula>#REF!</formula>
      <formula>#REF!</formula>
    </cfRule>
    <cfRule type="cellIs" dxfId="4382" priority="8978" stopIfTrue="1" operator="equal">
      <formula>#REF!</formula>
    </cfRule>
    <cfRule type="cellIs" dxfId="4381" priority="8982" stopIfTrue="1" operator="between">
      <formula>#REF!</formula>
      <formula>#REF!</formula>
    </cfRule>
    <cfRule type="cellIs" dxfId="4380" priority="8977" stopIfTrue="1" operator="equal">
      <formula>#REF!</formula>
    </cfRule>
    <cfRule type="cellIs" dxfId="4379" priority="8976" stopIfTrue="1" operator="between">
      <formula>#REF!</formula>
      <formula>#REF!</formula>
    </cfRule>
  </conditionalFormatting>
  <conditionalFormatting sqref="CR110">
    <cfRule type="cellIs" dxfId="4378" priority="8874" stopIfTrue="1" operator="between">
      <formula>#REF!</formula>
      <formula>#REF!</formula>
    </cfRule>
    <cfRule type="cellIs" dxfId="4377" priority="8869" stopIfTrue="1" operator="equal">
      <formula>#REF!</formula>
    </cfRule>
    <cfRule type="cellIs" dxfId="4376" priority="8868" stopIfTrue="1" operator="between">
      <formula>#REF!</formula>
      <formula>#REF!</formula>
    </cfRule>
    <cfRule type="cellIs" dxfId="4375" priority="8871" stopIfTrue="1" operator="between">
      <formula>#REF!</formula>
      <formula>#REF!</formula>
    </cfRule>
    <cfRule type="cellIs" dxfId="4374" priority="8870" stopIfTrue="1" operator="equal">
      <formula>#REF!</formula>
    </cfRule>
  </conditionalFormatting>
  <conditionalFormatting sqref="CR111">
    <cfRule type="cellIs" dxfId="4373" priority="8757" stopIfTrue="1" operator="between">
      <formula>#REF!</formula>
      <formula>#REF!</formula>
    </cfRule>
    <cfRule type="cellIs" dxfId="4372" priority="8754" stopIfTrue="1" operator="between">
      <formula>#REF!</formula>
      <formula>#REF!</formula>
    </cfRule>
    <cfRule type="cellIs" dxfId="4371" priority="8753" stopIfTrue="1" operator="equal">
      <formula>#REF!</formula>
    </cfRule>
    <cfRule type="cellIs" dxfId="4370" priority="8752" stopIfTrue="1" operator="equal">
      <formula>#REF!</formula>
    </cfRule>
    <cfRule type="cellIs" dxfId="4369" priority="8751" stopIfTrue="1" operator="between">
      <formula>#REF!</formula>
      <formula>#REF!</formula>
    </cfRule>
  </conditionalFormatting>
  <conditionalFormatting sqref="CR112">
    <cfRule type="cellIs" dxfId="4368" priority="8625" stopIfTrue="1" operator="between">
      <formula>#REF!</formula>
      <formula>#REF!</formula>
    </cfRule>
    <cfRule type="cellIs" dxfId="4367" priority="8628" stopIfTrue="1" operator="between">
      <formula>#REF!</formula>
      <formula>#REF!</formula>
    </cfRule>
    <cfRule type="cellIs" dxfId="4366" priority="8631" stopIfTrue="1" operator="between">
      <formula>#REF!</formula>
      <formula>#REF!</formula>
    </cfRule>
    <cfRule type="cellIs" dxfId="4365" priority="8627" stopIfTrue="1" operator="equal">
      <formula>#REF!</formula>
    </cfRule>
    <cfRule type="cellIs" dxfId="4364" priority="8626" stopIfTrue="1" operator="equal">
      <formula>#REF!</formula>
    </cfRule>
  </conditionalFormatting>
  <conditionalFormatting sqref="CR113">
    <cfRule type="cellIs" dxfId="4363" priority="8496" stopIfTrue="1" operator="between">
      <formula>#REF!</formula>
      <formula>#REF!</formula>
    </cfRule>
    <cfRule type="cellIs" dxfId="4362" priority="8492" stopIfTrue="1" operator="equal">
      <formula>#REF!</formula>
    </cfRule>
    <cfRule type="cellIs" dxfId="4361" priority="8493" stopIfTrue="1" operator="between">
      <formula>#REF!</formula>
      <formula>#REF!</formula>
    </cfRule>
    <cfRule type="cellIs" dxfId="4360" priority="8490" stopIfTrue="1" operator="between">
      <formula>#REF!</formula>
      <formula>#REF!</formula>
    </cfRule>
    <cfRule type="cellIs" dxfId="4359" priority="8491" stopIfTrue="1" operator="equal">
      <formula>#REF!</formula>
    </cfRule>
  </conditionalFormatting>
  <conditionalFormatting sqref="CR114:CR115">
    <cfRule type="cellIs" dxfId="4358" priority="8348" stopIfTrue="1" operator="equal">
      <formula>#REF!</formula>
    </cfRule>
    <cfRule type="cellIs" dxfId="4357" priority="8349" stopIfTrue="1" operator="between">
      <formula>#REF!</formula>
      <formula>#REF!</formula>
    </cfRule>
    <cfRule type="cellIs" dxfId="4356" priority="8352" stopIfTrue="1" operator="between">
      <formula>#REF!</formula>
      <formula>#REF!</formula>
    </cfRule>
    <cfRule type="cellIs" dxfId="4355" priority="8347" stopIfTrue="1" operator="equal">
      <formula>#REF!</formula>
    </cfRule>
    <cfRule type="cellIs" dxfId="4354" priority="8346" stopIfTrue="1" operator="between">
      <formula>#REF!</formula>
      <formula>#REF!</formula>
    </cfRule>
  </conditionalFormatting>
  <conditionalFormatting sqref="CR116">
    <cfRule type="cellIs" dxfId="4353" priority="8187" stopIfTrue="1" operator="between">
      <formula>#REF!</formula>
      <formula>#REF!</formula>
    </cfRule>
    <cfRule type="cellIs" dxfId="4352" priority="8186" stopIfTrue="1" operator="equal">
      <formula>#REF!</formula>
    </cfRule>
    <cfRule type="cellIs" dxfId="4351" priority="8185" stopIfTrue="1" operator="equal">
      <formula>#REF!</formula>
    </cfRule>
    <cfRule type="cellIs" dxfId="4350" priority="8184" stopIfTrue="1" operator="between">
      <formula>#REF!</formula>
      <formula>#REF!</formula>
    </cfRule>
    <cfRule type="cellIs" dxfId="4349" priority="8190" stopIfTrue="1" operator="between">
      <formula>#REF!</formula>
      <formula>#REF!</formula>
    </cfRule>
  </conditionalFormatting>
  <conditionalFormatting sqref="CR117:CR129">
    <cfRule type="cellIs" dxfId="4348" priority="8041" stopIfTrue="1" operator="equal">
      <formula>#REF!</formula>
    </cfRule>
    <cfRule type="cellIs" dxfId="4347" priority="8040" stopIfTrue="1" operator="between">
      <formula>#REF!</formula>
      <formula>#REF!</formula>
    </cfRule>
    <cfRule type="cellIs" dxfId="4346" priority="8042" stopIfTrue="1" operator="equal">
      <formula>#REF!</formula>
    </cfRule>
    <cfRule type="cellIs" dxfId="4345" priority="8043" stopIfTrue="1" operator="between">
      <formula>#REF!</formula>
      <formula>#REF!</formula>
    </cfRule>
    <cfRule type="cellIs" dxfId="4344" priority="8046" stopIfTrue="1" operator="between">
      <formula>#REF!</formula>
      <formula>#REF!</formula>
    </cfRule>
  </conditionalFormatting>
  <conditionalFormatting sqref="CR121:CR129">
    <cfRule type="cellIs" dxfId="4343" priority="7942" stopIfTrue="1" operator="equal">
      <formula>#REF!</formula>
    </cfRule>
    <cfRule type="cellIs" dxfId="4342" priority="7943" stopIfTrue="1" operator="equal">
      <formula>#REF!</formula>
    </cfRule>
    <cfRule type="cellIs" dxfId="4341" priority="7944" stopIfTrue="1" operator="between">
      <formula>#REF!</formula>
      <formula>#REF!</formula>
    </cfRule>
    <cfRule type="cellIs" dxfId="4340" priority="7947" stopIfTrue="1" operator="between">
      <formula>#REF!</formula>
      <formula>#REF!</formula>
    </cfRule>
    <cfRule type="cellIs" dxfId="4339" priority="7941" stopIfTrue="1" operator="between">
      <formula>#REF!</formula>
      <formula>#REF!</formula>
    </cfRule>
  </conditionalFormatting>
  <conditionalFormatting sqref="CR125:CR129">
    <cfRule type="cellIs" dxfId="4338" priority="7734" stopIfTrue="1" operator="between">
      <formula>#REF!</formula>
      <formula>#REF!</formula>
    </cfRule>
    <cfRule type="cellIs" dxfId="4337" priority="7833" stopIfTrue="1" operator="between">
      <formula>#REF!</formula>
      <formula>#REF!</formula>
    </cfRule>
    <cfRule type="cellIs" dxfId="4336" priority="7836" stopIfTrue="1" operator="between">
      <formula>#REF!</formula>
      <formula>#REF!</formula>
    </cfRule>
    <cfRule type="cellIs" dxfId="4335" priority="7835" stopIfTrue="1" operator="equal">
      <formula>#REF!</formula>
    </cfRule>
    <cfRule type="cellIs" dxfId="4334" priority="7737" stopIfTrue="1" operator="between">
      <formula>#REF!</formula>
      <formula>#REF!</formula>
    </cfRule>
    <cfRule type="cellIs" dxfId="4333" priority="7736" stopIfTrue="1" operator="equal">
      <formula>#REF!</formula>
    </cfRule>
    <cfRule type="cellIs" dxfId="4332" priority="7834" stopIfTrue="1" operator="equal">
      <formula>#REF!</formula>
    </cfRule>
    <cfRule type="cellIs" dxfId="4331" priority="7735" stopIfTrue="1" operator="equal">
      <formula>#REF!</formula>
    </cfRule>
    <cfRule type="cellIs" dxfId="4330" priority="7839" stopIfTrue="1" operator="between">
      <formula>#REF!</formula>
      <formula>#REF!</formula>
    </cfRule>
    <cfRule type="cellIs" dxfId="4329" priority="7740" stopIfTrue="1" operator="between">
      <formula>#REF!</formula>
      <formula>#REF!</formula>
    </cfRule>
  </conditionalFormatting>
  <conditionalFormatting sqref="CR126:CR129">
    <cfRule type="cellIs" dxfId="4328" priority="7518" stopIfTrue="1" operator="between">
      <formula>#REF!</formula>
      <formula>#REF!</formula>
    </cfRule>
    <cfRule type="cellIs" dxfId="4327" priority="7519" stopIfTrue="1" operator="equal">
      <formula>#REF!</formula>
    </cfRule>
    <cfRule type="cellIs" dxfId="4326" priority="7313" stopIfTrue="1" operator="equal">
      <formula>#REF!</formula>
    </cfRule>
    <cfRule type="cellIs" dxfId="4325" priority="7617" stopIfTrue="1" operator="between">
      <formula>#REF!</formula>
      <formula>#REF!</formula>
    </cfRule>
    <cfRule type="cellIs" dxfId="4324" priority="7524" stopIfTrue="1" operator="between">
      <formula>#REF!</formula>
      <formula>#REF!</formula>
    </cfRule>
    <cfRule type="cellIs" dxfId="4323" priority="7618" stopIfTrue="1" operator="equal">
      <formula>#REF!</formula>
    </cfRule>
    <cfRule type="cellIs" dxfId="4322" priority="7520" stopIfTrue="1" operator="equal">
      <formula>#REF!</formula>
    </cfRule>
    <cfRule type="cellIs" dxfId="4321" priority="7521" stopIfTrue="1" operator="between">
      <formula>#REF!</formula>
      <formula>#REF!</formula>
    </cfRule>
    <cfRule type="cellIs" dxfId="4320" priority="7623" stopIfTrue="1" operator="between">
      <formula>#REF!</formula>
      <formula>#REF!</formula>
    </cfRule>
    <cfRule type="cellIs" dxfId="4319" priority="7620" stopIfTrue="1" operator="between">
      <formula>#REF!</formula>
      <formula>#REF!</formula>
    </cfRule>
    <cfRule type="cellIs" dxfId="4318" priority="7619" stopIfTrue="1" operator="equal">
      <formula>#REF!</formula>
    </cfRule>
    <cfRule type="cellIs" dxfId="4317" priority="7311" stopIfTrue="1" operator="between">
      <formula>#REF!</formula>
      <formula>#REF!</formula>
    </cfRule>
    <cfRule type="cellIs" dxfId="4316" priority="7312" stopIfTrue="1" operator="equal">
      <formula>#REF!</formula>
    </cfRule>
    <cfRule type="cellIs" dxfId="4315" priority="7314" stopIfTrue="1" operator="between">
      <formula>#REF!</formula>
      <formula>#REF!</formula>
    </cfRule>
    <cfRule type="cellIs" dxfId="4314" priority="7413" stopIfTrue="1" operator="between">
      <formula>#REF!</formula>
      <formula>#REF!</formula>
    </cfRule>
    <cfRule type="cellIs" dxfId="4313" priority="7412" stopIfTrue="1" operator="equal">
      <formula>#REF!</formula>
    </cfRule>
    <cfRule type="cellIs" dxfId="4312" priority="7411" stopIfTrue="1" operator="equal">
      <formula>#REF!</formula>
    </cfRule>
    <cfRule type="cellIs" dxfId="4311" priority="7410" stopIfTrue="1" operator="between">
      <formula>#REF!</formula>
      <formula>#REF!</formula>
    </cfRule>
    <cfRule type="cellIs" dxfId="4310" priority="7416" stopIfTrue="1" operator="between">
      <formula>#REF!</formula>
      <formula>#REF!</formula>
    </cfRule>
    <cfRule type="cellIs" dxfId="4309" priority="7317" stopIfTrue="1" operator="between">
      <formula>#REF!</formula>
      <formula>#REF!</formula>
    </cfRule>
  </conditionalFormatting>
  <conditionalFormatting sqref="CR130">
    <cfRule type="cellIs" dxfId="4308" priority="6404" stopIfTrue="1" operator="equal">
      <formula>#REF!</formula>
    </cfRule>
    <cfRule type="cellIs" dxfId="4307" priority="6403" stopIfTrue="1" operator="equal">
      <formula>#REF!</formula>
    </cfRule>
    <cfRule type="cellIs" dxfId="4306" priority="6402" stopIfTrue="1" operator="between">
      <formula>#REF!</formula>
      <formula>#REF!</formula>
    </cfRule>
    <cfRule type="cellIs" dxfId="4305" priority="6408" stopIfTrue="1" operator="between">
      <formula>#REF!</formula>
      <formula>#REF!</formula>
    </cfRule>
    <cfRule type="cellIs" dxfId="4304" priority="6711" stopIfTrue="1" operator="between">
      <formula>#REF!</formula>
      <formula>#REF!</formula>
    </cfRule>
    <cfRule type="cellIs" dxfId="4303" priority="6710" stopIfTrue="1" operator="equal">
      <formula>#REF!</formula>
    </cfRule>
    <cfRule type="cellIs" dxfId="4302" priority="6709" stopIfTrue="1" operator="equal">
      <formula>#REF!</formula>
    </cfRule>
    <cfRule type="cellIs" dxfId="4301" priority="6708" stopIfTrue="1" operator="between">
      <formula>#REF!</formula>
      <formula>#REF!</formula>
    </cfRule>
    <cfRule type="cellIs" dxfId="4300" priority="6612" stopIfTrue="1" operator="between">
      <formula>#REF!</formula>
      <formula>#REF!</formula>
    </cfRule>
    <cfRule type="cellIs" dxfId="4299" priority="6615" stopIfTrue="1" operator="between">
      <formula>#REF!</formula>
      <formula>#REF!</formula>
    </cfRule>
    <cfRule type="cellIs" dxfId="4298" priority="6827" stopIfTrue="1" operator="equal">
      <formula>#REF!</formula>
    </cfRule>
    <cfRule type="cellIs" dxfId="4297" priority="6502" stopIfTrue="1" operator="equal">
      <formula>#REF!</formula>
    </cfRule>
    <cfRule type="cellIs" dxfId="4296" priority="6501" stopIfTrue="1" operator="between">
      <formula>#REF!</formula>
      <formula>#REF!</formula>
    </cfRule>
    <cfRule type="cellIs" dxfId="4295" priority="7137" stopIfTrue="1" operator="between">
      <formula>#REF!</formula>
      <formula>#REF!</formula>
    </cfRule>
    <cfRule type="cellIs" dxfId="4294" priority="6504" stopIfTrue="1" operator="between">
      <formula>#REF!</formula>
      <formula>#REF!</formula>
    </cfRule>
    <cfRule type="cellIs" dxfId="4293" priority="6714" stopIfTrue="1" operator="between">
      <formula>#REF!</formula>
      <formula>#REF!</formula>
    </cfRule>
    <cfRule type="cellIs" dxfId="4292" priority="7038" stopIfTrue="1" operator="between">
      <formula>#REF!</formula>
      <formula>#REF!</formula>
    </cfRule>
    <cfRule type="cellIs" dxfId="4291" priority="6507" stopIfTrue="1" operator="between">
      <formula>#REF!</formula>
      <formula>#REF!</formula>
    </cfRule>
    <cfRule type="cellIs" dxfId="4290" priority="6503" stopIfTrue="1" operator="equal">
      <formula>#REF!</formula>
    </cfRule>
    <cfRule type="cellIs" dxfId="4289" priority="6924" stopIfTrue="1" operator="between">
      <formula>#REF!</formula>
      <formula>#REF!</formula>
    </cfRule>
    <cfRule type="cellIs" dxfId="4288" priority="7134" stopIfTrue="1" operator="between">
      <formula>#REF!</formula>
      <formula>#REF!</formula>
    </cfRule>
    <cfRule type="cellIs" dxfId="4287" priority="7133" stopIfTrue="1" operator="equal">
      <formula>#REF!</formula>
    </cfRule>
    <cfRule type="cellIs" dxfId="4286" priority="7132" stopIfTrue="1" operator="equal">
      <formula>#REF!</formula>
    </cfRule>
    <cfRule type="cellIs" dxfId="4285" priority="7131" stopIfTrue="1" operator="between">
      <formula>#REF!</formula>
      <formula>#REF!</formula>
    </cfRule>
    <cfRule type="cellIs" dxfId="4284" priority="6610" stopIfTrue="1" operator="equal">
      <formula>#REF!</formula>
    </cfRule>
    <cfRule type="cellIs" dxfId="4283" priority="6925" stopIfTrue="1" operator="equal">
      <formula>#REF!</formula>
    </cfRule>
    <cfRule type="cellIs" dxfId="4282" priority="6609" stopIfTrue="1" operator="between">
      <formula>#REF!</formula>
      <formula>#REF!</formula>
    </cfRule>
    <cfRule type="cellIs" dxfId="4281" priority="6831" stopIfTrue="1" operator="between">
      <formula>#REF!</formula>
      <formula>#REF!</formula>
    </cfRule>
    <cfRule type="cellIs" dxfId="4280" priority="6825" stopIfTrue="1" operator="between">
      <formula>#REF!</formula>
      <formula>#REF!</formula>
    </cfRule>
    <cfRule type="cellIs" dxfId="4279" priority="6926" stopIfTrue="1" operator="equal">
      <formula>#REF!</formula>
    </cfRule>
    <cfRule type="cellIs" dxfId="4278" priority="6927" stopIfTrue="1" operator="between">
      <formula>#REF!</formula>
      <formula>#REF!</formula>
    </cfRule>
    <cfRule type="cellIs" dxfId="4277" priority="6930" stopIfTrue="1" operator="between">
      <formula>#REF!</formula>
      <formula>#REF!</formula>
    </cfRule>
    <cfRule type="cellIs" dxfId="4276" priority="6828" stopIfTrue="1" operator="between">
      <formula>#REF!</formula>
      <formula>#REF!</formula>
    </cfRule>
    <cfRule type="cellIs" dxfId="4275" priority="7035" stopIfTrue="1" operator="between">
      <formula>#REF!</formula>
      <formula>#REF!</formula>
    </cfRule>
    <cfRule type="cellIs" dxfId="4274" priority="7033" stopIfTrue="1" operator="equal">
      <formula>#REF!</formula>
    </cfRule>
    <cfRule type="cellIs" dxfId="4273" priority="7032" stopIfTrue="1" operator="between">
      <formula>#REF!</formula>
      <formula>#REF!</formula>
    </cfRule>
    <cfRule type="cellIs" dxfId="4272" priority="7034" stopIfTrue="1" operator="equal">
      <formula>#REF!</formula>
    </cfRule>
    <cfRule type="cellIs" dxfId="4271" priority="6826" stopIfTrue="1" operator="equal">
      <formula>#REF!</formula>
    </cfRule>
    <cfRule type="cellIs" dxfId="4270" priority="6405" stopIfTrue="1" operator="between">
      <formula>#REF!</formula>
      <formula>#REF!</formula>
    </cfRule>
    <cfRule type="cellIs" dxfId="4269" priority="6611" stopIfTrue="1" operator="equal">
      <formula>#REF!</formula>
    </cfRule>
  </conditionalFormatting>
  <conditionalFormatting sqref="CR131:CR141">
    <cfRule type="cellIs" dxfId="4268" priority="5595" stopIfTrue="1" operator="between">
      <formula>#REF!</formula>
      <formula>#REF!</formula>
    </cfRule>
    <cfRule type="cellIs" dxfId="4267" priority="5598" stopIfTrue="1" operator="between">
      <formula>#REF!</formula>
      <formula>#REF!</formula>
    </cfRule>
    <cfRule type="cellIs" dxfId="4266" priority="5700" stopIfTrue="1" operator="between">
      <formula>#REF!</formula>
      <formula>#REF!</formula>
    </cfRule>
    <cfRule type="cellIs" dxfId="4265" priority="5701" stopIfTrue="1" operator="equal">
      <formula>#REF!</formula>
    </cfRule>
    <cfRule type="cellIs" dxfId="4264" priority="5702" stopIfTrue="1" operator="equal">
      <formula>#REF!</formula>
    </cfRule>
    <cfRule type="cellIs" dxfId="4263" priority="6228" stopIfTrue="1" operator="between">
      <formula>#REF!</formula>
      <formula>#REF!</formula>
    </cfRule>
    <cfRule type="cellIs" dxfId="4262" priority="5703" stopIfTrue="1" operator="between">
      <formula>#REF!</formula>
      <formula>#REF!</formula>
    </cfRule>
    <cfRule type="cellIs" dxfId="4261" priority="5706" stopIfTrue="1" operator="between">
      <formula>#REF!</formula>
      <formula>#REF!</formula>
    </cfRule>
    <cfRule type="cellIs" dxfId="4260" priority="5916" stopIfTrue="1" operator="between">
      <formula>#REF!</formula>
      <formula>#REF!</formula>
    </cfRule>
    <cfRule type="cellIs" dxfId="4259" priority="5917" stopIfTrue="1" operator="equal">
      <formula>#REF!</formula>
    </cfRule>
    <cfRule type="cellIs" dxfId="4258" priority="5918" stopIfTrue="1" operator="equal">
      <formula>#REF!</formula>
    </cfRule>
    <cfRule type="cellIs" dxfId="4257" priority="5919" stopIfTrue="1" operator="between">
      <formula>#REF!</formula>
      <formula>#REF!</formula>
    </cfRule>
    <cfRule type="cellIs" dxfId="4256" priority="5922" stopIfTrue="1" operator="between">
      <formula>#REF!</formula>
      <formula>#REF!</formula>
    </cfRule>
    <cfRule type="cellIs" dxfId="4255" priority="6225" stopIfTrue="1" operator="between">
      <formula>#REF!</formula>
      <formula>#REF!</formula>
    </cfRule>
    <cfRule type="cellIs" dxfId="4254" priority="6224" stopIfTrue="1" operator="equal">
      <formula>#REF!</formula>
    </cfRule>
    <cfRule type="cellIs" dxfId="4253" priority="6223" stopIfTrue="1" operator="equal">
      <formula>#REF!</formula>
    </cfRule>
    <cfRule type="cellIs" dxfId="4252" priority="5499" stopIfTrue="1" operator="between">
      <formula>#REF!</formula>
      <formula>#REF!</formula>
    </cfRule>
    <cfRule type="cellIs" dxfId="4251" priority="6222" stopIfTrue="1" operator="between">
      <formula>#REF!</formula>
      <formula>#REF!</formula>
    </cfRule>
    <cfRule type="cellIs" dxfId="4250" priority="5805" stopIfTrue="1" operator="between">
      <formula>#REF!</formula>
      <formula>#REF!</formula>
    </cfRule>
    <cfRule type="cellIs" dxfId="4249" priority="5802" stopIfTrue="1" operator="between">
      <formula>#REF!</formula>
      <formula>#REF!</formula>
    </cfRule>
    <cfRule type="cellIs" dxfId="4248" priority="5801" stopIfTrue="1" operator="equal">
      <formula>#REF!</formula>
    </cfRule>
    <cfRule type="cellIs" dxfId="4247" priority="5800" stopIfTrue="1" operator="equal">
      <formula>#REF!</formula>
    </cfRule>
    <cfRule type="cellIs" dxfId="4246" priority="5799" stopIfTrue="1" operator="between">
      <formula>#REF!</formula>
      <formula>#REF!</formula>
    </cfRule>
    <cfRule type="cellIs" dxfId="4245" priority="6021" stopIfTrue="1" operator="between">
      <formula>#REF!</formula>
      <formula>#REF!</formula>
    </cfRule>
    <cfRule type="cellIs" dxfId="4244" priority="6018" stopIfTrue="1" operator="between">
      <formula>#REF!</formula>
      <formula>#REF!</formula>
    </cfRule>
    <cfRule type="cellIs" dxfId="4243" priority="6017" stopIfTrue="1" operator="equal">
      <formula>#REF!</formula>
    </cfRule>
    <cfRule type="cellIs" dxfId="4242" priority="6016" stopIfTrue="1" operator="equal">
      <formula>#REF!</formula>
    </cfRule>
    <cfRule type="cellIs" dxfId="4241" priority="6015" stopIfTrue="1" operator="between">
      <formula>#REF!</formula>
      <formula>#REF!</formula>
    </cfRule>
    <cfRule type="cellIs" dxfId="4240" priority="6123" stopIfTrue="1" operator="between">
      <formula>#REF!</formula>
      <formula>#REF!</formula>
    </cfRule>
    <cfRule type="cellIs" dxfId="4239" priority="6124" stopIfTrue="1" operator="equal">
      <formula>#REF!</formula>
    </cfRule>
    <cfRule type="cellIs" dxfId="4238" priority="6125" stopIfTrue="1" operator="equal">
      <formula>#REF!</formula>
    </cfRule>
    <cfRule type="cellIs" dxfId="4237" priority="6126" stopIfTrue="1" operator="between">
      <formula>#REF!</formula>
      <formula>#REF!</formula>
    </cfRule>
    <cfRule type="cellIs" dxfId="4236" priority="6129" stopIfTrue="1" operator="between">
      <formula>#REF!</formula>
      <formula>#REF!</formula>
    </cfRule>
    <cfRule type="cellIs" dxfId="4235" priority="5496" stopIfTrue="1" operator="between">
      <formula>#REF!</formula>
      <formula>#REF!</formula>
    </cfRule>
    <cfRule type="cellIs" dxfId="4234" priority="5495" stopIfTrue="1" operator="equal">
      <formula>#REF!</formula>
    </cfRule>
    <cfRule type="cellIs" dxfId="4233" priority="5494" stopIfTrue="1" operator="equal">
      <formula>#REF!</formula>
    </cfRule>
    <cfRule type="cellIs" dxfId="4232" priority="5493" stopIfTrue="1" operator="between">
      <formula>#REF!</formula>
      <formula>#REF!</formula>
    </cfRule>
    <cfRule type="cellIs" dxfId="4231" priority="5592" stopIfTrue="1" operator="between">
      <formula>#REF!</formula>
      <formula>#REF!</formula>
    </cfRule>
    <cfRule type="cellIs" dxfId="4230" priority="5593" stopIfTrue="1" operator="equal">
      <formula>#REF!</formula>
    </cfRule>
    <cfRule type="cellIs" dxfId="4229" priority="5594" stopIfTrue="1" operator="equal">
      <formula>#REF!</formula>
    </cfRule>
  </conditionalFormatting>
  <conditionalFormatting sqref="CR142:CR143">
    <cfRule type="cellIs" dxfId="4228" priority="4811" stopIfTrue="1" operator="equal">
      <formula>#REF!</formula>
    </cfRule>
    <cfRule type="cellIs" dxfId="4227" priority="5235" stopIfTrue="1" operator="between">
      <formula>#REF!</formula>
      <formula>#REF!</formula>
    </cfRule>
    <cfRule type="cellIs" dxfId="4226" priority="5027" stopIfTrue="1" operator="equal">
      <formula>#REF!</formula>
    </cfRule>
    <cfRule type="cellIs" dxfId="4225" priority="5127" stopIfTrue="1" operator="between">
      <formula>#REF!</formula>
      <formula>#REF!</formula>
    </cfRule>
    <cfRule type="cellIs" dxfId="4224" priority="4810" stopIfTrue="1" operator="equal">
      <formula>#REF!</formula>
    </cfRule>
    <cfRule type="cellIs" dxfId="4223" priority="4601" stopIfTrue="1" operator="equal">
      <formula>#REF!</formula>
    </cfRule>
    <cfRule type="cellIs" dxfId="4222" priority="5124" stopIfTrue="1" operator="between">
      <formula>#REF!</formula>
      <formula>#REF!</formula>
    </cfRule>
    <cfRule type="cellIs" dxfId="4221" priority="4808" stopIfTrue="1" operator="equal">
      <formula>#REF!</formula>
    </cfRule>
    <cfRule type="cellIs" dxfId="4220" priority="4602" stopIfTrue="1" operator="between">
      <formula>#REF!</formula>
      <formula>#REF!</formula>
    </cfRule>
    <cfRule type="cellIs" dxfId="4219" priority="4814" stopIfTrue="1" operator="equal">
      <formula>#REF!</formula>
    </cfRule>
    <cfRule type="cellIs" dxfId="4218" priority="4809" stopIfTrue="1" operator="between">
      <formula>#REF!</formula>
      <formula>#REF!</formula>
    </cfRule>
    <cfRule type="cellIs" dxfId="4217" priority="5125" stopIfTrue="1" operator="equal">
      <formula>#REF!</formula>
    </cfRule>
    <cfRule type="cellIs" dxfId="4216" priority="5126" stopIfTrue="1" operator="equal">
      <formula>#REF!</formula>
    </cfRule>
    <cfRule type="cellIs" dxfId="4215" priority="5238" stopIfTrue="1" operator="between">
      <formula>#REF!</formula>
      <formula>#REF!</formula>
    </cfRule>
    <cfRule type="cellIs" dxfId="4214" priority="4603" stopIfTrue="1" operator="equal">
      <formula>#REF!</formula>
    </cfRule>
    <cfRule type="cellIs" dxfId="4213" priority="4604" stopIfTrue="1" operator="equal">
      <formula>#REF!</formula>
    </cfRule>
    <cfRule type="cellIs" dxfId="4212" priority="4605" stopIfTrue="1" operator="between">
      <formula>#REF!</formula>
      <formula>#REF!</formula>
    </cfRule>
    <cfRule type="cellIs" dxfId="4211" priority="5232" stopIfTrue="1" operator="between">
      <formula>#REF!</formula>
      <formula>#REF!</formula>
    </cfRule>
    <cfRule type="cellIs" dxfId="4210" priority="5233" stopIfTrue="1" operator="equal">
      <formula>#REF!</formula>
    </cfRule>
    <cfRule type="cellIs" dxfId="4209" priority="4812" stopIfTrue="1" operator="between">
      <formula>#REF!</formula>
      <formula>#REF!</formula>
    </cfRule>
    <cfRule type="cellIs" dxfId="4208" priority="5234" stopIfTrue="1" operator="equal">
      <formula>#REF!</formula>
    </cfRule>
    <cfRule type="cellIs" dxfId="4207" priority="5031" stopIfTrue="1" operator="between">
      <formula>#REF!</formula>
      <formula>#REF!</formula>
    </cfRule>
    <cfRule type="cellIs" dxfId="4206" priority="5028" stopIfTrue="1" operator="between">
      <formula>#REF!</formula>
      <formula>#REF!</formula>
    </cfRule>
    <cfRule type="cellIs" dxfId="4205" priority="4607" stopIfTrue="1" operator="equal">
      <formula>#REF!</formula>
    </cfRule>
    <cfRule type="cellIs" dxfId="4204" priority="4700" stopIfTrue="1" operator="equal">
      <formula>#REF!</formula>
    </cfRule>
    <cfRule type="cellIs" dxfId="4203" priority="4701" stopIfTrue="1" operator="between">
      <formula>#REF!</formula>
      <formula>#REF!</formula>
    </cfRule>
    <cfRule type="cellIs" dxfId="4202" priority="4702" stopIfTrue="1" operator="equal">
      <formula>#REF!</formula>
    </cfRule>
    <cfRule type="cellIs" dxfId="4201" priority="4703" stopIfTrue="1" operator="equal">
      <formula>#REF!</formula>
    </cfRule>
    <cfRule type="cellIs" dxfId="4200" priority="4608" stopIfTrue="1" operator="between">
      <formula>#REF!</formula>
      <formula>#REF!</formula>
    </cfRule>
    <cfRule type="cellIs" dxfId="4199" priority="4704" stopIfTrue="1" operator="between">
      <formula>#REF!</formula>
      <formula>#REF!</formula>
    </cfRule>
    <cfRule type="cellIs" dxfId="4198" priority="4706" stopIfTrue="1" operator="equal">
      <formula>#REF!</formula>
    </cfRule>
    <cfRule type="cellIs" dxfId="4197" priority="4707" stopIfTrue="1" operator="between">
      <formula>#REF!</formula>
      <formula>#REF!</formula>
    </cfRule>
    <cfRule type="cellIs" dxfId="4196" priority="5026" stopIfTrue="1" operator="equal">
      <formula>#REF!</formula>
    </cfRule>
    <cfRule type="cellIs" dxfId="4195" priority="5025" stopIfTrue="1" operator="between">
      <formula>#REF!</formula>
      <formula>#REF!</formula>
    </cfRule>
    <cfRule type="cellIs" dxfId="4194" priority="5331" stopIfTrue="1" operator="between">
      <formula>#REF!</formula>
      <formula>#REF!</formula>
    </cfRule>
    <cfRule type="cellIs" dxfId="4193" priority="4914" stopIfTrue="1" operator="between">
      <formula>#REF!</formula>
      <formula>#REF!</formula>
    </cfRule>
    <cfRule type="cellIs" dxfId="4192" priority="4913" stopIfTrue="1" operator="equal">
      <formula>#REF!</formula>
    </cfRule>
    <cfRule type="cellIs" dxfId="4191" priority="5130" stopIfTrue="1" operator="between">
      <formula>#REF!</formula>
      <formula>#REF!</formula>
    </cfRule>
    <cfRule type="cellIs" dxfId="4190" priority="4911" stopIfTrue="1" operator="between">
      <formula>#REF!</formula>
      <formula>#REF!</formula>
    </cfRule>
    <cfRule type="cellIs" dxfId="4189" priority="4815" stopIfTrue="1" operator="between">
      <formula>#REF!</formula>
      <formula>#REF!</formula>
    </cfRule>
    <cfRule type="cellIs" dxfId="4188" priority="4910" stopIfTrue="1" operator="equal">
      <formula>#REF!</formula>
    </cfRule>
    <cfRule type="cellIs" dxfId="4187" priority="4909" stopIfTrue="1" operator="equal">
      <formula>#REF!</formula>
    </cfRule>
    <cfRule type="cellIs" dxfId="4186" priority="4908" stopIfTrue="1" operator="between">
      <formula>#REF!</formula>
      <formula>#REF!</formula>
    </cfRule>
    <cfRule type="cellIs" dxfId="4185" priority="4907" stopIfTrue="1" operator="equal">
      <formula>#REF!</formula>
    </cfRule>
    <cfRule type="cellIs" dxfId="4184" priority="5332" stopIfTrue="1" operator="equal">
      <formula>#REF!</formula>
    </cfRule>
    <cfRule type="cellIs" dxfId="4183" priority="5333" stopIfTrue="1" operator="equal">
      <formula>#REF!</formula>
    </cfRule>
    <cfRule type="cellIs" dxfId="4182" priority="5334" stopIfTrue="1" operator="between">
      <formula>#REF!</formula>
      <formula>#REF!</formula>
    </cfRule>
    <cfRule type="cellIs" dxfId="4181" priority="5337" stopIfTrue="1" operator="between">
      <formula>#REF!</formula>
      <formula>#REF!</formula>
    </cfRule>
  </conditionalFormatting>
  <conditionalFormatting sqref="CR144:CR173">
    <cfRule type="cellIs" dxfId="4180" priority="3921" stopIfTrue="1" operator="between">
      <formula>#REF!</formula>
      <formula>#REF!</formula>
    </cfRule>
    <cfRule type="cellIs" dxfId="4179" priority="3917" stopIfTrue="1" operator="equal">
      <formula>#REF!</formula>
    </cfRule>
    <cfRule type="cellIs" dxfId="4178" priority="3816" stopIfTrue="1" operator="between">
      <formula>#REF!</formula>
      <formula>#REF!</formula>
    </cfRule>
    <cfRule type="cellIs" dxfId="4177" priority="4232" stopIfTrue="1" operator="equal">
      <formula>#REF!</formula>
    </cfRule>
    <cfRule type="cellIs" dxfId="4176" priority="3919" stopIfTrue="1" operator="equal">
      <formula>#REF!</formula>
    </cfRule>
    <cfRule type="cellIs" dxfId="4175" priority="3711" stopIfTrue="1" operator="between">
      <formula>#REF!</formula>
      <formula>#REF!</formula>
    </cfRule>
    <cfRule type="cellIs" dxfId="4174" priority="3920" stopIfTrue="1" operator="equal">
      <formula>#REF!</formula>
    </cfRule>
    <cfRule type="cellIs" dxfId="4173" priority="3710" stopIfTrue="1" operator="equal">
      <formula>#REF!</formula>
    </cfRule>
    <cfRule type="cellIs" dxfId="4172" priority="4023" stopIfTrue="1" operator="between">
      <formula>#REF!</formula>
      <formula>#REF!</formula>
    </cfRule>
    <cfRule type="cellIs" dxfId="4171" priority="3923" stopIfTrue="1" operator="equal">
      <formula>#REF!</formula>
    </cfRule>
    <cfRule type="cellIs" dxfId="4170" priority="3918" stopIfTrue="1" operator="between">
      <formula>#REF!</formula>
      <formula>#REF!</formula>
    </cfRule>
    <cfRule type="cellIs" dxfId="4169" priority="4239" stopIfTrue="1" operator="between">
      <formula>#REF!</formula>
      <formula>#REF!</formula>
    </cfRule>
    <cfRule type="cellIs" dxfId="4168" priority="4235" stopIfTrue="1" operator="equal">
      <formula>#REF!</formula>
    </cfRule>
    <cfRule type="cellIs" dxfId="4167" priority="3813" stopIfTrue="1" operator="between">
      <formula>#REF!</formula>
      <formula>#REF!</formula>
    </cfRule>
    <cfRule type="cellIs" dxfId="4166" priority="4346" stopIfTrue="1" operator="equal">
      <formula>#REF!</formula>
    </cfRule>
    <cfRule type="cellIs" dxfId="4165" priority="4347" stopIfTrue="1" operator="between">
      <formula>#REF!</formula>
      <formula>#REF!</formula>
    </cfRule>
    <cfRule type="cellIs" dxfId="4164" priority="4342" stopIfTrue="1" operator="equal">
      <formula>#REF!</formula>
    </cfRule>
    <cfRule type="cellIs" dxfId="4163" priority="4343" stopIfTrue="1" operator="equal">
      <formula>#REF!</formula>
    </cfRule>
    <cfRule type="cellIs" dxfId="4162" priority="4344" stopIfTrue="1" operator="between">
      <formula>#REF!</formula>
      <formula>#REF!</formula>
    </cfRule>
    <cfRule type="cellIs" dxfId="4161" priority="3712" stopIfTrue="1" operator="equal">
      <formula>#REF!</formula>
    </cfRule>
    <cfRule type="cellIs" dxfId="4160" priority="3713" stopIfTrue="1" operator="equal">
      <formula>#REF!</formula>
    </cfRule>
    <cfRule type="cellIs" dxfId="4159" priority="3714" stopIfTrue="1" operator="between">
      <formula>#REF!</formula>
      <formula>#REF!</formula>
    </cfRule>
    <cfRule type="cellIs" dxfId="4158" priority="3716" stopIfTrue="1" operator="equal">
      <formula>#REF!</formula>
    </cfRule>
    <cfRule type="cellIs" dxfId="4157" priority="4133" stopIfTrue="1" operator="equal">
      <formula>#REF!</formula>
    </cfRule>
    <cfRule type="cellIs" dxfId="4156" priority="3812" stopIfTrue="1" operator="equal">
      <formula>#REF!</formula>
    </cfRule>
    <cfRule type="cellIs" dxfId="4155" priority="4134" stopIfTrue="1" operator="between">
      <formula>#REF!</formula>
      <formula>#REF!</formula>
    </cfRule>
    <cfRule type="cellIs" dxfId="4154" priority="3717" stopIfTrue="1" operator="between">
      <formula>#REF!</formula>
      <formula>#REF!</formula>
    </cfRule>
    <cfRule type="cellIs" dxfId="4153" priority="4135" stopIfTrue="1" operator="equal">
      <formula>#REF!</formula>
    </cfRule>
    <cfRule type="cellIs" dxfId="4152" priority="4136" stopIfTrue="1" operator="equal">
      <formula>#REF!</formula>
    </cfRule>
    <cfRule type="cellIs" dxfId="4151" priority="4234" stopIfTrue="1" operator="equal">
      <formula>#REF!</formula>
    </cfRule>
    <cfRule type="cellIs" dxfId="4150" priority="3809" stopIfTrue="1" operator="equal">
      <formula>#REF!</formula>
    </cfRule>
    <cfRule type="cellIs" dxfId="4149" priority="3810" stopIfTrue="1" operator="between">
      <formula>#REF!</formula>
      <formula>#REF!</formula>
    </cfRule>
    <cfRule type="cellIs" dxfId="4148" priority="3811" stopIfTrue="1" operator="equal">
      <formula>#REF!</formula>
    </cfRule>
    <cfRule type="cellIs" dxfId="4147" priority="4233" stopIfTrue="1" operator="between">
      <formula>#REF!</formula>
      <formula>#REF!</formula>
    </cfRule>
    <cfRule type="cellIs" dxfId="4146" priority="4137" stopIfTrue="1" operator="between">
      <formula>#REF!</formula>
      <formula>#REF!</formula>
    </cfRule>
    <cfRule type="cellIs" dxfId="4145" priority="4139" stopIfTrue="1" operator="equal">
      <formula>#REF!</formula>
    </cfRule>
    <cfRule type="cellIs" dxfId="4144" priority="4022" stopIfTrue="1" operator="equal">
      <formula>#REF!</formula>
    </cfRule>
    <cfRule type="cellIs" dxfId="4143" priority="4140" stopIfTrue="1" operator="between">
      <formula>#REF!</formula>
      <formula>#REF!</formula>
    </cfRule>
    <cfRule type="cellIs" dxfId="4142" priority="3815" stopIfTrue="1" operator="equal">
      <formula>#REF!</formula>
    </cfRule>
    <cfRule type="cellIs" dxfId="4141" priority="4340" stopIfTrue="1" operator="equal">
      <formula>#REF!</formula>
    </cfRule>
    <cfRule type="cellIs" dxfId="4140" priority="4341" stopIfTrue="1" operator="between">
      <formula>#REF!</formula>
      <formula>#REF!</formula>
    </cfRule>
    <cfRule type="cellIs" dxfId="4139" priority="4238" stopIfTrue="1" operator="equal">
      <formula>#REF!</formula>
    </cfRule>
    <cfRule type="cellIs" dxfId="4138" priority="4236" stopIfTrue="1" operator="between">
      <formula>#REF!</formula>
      <formula>#REF!</formula>
    </cfRule>
    <cfRule type="cellIs" dxfId="4137" priority="4017" stopIfTrue="1" operator="between">
      <formula>#REF!</formula>
      <formula>#REF!</formula>
    </cfRule>
    <cfRule type="cellIs" dxfId="4136" priority="4439" stopIfTrue="1" operator="equal">
      <formula>#REF!</formula>
    </cfRule>
    <cfRule type="cellIs" dxfId="4135" priority="4440" stopIfTrue="1" operator="between">
      <formula>#REF!</formula>
      <formula>#REF!</formula>
    </cfRule>
    <cfRule type="cellIs" dxfId="4134" priority="4441" stopIfTrue="1" operator="equal">
      <formula>#REF!</formula>
    </cfRule>
    <cfRule type="cellIs" dxfId="4133" priority="4442" stopIfTrue="1" operator="equal">
      <formula>#REF!</formula>
    </cfRule>
    <cfRule type="cellIs" dxfId="4132" priority="4443" stopIfTrue="1" operator="between">
      <formula>#REF!</formula>
      <formula>#REF!</formula>
    </cfRule>
    <cfRule type="cellIs" dxfId="4131" priority="4018" stopIfTrue="1" operator="equal">
      <formula>#REF!</formula>
    </cfRule>
    <cfRule type="cellIs" dxfId="4130" priority="4445" stopIfTrue="1" operator="equal">
      <formula>#REF!</formula>
    </cfRule>
    <cfRule type="cellIs" dxfId="4129" priority="4446" stopIfTrue="1" operator="between">
      <formula>#REF!</formula>
      <formula>#REF!</formula>
    </cfRule>
    <cfRule type="cellIs" dxfId="4128" priority="4019" stopIfTrue="1" operator="equal">
      <formula>#REF!</formula>
    </cfRule>
    <cfRule type="cellIs" dxfId="4127" priority="4020" stopIfTrue="1" operator="between">
      <formula>#REF!</formula>
      <formula>#REF!</formula>
    </cfRule>
    <cfRule type="cellIs" dxfId="4126" priority="3924" stopIfTrue="1" operator="between">
      <formula>#REF!</formula>
      <formula>#REF!</formula>
    </cfRule>
    <cfRule type="cellIs" dxfId="4125" priority="4016" stopIfTrue="1" operator="equal">
      <formula>#REF!</formula>
    </cfRule>
  </conditionalFormatting>
  <conditionalFormatting sqref="CR174:CR199">
    <cfRule type="cellIs" dxfId="4124" priority="773" stopIfTrue="1" operator="equal">
      <formula>#REF!</formula>
    </cfRule>
    <cfRule type="cellIs" dxfId="4123" priority="659" stopIfTrue="1" operator="equal">
      <formula>#REF!</formula>
    </cfRule>
    <cfRule type="cellIs" dxfId="4122" priority="660" stopIfTrue="1" operator="between">
      <formula>#REF!</formula>
      <formula>#REF!</formula>
    </cfRule>
    <cfRule type="cellIs" dxfId="4121" priority="661" stopIfTrue="1" operator="equal">
      <formula>#REF!</formula>
    </cfRule>
    <cfRule type="cellIs" dxfId="4120" priority="662" stopIfTrue="1" operator="equal">
      <formula>#REF!</formula>
    </cfRule>
    <cfRule type="cellIs" dxfId="4119" priority="866" stopIfTrue="1" operator="equal">
      <formula>#REF!</formula>
    </cfRule>
    <cfRule type="cellIs" dxfId="4118" priority="665" stopIfTrue="1" operator="equal">
      <formula>#REF!</formula>
    </cfRule>
    <cfRule type="cellIs" dxfId="4117" priority="768" stopIfTrue="1" operator="between">
      <formula>#REF!</formula>
      <formula>#REF!</formula>
    </cfRule>
    <cfRule type="cellIs" dxfId="4116" priority="666" stopIfTrue="1" operator="between">
      <formula>#REF!</formula>
      <formula>#REF!</formula>
    </cfRule>
    <cfRule type="cellIs" dxfId="4115" priority="663" stopIfTrue="1" operator="between">
      <formula>#REF!</formula>
      <formula>#REF!</formula>
    </cfRule>
    <cfRule type="cellIs" dxfId="4114" priority="351" stopIfTrue="1" operator="between">
      <formula>#REF!</formula>
      <formula>#REF!</formula>
    </cfRule>
    <cfRule type="cellIs" dxfId="4113" priority="350" stopIfTrue="1" operator="equal">
      <formula>#REF!</formula>
    </cfRule>
    <cfRule type="cellIs" dxfId="4112" priority="348" stopIfTrue="1" operator="between">
      <formula>#REF!</formula>
      <formula>#REF!</formula>
    </cfRule>
    <cfRule type="cellIs" dxfId="4111" priority="347" stopIfTrue="1" operator="equal">
      <formula>#REF!</formula>
    </cfRule>
    <cfRule type="cellIs" dxfId="4110" priority="450" stopIfTrue="1" operator="between">
      <formula>#REF!</formula>
      <formula>#REF!</formula>
    </cfRule>
    <cfRule type="cellIs" dxfId="4109" priority="449" stopIfTrue="1" operator="equal">
      <formula>#REF!</formula>
    </cfRule>
    <cfRule type="cellIs" dxfId="4108" priority="346" stopIfTrue="1" operator="equal">
      <formula>#REF!</formula>
    </cfRule>
    <cfRule type="cellIs" dxfId="4107" priority="447" stopIfTrue="1" operator="between">
      <formula>#REF!</formula>
      <formula>#REF!</formula>
    </cfRule>
    <cfRule type="cellIs" dxfId="4106" priority="446" stopIfTrue="1" operator="equal">
      <formula>#REF!</formula>
    </cfRule>
    <cfRule type="cellIs" dxfId="4105" priority="345" stopIfTrue="1" operator="between">
      <formula>#REF!</formula>
      <formula>#REF!</formula>
    </cfRule>
    <cfRule type="cellIs" dxfId="4104" priority="344" stopIfTrue="1" operator="equal">
      <formula>#REF!</formula>
    </cfRule>
    <cfRule type="cellIs" dxfId="4103" priority="243" stopIfTrue="1" operator="between">
      <formula>#REF!</formula>
      <formula>#REF!</formula>
    </cfRule>
    <cfRule type="cellIs" dxfId="4102" priority="242" stopIfTrue="1" operator="equal">
      <formula>#REF!</formula>
    </cfRule>
    <cfRule type="cellIs" dxfId="4101" priority="240" stopIfTrue="1" operator="between">
      <formula>#REF!</formula>
      <formula>#REF!</formula>
    </cfRule>
    <cfRule type="cellIs" dxfId="4100" priority="560" stopIfTrue="1" operator="equal">
      <formula>#REF!</formula>
    </cfRule>
    <cfRule type="cellIs" dxfId="4099" priority="561" stopIfTrue="1" operator="between">
      <formula>#REF!</formula>
      <formula>#REF!</formula>
    </cfRule>
    <cfRule type="cellIs" dxfId="4098" priority="239" stopIfTrue="1" operator="equal">
      <formula>#REF!</formula>
    </cfRule>
    <cfRule type="cellIs" dxfId="4097" priority="238" stopIfTrue="1" operator="equal">
      <formula>#REF!</formula>
    </cfRule>
    <cfRule type="cellIs" dxfId="4096" priority="237" stopIfTrue="1" operator="between">
      <formula>#REF!</formula>
      <formula>#REF!</formula>
    </cfRule>
    <cfRule type="cellIs" dxfId="4095" priority="562" stopIfTrue="1" operator="equal">
      <formula>#REF!</formula>
    </cfRule>
    <cfRule type="cellIs" dxfId="4094" priority="236" stopIfTrue="1" operator="equal">
      <formula>#REF!</formula>
    </cfRule>
    <cfRule type="cellIs" dxfId="4093" priority="144" stopIfTrue="1" operator="between">
      <formula>#REF!</formula>
      <formula>#REF!</formula>
    </cfRule>
    <cfRule type="cellIs" dxfId="4092" priority="563" stopIfTrue="1" operator="equal">
      <formula>#REF!</formula>
    </cfRule>
    <cfRule type="cellIs" dxfId="4091" priority="774" stopIfTrue="1" operator="between">
      <formula>#REF!</formula>
      <formula>#REF!</formula>
    </cfRule>
    <cfRule type="cellIs" dxfId="4090" priority="444" stopIfTrue="1" operator="between">
      <formula>#REF!</formula>
      <formula>#REF!</formula>
    </cfRule>
    <cfRule type="cellIs" dxfId="4089" priority="443" stopIfTrue="1" operator="equal">
      <formula>#REF!</formula>
    </cfRule>
    <cfRule type="cellIs" dxfId="4088" priority="564" stopIfTrue="1" operator="between">
      <formula>#REF!</formula>
      <formula>#REF!</formula>
    </cfRule>
    <cfRule type="cellIs" dxfId="4087" priority="566" stopIfTrue="1" operator="equal">
      <formula>#REF!</formula>
    </cfRule>
    <cfRule type="cellIs" dxfId="4086" priority="143" stopIfTrue="1" operator="equal">
      <formula>#REF!</formula>
    </cfRule>
    <cfRule type="cellIs" dxfId="4085" priority="141" stopIfTrue="1" operator="between">
      <formula>#REF!</formula>
      <formula>#REF!</formula>
    </cfRule>
    <cfRule type="cellIs" dxfId="4084" priority="140" stopIfTrue="1" operator="equal">
      <formula>#REF!</formula>
    </cfRule>
    <cfRule type="cellIs" dxfId="4083" priority="139" stopIfTrue="1" operator="equal">
      <formula>#REF!</formula>
    </cfRule>
    <cfRule type="cellIs" dxfId="4082" priority="138" stopIfTrue="1" operator="between">
      <formula>#REF!</formula>
      <formula>#REF!</formula>
    </cfRule>
    <cfRule type="cellIs" dxfId="4081" priority="137" stopIfTrue="1" operator="equal">
      <formula>#REF!</formula>
    </cfRule>
    <cfRule type="cellIs" dxfId="4080" priority="873" stopIfTrue="1" operator="between">
      <formula>#REF!</formula>
      <formula>#REF!</formula>
    </cfRule>
    <cfRule type="cellIs" dxfId="4079" priority="872" stopIfTrue="1" operator="equal">
      <formula>#REF!</formula>
    </cfRule>
    <cfRule type="cellIs" dxfId="4078" priority="870" stopIfTrue="1" operator="between">
      <formula>#REF!</formula>
      <formula>#REF!</formula>
    </cfRule>
    <cfRule type="cellIs" dxfId="4077" priority="869" stopIfTrue="1" operator="equal">
      <formula>#REF!</formula>
    </cfRule>
    <cfRule type="cellIs" dxfId="4076" priority="868" stopIfTrue="1" operator="equal">
      <formula>#REF!</formula>
    </cfRule>
    <cfRule type="cellIs" dxfId="4075" priority="767" stopIfTrue="1" operator="equal">
      <formula>#REF!</formula>
    </cfRule>
    <cfRule type="cellIs" dxfId="4074" priority="567" stopIfTrue="1" operator="between">
      <formula>#REF!</formula>
      <formula>#REF!</formula>
    </cfRule>
    <cfRule type="cellIs" dxfId="4073" priority="771" stopIfTrue="1" operator="between">
      <formula>#REF!</formula>
      <formula>#REF!</formula>
    </cfRule>
    <cfRule type="cellIs" dxfId="4072" priority="769" stopIfTrue="1" operator="equal">
      <formula>#REF!</formula>
    </cfRule>
    <cfRule type="cellIs" dxfId="4071" priority="867" stopIfTrue="1" operator="between">
      <formula>#REF!</formula>
      <formula>#REF!</formula>
    </cfRule>
    <cfRule type="cellIs" dxfId="4070" priority="770" stopIfTrue="1" operator="equal">
      <formula>#REF!</formula>
    </cfRule>
    <cfRule type="cellIs" dxfId="4069" priority="445" stopIfTrue="1" operator="equal">
      <formula>#REF!</formula>
    </cfRule>
  </conditionalFormatting>
  <conditionalFormatting sqref="CR108:CS108">
    <cfRule type="cellIs" dxfId="4068" priority="9071" stopIfTrue="1" operator="equal">
      <formula>#REF!</formula>
    </cfRule>
  </conditionalFormatting>
  <conditionalFormatting sqref="CR109:CS109">
    <cfRule type="cellIs" dxfId="4067" priority="8968" stopIfTrue="1" operator="equal">
      <formula>#REF!</formula>
    </cfRule>
    <cfRule type="cellIs" dxfId="4066" priority="8969" stopIfTrue="1" operator="equal">
      <formula>#REF!</formula>
    </cfRule>
  </conditionalFormatting>
  <conditionalFormatting sqref="CR110:CS110">
    <cfRule type="cellIs" dxfId="4065" priority="8863" stopIfTrue="1" operator="equal">
      <formula>#REF!</formula>
    </cfRule>
    <cfRule type="cellIs" dxfId="4064" priority="8864" stopIfTrue="1" operator="equal">
      <formula>#REF!</formula>
    </cfRule>
  </conditionalFormatting>
  <conditionalFormatting sqref="CR111:CS111">
    <cfRule type="cellIs" dxfId="4063" priority="8746" stopIfTrue="1" operator="equal">
      <formula>#REF!</formula>
    </cfRule>
    <cfRule type="cellIs" dxfId="4062" priority="8747" stopIfTrue="1" operator="equal">
      <formula>#REF!</formula>
    </cfRule>
  </conditionalFormatting>
  <conditionalFormatting sqref="CR112:CS112">
    <cfRule type="cellIs" dxfId="4061" priority="8621" stopIfTrue="1" operator="equal">
      <formula>#REF!</formula>
    </cfRule>
    <cfRule type="cellIs" dxfId="4060" priority="8620" stopIfTrue="1" operator="equal">
      <formula>#REF!</formula>
    </cfRule>
  </conditionalFormatting>
  <conditionalFormatting sqref="CR113:CS113">
    <cfRule type="cellIs" dxfId="4059" priority="8485" stopIfTrue="1" operator="equal">
      <formula>#REF!</formula>
    </cfRule>
    <cfRule type="cellIs" dxfId="4058" priority="8486" stopIfTrue="1" operator="equal">
      <formula>#REF!</formula>
    </cfRule>
  </conditionalFormatting>
  <conditionalFormatting sqref="CR114:CS115">
    <cfRule type="cellIs" dxfId="4057" priority="8341" stopIfTrue="1" operator="equal">
      <formula>#REF!</formula>
    </cfRule>
    <cfRule type="cellIs" dxfId="4056" priority="8342" stopIfTrue="1" operator="equal">
      <formula>#REF!</formula>
    </cfRule>
  </conditionalFormatting>
  <conditionalFormatting sqref="CR116:CS116">
    <cfRule type="cellIs" dxfId="4055" priority="8180" stopIfTrue="1" operator="equal">
      <formula>#REF!</formula>
    </cfRule>
    <cfRule type="cellIs" dxfId="4054" priority="8179" stopIfTrue="1" operator="equal">
      <formula>#REF!</formula>
    </cfRule>
  </conditionalFormatting>
  <conditionalFormatting sqref="CR117:CS129">
    <cfRule type="cellIs" dxfId="4053" priority="8035" stopIfTrue="1" operator="equal">
      <formula>#REF!</formula>
    </cfRule>
    <cfRule type="cellIs" dxfId="4052" priority="8036" stopIfTrue="1" operator="equal">
      <formula>#REF!</formula>
    </cfRule>
  </conditionalFormatting>
  <conditionalFormatting sqref="CR121:CS129">
    <cfRule type="cellIs" dxfId="4051" priority="7936" stopIfTrue="1" operator="equal">
      <formula>#REF!</formula>
    </cfRule>
    <cfRule type="cellIs" dxfId="4050" priority="7937" stopIfTrue="1" operator="equal">
      <formula>#REF!</formula>
    </cfRule>
  </conditionalFormatting>
  <conditionalFormatting sqref="CR125:CS129">
    <cfRule type="cellIs" dxfId="4049" priority="7730" stopIfTrue="1" operator="equal">
      <formula>#REF!</formula>
    </cfRule>
    <cfRule type="cellIs" dxfId="4048" priority="7729" stopIfTrue="1" operator="equal">
      <formula>#REF!</formula>
    </cfRule>
    <cfRule type="cellIs" dxfId="4047" priority="7828" stopIfTrue="1" operator="equal">
      <formula>#REF!</formula>
    </cfRule>
    <cfRule type="cellIs" dxfId="4046" priority="7829" stopIfTrue="1" operator="equal">
      <formula>#REF!</formula>
    </cfRule>
  </conditionalFormatting>
  <conditionalFormatting sqref="CR126:CS129">
    <cfRule type="cellIs" dxfId="4045" priority="7306" stopIfTrue="1" operator="equal">
      <formula>#REF!</formula>
    </cfRule>
    <cfRule type="cellIs" dxfId="4044" priority="7613" stopIfTrue="1" operator="equal">
      <formula>#REF!</formula>
    </cfRule>
    <cfRule type="cellIs" dxfId="4043" priority="7612" stopIfTrue="1" operator="equal">
      <formula>#REF!</formula>
    </cfRule>
    <cfRule type="cellIs" dxfId="4042" priority="7406" stopIfTrue="1" operator="equal">
      <formula>#REF!</formula>
    </cfRule>
    <cfRule type="cellIs" dxfId="4041" priority="7405" stopIfTrue="1" operator="equal">
      <formula>#REF!</formula>
    </cfRule>
    <cfRule type="cellIs" dxfId="4040" priority="7513" stopIfTrue="1" operator="equal">
      <formula>#REF!</formula>
    </cfRule>
    <cfRule type="cellIs" dxfId="4039" priority="7514" stopIfTrue="1" operator="equal">
      <formula>#REF!</formula>
    </cfRule>
    <cfRule type="cellIs" dxfId="4038" priority="7307" stopIfTrue="1" operator="equal">
      <formula>#REF!</formula>
    </cfRule>
  </conditionalFormatting>
  <conditionalFormatting sqref="CR130:CS130">
    <cfRule type="cellIs" dxfId="4037" priority="6497" stopIfTrue="1" operator="equal">
      <formula>#REF!</formula>
    </cfRule>
    <cfRule type="cellIs" dxfId="4036" priority="7126" stopIfTrue="1" operator="equal">
      <formula>#REF!</formula>
    </cfRule>
    <cfRule type="cellIs" dxfId="4035" priority="7028" stopIfTrue="1" operator="equal">
      <formula>#REF!</formula>
    </cfRule>
    <cfRule type="cellIs" dxfId="4034" priority="7027" stopIfTrue="1" operator="equal">
      <formula>#REF!</formula>
    </cfRule>
    <cfRule type="cellIs" dxfId="4033" priority="6920" stopIfTrue="1" operator="equal">
      <formula>#REF!</formula>
    </cfRule>
    <cfRule type="cellIs" dxfId="4032" priority="6919" stopIfTrue="1" operator="equal">
      <formula>#REF!</formula>
    </cfRule>
    <cfRule type="cellIs" dxfId="4031" priority="6604" stopIfTrue="1" operator="equal">
      <formula>#REF!</formula>
    </cfRule>
    <cfRule type="cellIs" dxfId="4030" priority="6605" stopIfTrue="1" operator="equal">
      <formula>#REF!</formula>
    </cfRule>
    <cfRule type="cellIs" dxfId="4029" priority="6821" stopIfTrue="1" operator="equal">
      <formula>#REF!</formula>
    </cfRule>
    <cfRule type="cellIs" dxfId="4028" priority="6820" stopIfTrue="1" operator="equal">
      <formula>#REF!</formula>
    </cfRule>
    <cfRule type="cellIs" dxfId="4027" priority="7127" stopIfTrue="1" operator="equal">
      <formula>#REF!</formula>
    </cfRule>
    <cfRule type="cellIs" dxfId="4026" priority="6704" stopIfTrue="1" operator="equal">
      <formula>#REF!</formula>
    </cfRule>
    <cfRule type="cellIs" dxfId="4025" priority="6703" stopIfTrue="1" operator="equal">
      <formula>#REF!</formula>
    </cfRule>
    <cfRule type="cellIs" dxfId="4024" priority="6398" stopIfTrue="1" operator="equal">
      <formula>#REF!</formula>
    </cfRule>
    <cfRule type="cellIs" dxfId="4023" priority="6397" stopIfTrue="1" operator="equal">
      <formula>#REF!</formula>
    </cfRule>
    <cfRule type="cellIs" dxfId="4022" priority="6496" stopIfTrue="1" operator="equal">
      <formula>#REF!</formula>
    </cfRule>
  </conditionalFormatting>
  <conditionalFormatting sqref="CR131:CS141">
    <cfRule type="cellIs" dxfId="4021" priority="6217" stopIfTrue="1" operator="equal">
      <formula>#REF!</formula>
    </cfRule>
    <cfRule type="cellIs" dxfId="4020" priority="5587" stopIfTrue="1" operator="equal">
      <formula>#REF!</formula>
    </cfRule>
    <cfRule type="cellIs" dxfId="4019" priority="5695" stopIfTrue="1" operator="equal">
      <formula>#REF!</formula>
    </cfRule>
    <cfRule type="cellIs" dxfId="4018" priority="5696" stopIfTrue="1" operator="equal">
      <formula>#REF!</formula>
    </cfRule>
    <cfRule type="cellIs" dxfId="4017" priority="6118" stopIfTrue="1" operator="equal">
      <formula>#REF!</formula>
    </cfRule>
    <cfRule type="cellIs" dxfId="4016" priority="5794" stopIfTrue="1" operator="equal">
      <formula>#REF!</formula>
    </cfRule>
    <cfRule type="cellIs" dxfId="4015" priority="6218" stopIfTrue="1" operator="equal">
      <formula>#REF!</formula>
    </cfRule>
    <cfRule type="cellIs" dxfId="4014" priority="6119" stopIfTrue="1" operator="equal">
      <formula>#REF!</formula>
    </cfRule>
    <cfRule type="cellIs" dxfId="4013" priority="6010" stopIfTrue="1" operator="equal">
      <formula>#REF!</formula>
    </cfRule>
    <cfRule type="cellIs" dxfId="4012" priority="5588" stopIfTrue="1" operator="equal">
      <formula>#REF!</formula>
    </cfRule>
    <cfRule type="cellIs" dxfId="4011" priority="6011" stopIfTrue="1" operator="equal">
      <formula>#REF!</formula>
    </cfRule>
    <cfRule type="cellIs" dxfId="4010" priority="5911" stopIfTrue="1" operator="equal">
      <formula>#REF!</formula>
    </cfRule>
    <cfRule type="cellIs" dxfId="4009" priority="5488" stopIfTrue="1" operator="equal">
      <formula>#REF!</formula>
    </cfRule>
    <cfRule type="cellIs" dxfId="4008" priority="5795" stopIfTrue="1" operator="equal">
      <formula>#REF!</formula>
    </cfRule>
    <cfRule type="cellIs" dxfId="4007" priority="5912" stopIfTrue="1" operator="equal">
      <formula>#REF!</formula>
    </cfRule>
    <cfRule type="cellIs" dxfId="4006" priority="5489" stopIfTrue="1" operator="equal">
      <formula>#REF!</formula>
    </cfRule>
  </conditionalFormatting>
  <conditionalFormatting sqref="CR142:CS143">
    <cfRule type="cellIs" dxfId="4005" priority="4597" stopIfTrue="1" operator="equal">
      <formula>#REF!</formula>
    </cfRule>
    <cfRule type="cellIs" dxfId="4004" priority="5020" stopIfTrue="1" operator="equal">
      <formula>#REF!</formula>
    </cfRule>
    <cfRule type="cellIs" dxfId="4003" priority="4804" stopIfTrue="1" operator="equal">
      <formula>#REF!</formula>
    </cfRule>
    <cfRule type="cellIs" dxfId="4002" priority="5326" stopIfTrue="1" operator="equal">
      <formula>#REF!</formula>
    </cfRule>
    <cfRule type="cellIs" dxfId="4001" priority="5119" stopIfTrue="1" operator="equal">
      <formula>#REF!</formula>
    </cfRule>
    <cfRule type="cellIs" dxfId="4000" priority="5120" stopIfTrue="1" operator="equal">
      <formula>#REF!</formula>
    </cfRule>
    <cfRule type="cellIs" dxfId="3999" priority="4696" stopIfTrue="1" operator="equal">
      <formula>#REF!</formula>
    </cfRule>
    <cfRule type="cellIs" dxfId="3998" priority="5327" stopIfTrue="1" operator="equal">
      <formula>#REF!</formula>
    </cfRule>
    <cfRule type="cellIs" dxfId="3997" priority="5021" stopIfTrue="1" operator="equal">
      <formula>#REF!</formula>
    </cfRule>
    <cfRule type="cellIs" dxfId="3996" priority="5227" stopIfTrue="1" operator="equal">
      <formula>#REF!</formula>
    </cfRule>
    <cfRule type="cellIs" dxfId="3995" priority="5228" stopIfTrue="1" operator="equal">
      <formula>#REF!</formula>
    </cfRule>
    <cfRule type="cellIs" dxfId="3994" priority="4903" stopIfTrue="1" operator="equal">
      <formula>#REF!</formula>
    </cfRule>
  </conditionalFormatting>
  <conditionalFormatting sqref="CR144:CS173">
    <cfRule type="cellIs" dxfId="3993" priority="4129" stopIfTrue="1" operator="equal">
      <formula>#REF!</formula>
    </cfRule>
    <cfRule type="cellIs" dxfId="3992" priority="4228" stopIfTrue="1" operator="equal">
      <formula>#REF!</formula>
    </cfRule>
    <cfRule type="cellIs" dxfId="3991" priority="4012" stopIfTrue="1" operator="equal">
      <formula>#REF!</formula>
    </cfRule>
    <cfRule type="cellIs" dxfId="3990" priority="4435" stopIfTrue="1" operator="equal">
      <formula>#REF!</formula>
    </cfRule>
    <cfRule type="cellIs" dxfId="3989" priority="3706" stopIfTrue="1" operator="equal">
      <formula>#REF!</formula>
    </cfRule>
    <cfRule type="cellIs" dxfId="3988" priority="4336" stopIfTrue="1" operator="equal">
      <formula>#REF!</formula>
    </cfRule>
    <cfRule type="cellIs" dxfId="3987" priority="3913" stopIfTrue="1" operator="equal">
      <formula>#REF!</formula>
    </cfRule>
    <cfRule type="cellIs" dxfId="3986" priority="3805" stopIfTrue="1" operator="equal">
      <formula>#REF!</formula>
    </cfRule>
  </conditionalFormatting>
  <conditionalFormatting sqref="CR174:CS199">
    <cfRule type="cellIs" dxfId="3985" priority="763" stopIfTrue="1" operator="equal">
      <formula>#REF!</formula>
    </cfRule>
    <cfRule type="cellIs" dxfId="3984" priority="340" stopIfTrue="1" operator="equal">
      <formula>#REF!</formula>
    </cfRule>
    <cfRule type="cellIs" dxfId="3983" priority="556" stopIfTrue="1" operator="equal">
      <formula>#REF!</formula>
    </cfRule>
    <cfRule type="cellIs" dxfId="3982" priority="655" stopIfTrue="1" operator="equal">
      <formula>#REF!</formula>
    </cfRule>
    <cfRule type="cellIs" dxfId="3981" priority="232" stopIfTrue="1" operator="equal">
      <formula>#REF!</formula>
    </cfRule>
    <cfRule type="cellIs" dxfId="3980" priority="133" stopIfTrue="1" operator="equal">
      <formula>#REF!</formula>
    </cfRule>
    <cfRule type="cellIs" dxfId="3979" priority="439" stopIfTrue="1" operator="equal">
      <formula>#REF!</formula>
    </cfRule>
    <cfRule type="cellIs" dxfId="3978" priority="862" stopIfTrue="1" operator="equal">
      <formula>#REF!</formula>
    </cfRule>
  </conditionalFormatting>
  <conditionalFormatting sqref="CR108:CT108">
    <cfRule type="cellIs" dxfId="3977" priority="9070" stopIfTrue="1" operator="equal">
      <formula>#REF!</formula>
    </cfRule>
  </conditionalFormatting>
  <conditionalFormatting sqref="CS108">
    <cfRule type="cellIs" dxfId="3976" priority="9067" stopIfTrue="1" operator="equal">
      <formula>#REF!</formula>
    </cfRule>
    <cfRule type="cellIs" dxfId="3975" priority="9072" stopIfTrue="1" operator="between">
      <formula>#REF!</formula>
      <formula>#REF!</formula>
    </cfRule>
    <cfRule type="cellIs" dxfId="3974" priority="9068" stopIfTrue="1" operator="equal">
      <formula>#REF!</formula>
    </cfRule>
    <cfRule type="cellIs" dxfId="3973" priority="9066" stopIfTrue="1" operator="between">
      <formula>#REF!</formula>
      <formula>#REF!</formula>
    </cfRule>
    <cfRule type="cellIs" dxfId="3972" priority="9069" stopIfTrue="1" operator="between">
      <formula>#REF!</formula>
      <formula>#REF!</formula>
    </cfRule>
  </conditionalFormatting>
  <conditionalFormatting sqref="CS108:CS109">
    <cfRule type="cellIs" dxfId="3971" priority="8971" stopIfTrue="1" operator="equal">
      <formula>#REF!</formula>
    </cfRule>
    <cfRule type="cellIs" dxfId="3970" priority="8972" stopIfTrue="1" operator="equal">
      <formula>#REF!</formula>
    </cfRule>
  </conditionalFormatting>
  <conditionalFormatting sqref="CS109">
    <cfRule type="cellIs" dxfId="3969" priority="8970" stopIfTrue="1" operator="between">
      <formula>#REF!</formula>
      <formula>#REF!</formula>
    </cfRule>
    <cfRule type="cellIs" dxfId="3968" priority="8973" stopIfTrue="1" operator="between">
      <formula>#REF!</formula>
      <formula>#REF!</formula>
    </cfRule>
    <cfRule type="cellIs" dxfId="3967" priority="8967" stopIfTrue="1" operator="between">
      <formula>#REF!</formula>
      <formula>#REF!</formula>
    </cfRule>
  </conditionalFormatting>
  <conditionalFormatting sqref="CS110">
    <cfRule type="cellIs" dxfId="3966" priority="8861" stopIfTrue="1" operator="equal">
      <formula>#REF!</formula>
    </cfRule>
    <cfRule type="cellIs" dxfId="3965" priority="8862" stopIfTrue="1" operator="between">
      <formula>#REF!</formula>
      <formula>#REF!</formula>
    </cfRule>
    <cfRule type="cellIs" dxfId="3964" priority="8865" stopIfTrue="1" operator="between">
      <formula>#REF!</formula>
      <formula>#REF!</formula>
    </cfRule>
    <cfRule type="cellIs" dxfId="3963" priority="8860" stopIfTrue="1" operator="equal">
      <formula>#REF!</formula>
    </cfRule>
    <cfRule type="cellIs" dxfId="3962" priority="8859" stopIfTrue="1" operator="between">
      <formula>#REF!</formula>
      <formula>#REF!</formula>
    </cfRule>
  </conditionalFormatting>
  <conditionalFormatting sqref="CS111">
    <cfRule type="cellIs" dxfId="3961" priority="8745" stopIfTrue="1" operator="between">
      <formula>#REF!</formula>
      <formula>#REF!</formula>
    </cfRule>
    <cfRule type="cellIs" dxfId="3960" priority="8748" stopIfTrue="1" operator="between">
      <formula>#REF!</formula>
      <formula>#REF!</formula>
    </cfRule>
    <cfRule type="cellIs" dxfId="3959" priority="8744" stopIfTrue="1" operator="equal">
      <formula>#REF!</formula>
    </cfRule>
    <cfRule type="cellIs" dxfId="3958" priority="8742" stopIfTrue="1" operator="between">
      <formula>#REF!</formula>
      <formula>#REF!</formula>
    </cfRule>
    <cfRule type="cellIs" dxfId="3957" priority="8743" stopIfTrue="1" operator="equal">
      <formula>#REF!</formula>
    </cfRule>
  </conditionalFormatting>
  <conditionalFormatting sqref="CS112">
    <cfRule type="cellIs" dxfId="3956" priority="8618" stopIfTrue="1" operator="equal">
      <formula>#REF!</formula>
    </cfRule>
    <cfRule type="cellIs" dxfId="3955" priority="8619" stopIfTrue="1" operator="between">
      <formula>#REF!</formula>
      <formula>#REF!</formula>
    </cfRule>
    <cfRule type="cellIs" dxfId="3954" priority="8622" stopIfTrue="1" operator="between">
      <formula>#REF!</formula>
      <formula>#REF!</formula>
    </cfRule>
    <cfRule type="cellIs" dxfId="3953" priority="8616" stopIfTrue="1" operator="between">
      <formula>#REF!</formula>
      <formula>#REF!</formula>
    </cfRule>
    <cfRule type="cellIs" dxfId="3952" priority="8617" stopIfTrue="1" operator="equal">
      <formula>#REF!</formula>
    </cfRule>
  </conditionalFormatting>
  <conditionalFormatting sqref="CS113">
    <cfRule type="cellIs" dxfId="3951" priority="8482" stopIfTrue="1" operator="equal">
      <formula>#REF!</formula>
    </cfRule>
    <cfRule type="cellIs" dxfId="3950" priority="8481" stopIfTrue="1" operator="between">
      <formula>#REF!</formula>
      <formula>#REF!</formula>
    </cfRule>
    <cfRule type="cellIs" dxfId="3949" priority="8483" stopIfTrue="1" operator="equal">
      <formula>#REF!</formula>
    </cfRule>
    <cfRule type="cellIs" dxfId="3948" priority="8484" stopIfTrue="1" operator="between">
      <formula>#REF!</formula>
      <formula>#REF!</formula>
    </cfRule>
    <cfRule type="cellIs" dxfId="3947" priority="8487" stopIfTrue="1" operator="between">
      <formula>#REF!</formula>
      <formula>#REF!</formula>
    </cfRule>
  </conditionalFormatting>
  <conditionalFormatting sqref="CS114:CS115">
    <cfRule type="cellIs" dxfId="3946" priority="8339" stopIfTrue="1" operator="equal">
      <formula>#REF!</formula>
    </cfRule>
    <cfRule type="cellIs" dxfId="3945" priority="8343" stopIfTrue="1" operator="between">
      <formula>#REF!</formula>
      <formula>#REF!</formula>
    </cfRule>
    <cfRule type="cellIs" dxfId="3944" priority="8340" stopIfTrue="1" operator="between">
      <formula>#REF!</formula>
      <formula>#REF!</formula>
    </cfRule>
    <cfRule type="cellIs" dxfId="3943" priority="8337" stopIfTrue="1" operator="between">
      <formula>#REF!</formula>
      <formula>#REF!</formula>
    </cfRule>
    <cfRule type="cellIs" dxfId="3942" priority="8338" stopIfTrue="1" operator="equal">
      <formula>#REF!</formula>
    </cfRule>
  </conditionalFormatting>
  <conditionalFormatting sqref="CS116">
    <cfRule type="cellIs" dxfId="3941" priority="8175" stopIfTrue="1" operator="between">
      <formula>#REF!</formula>
      <formula>#REF!</formula>
    </cfRule>
    <cfRule type="cellIs" dxfId="3940" priority="8176" stopIfTrue="1" operator="equal">
      <formula>#REF!</formula>
    </cfRule>
    <cfRule type="cellIs" dxfId="3939" priority="8177" stopIfTrue="1" operator="equal">
      <formula>#REF!</formula>
    </cfRule>
    <cfRule type="cellIs" dxfId="3938" priority="8181" stopIfTrue="1" operator="between">
      <formula>#REF!</formula>
      <formula>#REF!</formula>
    </cfRule>
    <cfRule type="cellIs" dxfId="3937" priority="8178" stopIfTrue="1" operator="between">
      <formula>#REF!</formula>
      <formula>#REF!</formula>
    </cfRule>
  </conditionalFormatting>
  <conditionalFormatting sqref="CS117:CS129">
    <cfRule type="cellIs" dxfId="3936" priority="8037" stopIfTrue="1" operator="between">
      <formula>#REF!</formula>
      <formula>#REF!</formula>
    </cfRule>
    <cfRule type="cellIs" dxfId="3935" priority="8034" stopIfTrue="1" operator="between">
      <formula>#REF!</formula>
      <formula>#REF!</formula>
    </cfRule>
    <cfRule type="cellIs" dxfId="3934" priority="8031" stopIfTrue="1" operator="between">
      <formula>#REF!</formula>
      <formula>#REF!</formula>
    </cfRule>
    <cfRule type="cellIs" dxfId="3933" priority="8032" stopIfTrue="1" operator="equal">
      <formula>#REF!</formula>
    </cfRule>
    <cfRule type="cellIs" dxfId="3932" priority="8033" stopIfTrue="1" operator="equal">
      <formula>#REF!</formula>
    </cfRule>
  </conditionalFormatting>
  <conditionalFormatting sqref="CS121:CS129">
    <cfRule type="cellIs" dxfId="3931" priority="7932" stopIfTrue="1" operator="between">
      <formula>#REF!</formula>
      <formula>#REF!</formula>
    </cfRule>
    <cfRule type="cellIs" dxfId="3930" priority="7935" stopIfTrue="1" operator="between">
      <formula>#REF!</formula>
      <formula>#REF!</formula>
    </cfRule>
    <cfRule type="cellIs" dxfId="3929" priority="7938" stopIfTrue="1" operator="between">
      <formula>#REF!</formula>
      <formula>#REF!</formula>
    </cfRule>
    <cfRule type="cellIs" dxfId="3928" priority="7933" stopIfTrue="1" operator="equal">
      <formula>#REF!</formula>
    </cfRule>
    <cfRule type="cellIs" dxfId="3927" priority="7934" stopIfTrue="1" operator="equal">
      <formula>#REF!</formula>
    </cfRule>
  </conditionalFormatting>
  <conditionalFormatting sqref="CS125:CS129">
    <cfRule type="cellIs" dxfId="3926" priority="7725" stopIfTrue="1" operator="between">
      <formula>#REF!</formula>
      <formula>#REF!</formula>
    </cfRule>
    <cfRule type="cellIs" dxfId="3925" priority="7726" stopIfTrue="1" operator="equal">
      <formula>#REF!</formula>
    </cfRule>
    <cfRule type="cellIs" dxfId="3924" priority="7731" stopIfTrue="1" operator="between">
      <formula>#REF!</formula>
      <formula>#REF!</formula>
    </cfRule>
    <cfRule type="cellIs" dxfId="3923" priority="7727" stopIfTrue="1" operator="equal">
      <formula>#REF!</formula>
    </cfRule>
    <cfRule type="cellIs" dxfId="3922" priority="7827" stopIfTrue="1" operator="between">
      <formula>#REF!</formula>
      <formula>#REF!</formula>
    </cfRule>
    <cfRule type="cellIs" dxfId="3921" priority="7826" stopIfTrue="1" operator="equal">
      <formula>#REF!</formula>
    </cfRule>
    <cfRule type="cellIs" dxfId="3920" priority="7824" stopIfTrue="1" operator="between">
      <formula>#REF!</formula>
      <formula>#REF!</formula>
    </cfRule>
    <cfRule type="cellIs" dxfId="3919" priority="7830" stopIfTrue="1" operator="between">
      <formula>#REF!</formula>
      <formula>#REF!</formula>
    </cfRule>
    <cfRule type="cellIs" dxfId="3918" priority="7728" stopIfTrue="1" operator="between">
      <formula>#REF!</formula>
      <formula>#REF!</formula>
    </cfRule>
    <cfRule type="cellIs" dxfId="3917" priority="7825" stopIfTrue="1" operator="equal">
      <formula>#REF!</formula>
    </cfRule>
  </conditionalFormatting>
  <conditionalFormatting sqref="CS126:CS129">
    <cfRule type="cellIs" dxfId="3916" priority="7401" stopIfTrue="1" operator="between">
      <formula>#REF!</formula>
      <formula>#REF!</formula>
    </cfRule>
    <cfRule type="cellIs" dxfId="3915" priority="7402" stopIfTrue="1" operator="equal">
      <formula>#REF!</formula>
    </cfRule>
    <cfRule type="cellIs" dxfId="3914" priority="7403" stopIfTrue="1" operator="equal">
      <formula>#REF!</formula>
    </cfRule>
    <cfRule type="cellIs" dxfId="3913" priority="7404" stopIfTrue="1" operator="between">
      <formula>#REF!</formula>
      <formula>#REF!</formula>
    </cfRule>
    <cfRule type="cellIs" dxfId="3912" priority="7407" stopIfTrue="1" operator="between">
      <formula>#REF!</formula>
      <formula>#REF!</formula>
    </cfRule>
    <cfRule type="cellIs" dxfId="3911" priority="7302" stopIfTrue="1" operator="between">
      <formula>#REF!</formula>
      <formula>#REF!</formula>
    </cfRule>
    <cfRule type="cellIs" dxfId="3910" priority="7608" stopIfTrue="1" operator="between">
      <formula>#REF!</formula>
      <formula>#REF!</formula>
    </cfRule>
    <cfRule type="cellIs" dxfId="3909" priority="7609" stopIfTrue="1" operator="equal">
      <formula>#REF!</formula>
    </cfRule>
    <cfRule type="cellIs" dxfId="3908" priority="7610" stopIfTrue="1" operator="equal">
      <formula>#REF!</formula>
    </cfRule>
    <cfRule type="cellIs" dxfId="3907" priority="7611" stopIfTrue="1" operator="between">
      <formula>#REF!</formula>
      <formula>#REF!</formula>
    </cfRule>
    <cfRule type="cellIs" dxfId="3906" priority="7614" stopIfTrue="1" operator="between">
      <formula>#REF!</formula>
      <formula>#REF!</formula>
    </cfRule>
    <cfRule type="cellIs" dxfId="3905" priority="7509" stopIfTrue="1" operator="between">
      <formula>#REF!</formula>
      <formula>#REF!</formula>
    </cfRule>
    <cfRule type="cellIs" dxfId="3904" priority="7510" stopIfTrue="1" operator="equal">
      <formula>#REF!</formula>
    </cfRule>
    <cfRule type="cellIs" dxfId="3903" priority="7511" stopIfTrue="1" operator="equal">
      <formula>#REF!</formula>
    </cfRule>
    <cfRule type="cellIs" dxfId="3902" priority="7512" stopIfTrue="1" operator="between">
      <formula>#REF!</formula>
      <formula>#REF!</formula>
    </cfRule>
    <cfRule type="cellIs" dxfId="3901" priority="7515" stopIfTrue="1" operator="between">
      <formula>#REF!</formula>
      <formula>#REF!</formula>
    </cfRule>
    <cfRule type="cellIs" dxfId="3900" priority="7308" stopIfTrue="1" operator="between">
      <formula>#REF!</formula>
      <formula>#REF!</formula>
    </cfRule>
    <cfRule type="cellIs" dxfId="3899" priority="7305" stopIfTrue="1" operator="between">
      <formula>#REF!</formula>
      <formula>#REF!</formula>
    </cfRule>
    <cfRule type="cellIs" dxfId="3898" priority="7304" stopIfTrue="1" operator="equal">
      <formula>#REF!</formula>
    </cfRule>
    <cfRule type="cellIs" dxfId="3897" priority="7303" stopIfTrue="1" operator="equal">
      <formula>#REF!</formula>
    </cfRule>
  </conditionalFormatting>
  <conditionalFormatting sqref="CS130">
    <cfRule type="cellIs" dxfId="3896" priority="7128" stopIfTrue="1" operator="between">
      <formula>#REF!</formula>
      <formula>#REF!</formula>
    </cfRule>
    <cfRule type="cellIs" dxfId="3895" priority="6921" stopIfTrue="1" operator="between">
      <formula>#REF!</formula>
      <formula>#REF!</formula>
    </cfRule>
    <cfRule type="cellIs" dxfId="3894" priority="6918" stopIfTrue="1" operator="between">
      <formula>#REF!</formula>
      <formula>#REF!</formula>
    </cfRule>
    <cfRule type="cellIs" dxfId="3893" priority="6699" stopIfTrue="1" operator="between">
      <formula>#REF!</formula>
      <formula>#REF!</formula>
    </cfRule>
    <cfRule type="cellIs" dxfId="3892" priority="6701" stopIfTrue="1" operator="equal">
      <formula>#REF!</formula>
    </cfRule>
    <cfRule type="cellIs" dxfId="3891" priority="6702" stopIfTrue="1" operator="between">
      <formula>#REF!</formula>
      <formula>#REF!</formula>
    </cfRule>
    <cfRule type="cellIs" dxfId="3890" priority="6705" stopIfTrue="1" operator="between">
      <formula>#REF!</formula>
      <formula>#REF!</formula>
    </cfRule>
    <cfRule type="cellIs" dxfId="3889" priority="6917" stopIfTrue="1" operator="equal">
      <formula>#REF!</formula>
    </cfRule>
    <cfRule type="cellIs" dxfId="3888" priority="6916" stopIfTrue="1" operator="equal">
      <formula>#REF!</formula>
    </cfRule>
    <cfRule type="cellIs" dxfId="3887" priority="6915" stopIfTrue="1" operator="between">
      <formula>#REF!</formula>
      <formula>#REF!</formula>
    </cfRule>
    <cfRule type="cellIs" dxfId="3886" priority="6606" stopIfTrue="1" operator="between">
      <formula>#REF!</formula>
      <formula>#REF!</formula>
    </cfRule>
    <cfRule type="cellIs" dxfId="3885" priority="6600" stopIfTrue="1" operator="between">
      <formula>#REF!</formula>
      <formula>#REF!</formula>
    </cfRule>
    <cfRule type="cellIs" dxfId="3884" priority="7029" stopIfTrue="1" operator="between">
      <formula>#REF!</formula>
      <formula>#REF!</formula>
    </cfRule>
    <cfRule type="cellIs" dxfId="3883" priority="6601" stopIfTrue="1" operator="equal">
      <formula>#REF!</formula>
    </cfRule>
    <cfRule type="cellIs" dxfId="3882" priority="6399" stopIfTrue="1" operator="between">
      <formula>#REF!</formula>
      <formula>#REF!</formula>
    </cfRule>
    <cfRule type="cellIs" dxfId="3881" priority="7025" stopIfTrue="1" operator="equal">
      <formula>#REF!</formula>
    </cfRule>
    <cfRule type="cellIs" dxfId="3880" priority="6394" stopIfTrue="1" operator="equal">
      <formula>#REF!</formula>
    </cfRule>
    <cfRule type="cellIs" dxfId="3879" priority="7026" stopIfTrue="1" operator="between">
      <formula>#REF!</formula>
      <formula>#REF!</formula>
    </cfRule>
    <cfRule type="cellIs" dxfId="3878" priority="6822" stopIfTrue="1" operator="between">
      <formula>#REF!</formula>
      <formula>#REF!</formula>
    </cfRule>
    <cfRule type="cellIs" dxfId="3877" priority="6602" stopIfTrue="1" operator="equal">
      <formula>#REF!</formula>
    </cfRule>
    <cfRule type="cellIs" dxfId="3876" priority="6393" stopIfTrue="1" operator="between">
      <formula>#REF!</formula>
      <formula>#REF!</formula>
    </cfRule>
    <cfRule type="cellIs" dxfId="3875" priority="6819" stopIfTrue="1" operator="between">
      <formula>#REF!</formula>
      <formula>#REF!</formula>
    </cfRule>
    <cfRule type="cellIs" dxfId="3874" priority="6818" stopIfTrue="1" operator="equal">
      <formula>#REF!</formula>
    </cfRule>
    <cfRule type="cellIs" dxfId="3873" priority="6492" stopIfTrue="1" operator="between">
      <formula>#REF!</formula>
      <formula>#REF!</formula>
    </cfRule>
    <cfRule type="cellIs" dxfId="3872" priority="6493" stopIfTrue="1" operator="equal">
      <formula>#REF!</formula>
    </cfRule>
    <cfRule type="cellIs" dxfId="3871" priority="6817" stopIfTrue="1" operator="equal">
      <formula>#REF!</formula>
    </cfRule>
    <cfRule type="cellIs" dxfId="3870" priority="6816" stopIfTrue="1" operator="between">
      <formula>#REF!</formula>
      <formula>#REF!</formula>
    </cfRule>
    <cfRule type="cellIs" dxfId="3869" priority="6494" stopIfTrue="1" operator="equal">
      <formula>#REF!</formula>
    </cfRule>
    <cfRule type="cellIs" dxfId="3868" priority="6700" stopIfTrue="1" operator="equal">
      <formula>#REF!</formula>
    </cfRule>
    <cfRule type="cellIs" dxfId="3867" priority="7122" stopIfTrue="1" operator="between">
      <formula>#REF!</formula>
      <formula>#REF!</formula>
    </cfRule>
    <cfRule type="cellIs" dxfId="3866" priority="7123" stopIfTrue="1" operator="equal">
      <formula>#REF!</formula>
    </cfRule>
    <cfRule type="cellIs" dxfId="3865" priority="6603" stopIfTrue="1" operator="between">
      <formula>#REF!</formula>
      <formula>#REF!</formula>
    </cfRule>
    <cfRule type="cellIs" dxfId="3864" priority="6495" stopIfTrue="1" operator="between">
      <formula>#REF!</formula>
      <formula>#REF!</formula>
    </cfRule>
    <cfRule type="cellIs" dxfId="3863" priority="6498" stopIfTrue="1" operator="between">
      <formula>#REF!</formula>
      <formula>#REF!</formula>
    </cfRule>
    <cfRule type="cellIs" dxfId="3862" priority="7124" stopIfTrue="1" operator="equal">
      <formula>#REF!</formula>
    </cfRule>
    <cfRule type="cellIs" dxfId="3861" priority="7125" stopIfTrue="1" operator="between">
      <formula>#REF!</formula>
      <formula>#REF!</formula>
    </cfRule>
    <cfRule type="cellIs" dxfId="3860" priority="7024" stopIfTrue="1" operator="equal">
      <formula>#REF!</formula>
    </cfRule>
    <cfRule type="cellIs" dxfId="3859" priority="7023" stopIfTrue="1" operator="between">
      <formula>#REF!</formula>
      <formula>#REF!</formula>
    </cfRule>
    <cfRule type="cellIs" dxfId="3858" priority="6395" stopIfTrue="1" operator="equal">
      <formula>#REF!</formula>
    </cfRule>
    <cfRule type="cellIs" dxfId="3857" priority="6396" stopIfTrue="1" operator="between">
      <formula>#REF!</formula>
      <formula>#REF!</formula>
    </cfRule>
  </conditionalFormatting>
  <conditionalFormatting sqref="CS131:CS141">
    <cfRule type="cellIs" dxfId="3856" priority="6008" stopIfTrue="1" operator="equal">
      <formula>#REF!</formula>
    </cfRule>
    <cfRule type="cellIs" dxfId="3855" priority="6007" stopIfTrue="1" operator="equal">
      <formula>#REF!</formula>
    </cfRule>
    <cfRule type="cellIs" dxfId="3854" priority="6006" stopIfTrue="1" operator="between">
      <formula>#REF!</formula>
      <formula>#REF!</formula>
    </cfRule>
    <cfRule type="cellIs" dxfId="3853" priority="6219" stopIfTrue="1" operator="between">
      <formula>#REF!</formula>
      <formula>#REF!</formula>
    </cfRule>
    <cfRule type="cellIs" dxfId="3852" priority="6216" stopIfTrue="1" operator="between">
      <formula>#REF!</formula>
      <formula>#REF!</formula>
    </cfRule>
    <cfRule type="cellIs" dxfId="3851" priority="5694" stopIfTrue="1" operator="between">
      <formula>#REF!</formula>
      <formula>#REF!</formula>
    </cfRule>
    <cfRule type="cellIs" dxfId="3850" priority="5693" stopIfTrue="1" operator="equal">
      <formula>#REF!</formula>
    </cfRule>
    <cfRule type="cellIs" dxfId="3849" priority="5692" stopIfTrue="1" operator="equal">
      <formula>#REF!</formula>
    </cfRule>
    <cfRule type="cellIs" dxfId="3848" priority="5691" stopIfTrue="1" operator="between">
      <formula>#REF!</formula>
      <formula>#REF!</formula>
    </cfRule>
    <cfRule type="cellIs" dxfId="3847" priority="5791" stopIfTrue="1" operator="equal">
      <formula>#REF!</formula>
    </cfRule>
    <cfRule type="cellIs" dxfId="3846" priority="6214" stopIfTrue="1" operator="equal">
      <formula>#REF!</formula>
    </cfRule>
    <cfRule type="cellIs" dxfId="3845" priority="6213" stopIfTrue="1" operator="between">
      <formula>#REF!</formula>
      <formula>#REF!</formula>
    </cfRule>
    <cfRule type="cellIs" dxfId="3844" priority="6120" stopIfTrue="1" operator="between">
      <formula>#REF!</formula>
      <formula>#REF!</formula>
    </cfRule>
    <cfRule type="cellIs" dxfId="3843" priority="6215" stopIfTrue="1" operator="equal">
      <formula>#REF!</formula>
    </cfRule>
    <cfRule type="cellIs" dxfId="3842" priority="5913" stopIfTrue="1" operator="between">
      <formula>#REF!</formula>
      <formula>#REF!</formula>
    </cfRule>
    <cfRule type="cellIs" dxfId="3841" priority="5910" stopIfTrue="1" operator="between">
      <formula>#REF!</formula>
      <formula>#REF!</formula>
    </cfRule>
    <cfRule type="cellIs" dxfId="3840" priority="5909" stopIfTrue="1" operator="equal">
      <formula>#REF!</formula>
    </cfRule>
    <cfRule type="cellIs" dxfId="3839" priority="5583" stopIfTrue="1" operator="between">
      <formula>#REF!</formula>
      <formula>#REF!</formula>
    </cfRule>
    <cfRule type="cellIs" dxfId="3838" priority="5584" stopIfTrue="1" operator="equal">
      <formula>#REF!</formula>
    </cfRule>
    <cfRule type="cellIs" dxfId="3837" priority="5585" stopIfTrue="1" operator="equal">
      <formula>#REF!</formula>
    </cfRule>
    <cfRule type="cellIs" dxfId="3836" priority="5586" stopIfTrue="1" operator="between">
      <formula>#REF!</formula>
      <formula>#REF!</formula>
    </cfRule>
    <cfRule type="cellIs" dxfId="3835" priority="5908" stopIfTrue="1" operator="equal">
      <formula>#REF!</formula>
    </cfRule>
    <cfRule type="cellIs" dxfId="3834" priority="5907" stopIfTrue="1" operator="between">
      <formula>#REF!</formula>
      <formula>#REF!</formula>
    </cfRule>
    <cfRule type="cellIs" dxfId="3833" priority="5485" stopIfTrue="1" operator="equal">
      <formula>#REF!</formula>
    </cfRule>
    <cfRule type="cellIs" dxfId="3832" priority="5589" stopIfTrue="1" operator="between">
      <formula>#REF!</formula>
      <formula>#REF!</formula>
    </cfRule>
    <cfRule type="cellIs" dxfId="3831" priority="5490" stopIfTrue="1" operator="between">
      <formula>#REF!</formula>
      <formula>#REF!</formula>
    </cfRule>
    <cfRule type="cellIs" dxfId="3830" priority="5484" stopIfTrue="1" operator="between">
      <formula>#REF!</formula>
      <formula>#REF!</formula>
    </cfRule>
    <cfRule type="cellIs" dxfId="3829" priority="5790" stopIfTrue="1" operator="between">
      <formula>#REF!</formula>
      <formula>#REF!</formula>
    </cfRule>
    <cfRule type="cellIs" dxfId="3828" priority="6114" stopIfTrue="1" operator="between">
      <formula>#REF!</formula>
      <formula>#REF!</formula>
    </cfRule>
    <cfRule type="cellIs" dxfId="3827" priority="6115" stopIfTrue="1" operator="equal">
      <formula>#REF!</formula>
    </cfRule>
    <cfRule type="cellIs" dxfId="3826" priority="6012" stopIfTrue="1" operator="between">
      <formula>#REF!</formula>
      <formula>#REF!</formula>
    </cfRule>
    <cfRule type="cellIs" dxfId="3825" priority="6116" stopIfTrue="1" operator="equal">
      <formula>#REF!</formula>
    </cfRule>
    <cfRule type="cellIs" dxfId="3824" priority="6117" stopIfTrue="1" operator="between">
      <formula>#REF!</formula>
      <formula>#REF!</formula>
    </cfRule>
    <cfRule type="cellIs" dxfId="3823" priority="5796" stopIfTrue="1" operator="between">
      <formula>#REF!</formula>
      <formula>#REF!</formula>
    </cfRule>
    <cfRule type="cellIs" dxfId="3822" priority="5697" stopIfTrue="1" operator="between">
      <formula>#REF!</formula>
      <formula>#REF!</formula>
    </cfRule>
    <cfRule type="cellIs" dxfId="3821" priority="6009" stopIfTrue="1" operator="between">
      <formula>#REF!</formula>
      <formula>#REF!</formula>
    </cfRule>
    <cfRule type="cellIs" dxfId="3820" priority="5793" stopIfTrue="1" operator="between">
      <formula>#REF!</formula>
      <formula>#REF!</formula>
    </cfRule>
    <cfRule type="cellIs" dxfId="3819" priority="5487" stopIfTrue="1" operator="between">
      <formula>#REF!</formula>
      <formula>#REF!</formula>
    </cfRule>
    <cfRule type="cellIs" dxfId="3818" priority="5486" stopIfTrue="1" operator="equal">
      <formula>#REF!</formula>
    </cfRule>
    <cfRule type="cellIs" dxfId="3817" priority="5792" stopIfTrue="1" operator="equal">
      <formula>#REF!</formula>
    </cfRule>
  </conditionalFormatting>
  <conditionalFormatting sqref="CS142:CS143">
    <cfRule type="cellIs" dxfId="3816" priority="5022" stopIfTrue="1" operator="between">
      <formula>#REF!</formula>
      <formula>#REF!</formula>
    </cfRule>
    <cfRule type="cellIs" dxfId="3815" priority="5019" stopIfTrue="1" operator="between">
      <formula>#REF!</formula>
      <formula>#REF!</formula>
    </cfRule>
    <cfRule type="cellIs" dxfId="3814" priority="4594" stopIfTrue="1" operator="equal">
      <formula>#REF!</formula>
    </cfRule>
    <cfRule type="cellIs" dxfId="3813" priority="4593" stopIfTrue="1" operator="between">
      <formula>#REF!</formula>
      <formula>#REF!</formula>
    </cfRule>
    <cfRule type="cellIs" dxfId="3812" priority="5018" stopIfTrue="1" operator="equal">
      <formula>#REF!</formula>
    </cfRule>
    <cfRule type="cellIs" dxfId="3811" priority="5017" stopIfTrue="1" operator="equal">
      <formula>#REF!</formula>
    </cfRule>
    <cfRule type="cellIs" dxfId="3810" priority="5016" stopIfTrue="1" operator="between">
      <formula>#REF!</formula>
      <formula>#REF!</formula>
    </cfRule>
    <cfRule type="cellIs" dxfId="3809" priority="5328" stopIfTrue="1" operator="between">
      <formula>#REF!</formula>
      <formula>#REF!</formula>
    </cfRule>
    <cfRule type="cellIs" dxfId="3808" priority="4592" stopIfTrue="1" operator="equal">
      <formula>#REF!</formula>
    </cfRule>
    <cfRule type="cellIs" dxfId="3807" priority="5229" stopIfTrue="1" operator="between">
      <formula>#REF!</formula>
      <formula>#REF!</formula>
    </cfRule>
    <cfRule type="cellIs" dxfId="3806" priority="5226" stopIfTrue="1" operator="between">
      <formula>#REF!</formula>
      <formula>#REF!</formula>
    </cfRule>
    <cfRule type="cellIs" dxfId="3805" priority="5225" stopIfTrue="1" operator="equal">
      <formula>#REF!</formula>
    </cfRule>
    <cfRule type="cellIs" dxfId="3804" priority="5224" stopIfTrue="1" operator="equal">
      <formula>#REF!</formula>
    </cfRule>
    <cfRule type="cellIs" dxfId="3803" priority="5223" stopIfTrue="1" operator="between">
      <formula>#REF!</formula>
      <formula>#REF!</formula>
    </cfRule>
    <cfRule type="cellIs" dxfId="3802" priority="4691" stopIfTrue="1" operator="equal">
      <formula>#REF!</formula>
    </cfRule>
    <cfRule type="cellIs" dxfId="3801" priority="4692" stopIfTrue="1" operator="between">
      <formula>#REF!</formula>
      <formula>#REF!</formula>
    </cfRule>
    <cfRule type="cellIs" dxfId="3800" priority="4693" stopIfTrue="1" operator="equal">
      <formula>#REF!</formula>
    </cfRule>
    <cfRule type="cellIs" dxfId="3799" priority="4694" stopIfTrue="1" operator="equal">
      <formula>#REF!</formula>
    </cfRule>
    <cfRule type="cellIs" dxfId="3798" priority="4695" stopIfTrue="1" operator="between">
      <formula>#REF!</formula>
      <formula>#REF!</formula>
    </cfRule>
    <cfRule type="cellIs" dxfId="3797" priority="5325" stopIfTrue="1" operator="between">
      <formula>#REF!</formula>
      <formula>#REF!</formula>
    </cfRule>
    <cfRule type="cellIs" dxfId="3796" priority="4697" stopIfTrue="1" operator="equal">
      <formula>#REF!</formula>
    </cfRule>
    <cfRule type="cellIs" dxfId="3795" priority="5324" stopIfTrue="1" operator="equal">
      <formula>#REF!</formula>
    </cfRule>
    <cfRule type="cellIs" dxfId="3794" priority="5323" stopIfTrue="1" operator="equal">
      <formula>#REF!</formula>
    </cfRule>
    <cfRule type="cellIs" dxfId="3793" priority="4698" stopIfTrue="1" operator="between">
      <formula>#REF!</formula>
      <formula>#REF!</formula>
    </cfRule>
    <cfRule type="cellIs" dxfId="3792" priority="5322" stopIfTrue="1" operator="between">
      <formula>#REF!</formula>
      <formula>#REF!</formula>
    </cfRule>
    <cfRule type="cellIs" dxfId="3791" priority="4599" stopIfTrue="1" operator="between">
      <formula>#REF!</formula>
      <formula>#REF!</formula>
    </cfRule>
    <cfRule type="cellIs" dxfId="3790" priority="5115" stopIfTrue="1" operator="between">
      <formula>#REF!</formula>
      <formula>#REF!</formula>
    </cfRule>
    <cfRule type="cellIs" dxfId="3789" priority="5116" stopIfTrue="1" operator="equal">
      <formula>#REF!</formula>
    </cfRule>
    <cfRule type="cellIs" dxfId="3788" priority="5117" stopIfTrue="1" operator="equal">
      <formula>#REF!</formula>
    </cfRule>
    <cfRule type="cellIs" dxfId="3787" priority="5118" stopIfTrue="1" operator="between">
      <formula>#REF!</formula>
      <formula>#REF!</formula>
    </cfRule>
    <cfRule type="cellIs" dxfId="3786" priority="4799" stopIfTrue="1" operator="equal">
      <formula>#REF!</formula>
    </cfRule>
    <cfRule type="cellIs" dxfId="3785" priority="4800" stopIfTrue="1" operator="between">
      <formula>#REF!</formula>
      <formula>#REF!</formula>
    </cfRule>
    <cfRule type="cellIs" dxfId="3784" priority="5121" stopIfTrue="1" operator="between">
      <formula>#REF!</formula>
      <formula>#REF!</formula>
    </cfRule>
    <cfRule type="cellIs" dxfId="3783" priority="4801" stopIfTrue="1" operator="equal">
      <formula>#REF!</formula>
    </cfRule>
    <cfRule type="cellIs" dxfId="3782" priority="4802" stopIfTrue="1" operator="equal">
      <formula>#REF!</formula>
    </cfRule>
    <cfRule type="cellIs" dxfId="3781" priority="4803" stopIfTrue="1" operator="between">
      <formula>#REF!</formula>
      <formula>#REF!</formula>
    </cfRule>
    <cfRule type="cellIs" dxfId="3780" priority="4805" stopIfTrue="1" operator="equal">
      <formula>#REF!</formula>
    </cfRule>
    <cfRule type="cellIs" dxfId="3779" priority="4806" stopIfTrue="1" operator="between">
      <formula>#REF!</formula>
      <formula>#REF!</formula>
    </cfRule>
    <cfRule type="cellIs" dxfId="3778" priority="4905" stopIfTrue="1" operator="between">
      <formula>#REF!</formula>
      <formula>#REF!</formula>
    </cfRule>
    <cfRule type="cellIs" dxfId="3777" priority="4904" stopIfTrue="1" operator="equal">
      <formula>#REF!</formula>
    </cfRule>
    <cfRule type="cellIs" dxfId="3776" priority="4902" stopIfTrue="1" operator="between">
      <formula>#REF!</formula>
      <formula>#REF!</formula>
    </cfRule>
    <cfRule type="cellIs" dxfId="3775" priority="4901" stopIfTrue="1" operator="equal">
      <formula>#REF!</formula>
    </cfRule>
    <cfRule type="cellIs" dxfId="3774" priority="4900" stopIfTrue="1" operator="equal">
      <formula>#REF!</formula>
    </cfRule>
    <cfRule type="cellIs" dxfId="3773" priority="4899" stopIfTrue="1" operator="between">
      <formula>#REF!</formula>
      <formula>#REF!</formula>
    </cfRule>
    <cfRule type="cellIs" dxfId="3772" priority="4898" stopIfTrue="1" operator="equal">
      <formula>#REF!</formula>
    </cfRule>
    <cfRule type="cellIs" dxfId="3771" priority="4598" stopIfTrue="1" operator="equal">
      <formula>#REF!</formula>
    </cfRule>
    <cfRule type="cellIs" dxfId="3770" priority="4596" stopIfTrue="1" operator="between">
      <formula>#REF!</formula>
      <formula>#REF!</formula>
    </cfRule>
    <cfRule type="cellIs" dxfId="3769" priority="4595" stopIfTrue="1" operator="equal">
      <formula>#REF!</formula>
    </cfRule>
  </conditionalFormatting>
  <conditionalFormatting sqref="CS144:CS173">
    <cfRule type="cellIs" dxfId="3768" priority="3702" stopIfTrue="1" operator="between">
      <formula>#REF!</formula>
      <formula>#REF!</formula>
    </cfRule>
    <cfRule type="cellIs" dxfId="3767" priority="3701" stopIfTrue="1" operator="equal">
      <formula>#REF!</formula>
    </cfRule>
    <cfRule type="cellIs" dxfId="3766" priority="4230" stopIfTrue="1" operator="between">
      <formula>#REF!</formula>
      <formula>#REF!</formula>
    </cfRule>
    <cfRule type="cellIs" dxfId="3765" priority="4229" stopIfTrue="1" operator="equal">
      <formula>#REF!</formula>
    </cfRule>
    <cfRule type="cellIs" dxfId="3764" priority="4124" stopIfTrue="1" operator="equal">
      <formula>#REF!</formula>
    </cfRule>
    <cfRule type="cellIs" dxfId="3763" priority="4227" stopIfTrue="1" operator="between">
      <formula>#REF!</formula>
      <formula>#REF!</formula>
    </cfRule>
    <cfRule type="cellIs" dxfId="3762" priority="4226" stopIfTrue="1" operator="equal">
      <formula>#REF!</formula>
    </cfRule>
    <cfRule type="cellIs" dxfId="3761" priority="4225" stopIfTrue="1" operator="equal">
      <formula>#REF!</formula>
    </cfRule>
    <cfRule type="cellIs" dxfId="3760" priority="4224" stopIfTrue="1" operator="between">
      <formula>#REF!</formula>
      <formula>#REF!</formula>
    </cfRule>
    <cfRule type="cellIs" dxfId="3759" priority="4223" stopIfTrue="1" operator="equal">
      <formula>#REF!</formula>
    </cfRule>
    <cfRule type="cellIs" dxfId="3758" priority="4125" stopIfTrue="1" operator="between">
      <formula>#REF!</formula>
      <formula>#REF!</formula>
    </cfRule>
    <cfRule type="cellIs" dxfId="3757" priority="4126" stopIfTrue="1" operator="equal">
      <formula>#REF!</formula>
    </cfRule>
    <cfRule type="cellIs" dxfId="3756" priority="4127" stopIfTrue="1" operator="equal">
      <formula>#REF!</formula>
    </cfRule>
    <cfRule type="cellIs" dxfId="3755" priority="4128" stopIfTrue="1" operator="between">
      <formula>#REF!</formula>
      <formula>#REF!</formula>
    </cfRule>
    <cfRule type="cellIs" dxfId="3754" priority="4130" stopIfTrue="1" operator="equal">
      <formula>#REF!</formula>
    </cfRule>
    <cfRule type="cellIs" dxfId="3753" priority="4131" stopIfTrue="1" operator="between">
      <formula>#REF!</formula>
      <formula>#REF!</formula>
    </cfRule>
    <cfRule type="cellIs" dxfId="3752" priority="3908" stopIfTrue="1" operator="equal">
      <formula>#REF!</formula>
    </cfRule>
    <cfRule type="cellIs" dxfId="3751" priority="3909" stopIfTrue="1" operator="between">
      <formula>#REF!</formula>
      <formula>#REF!</formula>
    </cfRule>
    <cfRule type="cellIs" dxfId="3750" priority="3910" stopIfTrue="1" operator="equal">
      <formula>#REF!</formula>
    </cfRule>
    <cfRule type="cellIs" dxfId="3749" priority="4430" stopIfTrue="1" operator="equal">
      <formula>#REF!</formula>
    </cfRule>
    <cfRule type="cellIs" dxfId="3748" priority="4431" stopIfTrue="1" operator="between">
      <formula>#REF!</formula>
      <formula>#REF!</formula>
    </cfRule>
    <cfRule type="cellIs" dxfId="3747" priority="4432" stopIfTrue="1" operator="equal">
      <formula>#REF!</formula>
    </cfRule>
    <cfRule type="cellIs" dxfId="3746" priority="4433" stopIfTrue="1" operator="equal">
      <formula>#REF!</formula>
    </cfRule>
    <cfRule type="cellIs" dxfId="3745" priority="4434" stopIfTrue="1" operator="between">
      <formula>#REF!</formula>
      <formula>#REF!</formula>
    </cfRule>
    <cfRule type="cellIs" dxfId="3744" priority="3911" stopIfTrue="1" operator="equal">
      <formula>#REF!</formula>
    </cfRule>
    <cfRule type="cellIs" dxfId="3743" priority="3912" stopIfTrue="1" operator="between">
      <formula>#REF!</formula>
      <formula>#REF!</formula>
    </cfRule>
    <cfRule type="cellIs" dxfId="3742" priority="3914" stopIfTrue="1" operator="equal">
      <formula>#REF!</formula>
    </cfRule>
    <cfRule type="cellIs" dxfId="3741" priority="3915" stopIfTrue="1" operator="between">
      <formula>#REF!</formula>
      <formula>#REF!</formula>
    </cfRule>
    <cfRule type="cellIs" dxfId="3740" priority="4436" stopIfTrue="1" operator="equal">
      <formula>#REF!</formula>
    </cfRule>
    <cfRule type="cellIs" dxfId="3739" priority="4437" stopIfTrue="1" operator="between">
      <formula>#REF!</formula>
      <formula>#REF!</formula>
    </cfRule>
    <cfRule type="cellIs" dxfId="3738" priority="4338" stopIfTrue="1" operator="between">
      <formula>#REF!</formula>
      <formula>#REF!</formula>
    </cfRule>
    <cfRule type="cellIs" dxfId="3737" priority="4331" stopIfTrue="1" operator="equal">
      <formula>#REF!</formula>
    </cfRule>
    <cfRule type="cellIs" dxfId="3736" priority="4014" stopIfTrue="1" operator="between">
      <formula>#REF!</formula>
      <formula>#REF!</formula>
    </cfRule>
    <cfRule type="cellIs" dxfId="3735" priority="4013" stopIfTrue="1" operator="equal">
      <formula>#REF!</formula>
    </cfRule>
    <cfRule type="cellIs" dxfId="3734" priority="4011" stopIfTrue="1" operator="between">
      <formula>#REF!</formula>
      <formula>#REF!</formula>
    </cfRule>
    <cfRule type="cellIs" dxfId="3733" priority="4010" stopIfTrue="1" operator="equal">
      <formula>#REF!</formula>
    </cfRule>
    <cfRule type="cellIs" dxfId="3732" priority="4009" stopIfTrue="1" operator="equal">
      <formula>#REF!</formula>
    </cfRule>
    <cfRule type="cellIs" dxfId="3731" priority="4008" stopIfTrue="1" operator="between">
      <formula>#REF!</formula>
      <formula>#REF!</formula>
    </cfRule>
    <cfRule type="cellIs" dxfId="3730" priority="4007" stopIfTrue="1" operator="equal">
      <formula>#REF!</formula>
    </cfRule>
    <cfRule type="cellIs" dxfId="3729" priority="3708" stopIfTrue="1" operator="between">
      <formula>#REF!</formula>
      <formula>#REF!</formula>
    </cfRule>
    <cfRule type="cellIs" dxfId="3728" priority="3707" stopIfTrue="1" operator="equal">
      <formula>#REF!</formula>
    </cfRule>
    <cfRule type="cellIs" dxfId="3727" priority="3705" stopIfTrue="1" operator="between">
      <formula>#REF!</formula>
      <formula>#REF!</formula>
    </cfRule>
    <cfRule type="cellIs" dxfId="3726" priority="3704" stopIfTrue="1" operator="equal">
      <formula>#REF!</formula>
    </cfRule>
    <cfRule type="cellIs" dxfId="3725" priority="3703" stopIfTrue="1" operator="equal">
      <formula>#REF!</formula>
    </cfRule>
    <cfRule type="cellIs" dxfId="3724" priority="3800" stopIfTrue="1" operator="equal">
      <formula>#REF!</formula>
    </cfRule>
    <cfRule type="cellIs" dxfId="3723" priority="3801" stopIfTrue="1" operator="between">
      <formula>#REF!</formula>
      <formula>#REF!</formula>
    </cfRule>
    <cfRule type="cellIs" dxfId="3722" priority="3802" stopIfTrue="1" operator="equal">
      <formula>#REF!</formula>
    </cfRule>
    <cfRule type="cellIs" dxfId="3721" priority="3803" stopIfTrue="1" operator="equal">
      <formula>#REF!</formula>
    </cfRule>
    <cfRule type="cellIs" dxfId="3720" priority="4332" stopIfTrue="1" operator="between">
      <formula>#REF!</formula>
      <formula>#REF!</formula>
    </cfRule>
    <cfRule type="cellIs" dxfId="3719" priority="4333" stopIfTrue="1" operator="equal">
      <formula>#REF!</formula>
    </cfRule>
    <cfRule type="cellIs" dxfId="3718" priority="4334" stopIfTrue="1" operator="equal">
      <formula>#REF!</formula>
    </cfRule>
    <cfRule type="cellIs" dxfId="3717" priority="4335" stopIfTrue="1" operator="between">
      <formula>#REF!</formula>
      <formula>#REF!</formula>
    </cfRule>
    <cfRule type="cellIs" dxfId="3716" priority="4337" stopIfTrue="1" operator="equal">
      <formula>#REF!</formula>
    </cfRule>
    <cfRule type="cellIs" dxfId="3715" priority="3804" stopIfTrue="1" operator="between">
      <formula>#REF!</formula>
      <formula>#REF!</formula>
    </cfRule>
    <cfRule type="cellIs" dxfId="3714" priority="3806" stopIfTrue="1" operator="equal">
      <formula>#REF!</formula>
    </cfRule>
    <cfRule type="cellIs" dxfId="3713" priority="3807" stopIfTrue="1" operator="between">
      <formula>#REF!</formula>
      <formula>#REF!</formula>
    </cfRule>
  </conditionalFormatting>
  <conditionalFormatting sqref="CS174:CS199">
    <cfRule type="cellIs" dxfId="3712" priority="131" stopIfTrue="1" operator="equal">
      <formula>#REF!</formula>
    </cfRule>
    <cfRule type="cellIs" dxfId="3711" priority="864" stopIfTrue="1" operator="between">
      <formula>#REF!</formula>
      <formula>#REF!</formula>
    </cfRule>
    <cfRule type="cellIs" dxfId="3710" priority="234" stopIfTrue="1" operator="between">
      <formula>#REF!</formula>
      <formula>#REF!</formula>
    </cfRule>
    <cfRule type="cellIs" dxfId="3709" priority="764" stopIfTrue="1" operator="equal">
      <formula>#REF!</formula>
    </cfRule>
    <cfRule type="cellIs" dxfId="3708" priority="134" stopIfTrue="1" operator="equal">
      <formula>#REF!</formula>
    </cfRule>
    <cfRule type="cellIs" dxfId="3707" priority="233" stopIfTrue="1" operator="equal">
      <formula>#REF!</formula>
    </cfRule>
    <cfRule type="cellIs" dxfId="3706" priority="230" stopIfTrue="1" operator="equal">
      <formula>#REF!</formula>
    </cfRule>
    <cfRule type="cellIs" dxfId="3705" priority="863" stopIfTrue="1" operator="equal">
      <formula>#REF!</formula>
    </cfRule>
    <cfRule type="cellIs" dxfId="3704" priority="861" stopIfTrue="1" operator="between">
      <formula>#REF!</formula>
      <formula>#REF!</formula>
    </cfRule>
    <cfRule type="cellIs" dxfId="3703" priority="860" stopIfTrue="1" operator="equal">
      <formula>#REF!</formula>
    </cfRule>
    <cfRule type="cellIs" dxfId="3702" priority="859" stopIfTrue="1" operator="equal">
      <formula>#REF!</formula>
    </cfRule>
    <cfRule type="cellIs" dxfId="3701" priority="231" stopIfTrue="1" operator="between">
      <formula>#REF!</formula>
      <formula>#REF!</formula>
    </cfRule>
    <cfRule type="cellIs" dxfId="3700" priority="858" stopIfTrue="1" operator="between">
      <formula>#REF!</formula>
      <formula>#REF!</formula>
    </cfRule>
    <cfRule type="cellIs" dxfId="3699" priority="857" stopIfTrue="1" operator="equal">
      <formula>#REF!</formula>
    </cfRule>
    <cfRule type="cellIs" dxfId="3698" priority="765" stopIfTrue="1" operator="between">
      <formula>#REF!</formula>
      <formula>#REF!</formula>
    </cfRule>
    <cfRule type="cellIs" dxfId="3697" priority="229" stopIfTrue="1" operator="equal">
      <formula>#REF!</formula>
    </cfRule>
    <cfRule type="cellIs" dxfId="3696" priority="228" stopIfTrue="1" operator="between">
      <formula>#REF!</formula>
      <formula>#REF!</formula>
    </cfRule>
    <cfRule type="cellIs" dxfId="3695" priority="551" stopIfTrue="1" operator="equal">
      <formula>#REF!</formula>
    </cfRule>
    <cfRule type="cellIs" dxfId="3694" priority="552" stopIfTrue="1" operator="between">
      <formula>#REF!</formula>
      <formula>#REF!</formula>
    </cfRule>
    <cfRule type="cellIs" dxfId="3693" priority="553" stopIfTrue="1" operator="equal">
      <formula>#REF!</formula>
    </cfRule>
    <cfRule type="cellIs" dxfId="3692" priority="132" stopIfTrue="1" operator="between">
      <formula>#REF!</formula>
      <formula>#REF!</formula>
    </cfRule>
    <cfRule type="cellIs" dxfId="3691" priority="554" stopIfTrue="1" operator="equal">
      <formula>#REF!</formula>
    </cfRule>
    <cfRule type="cellIs" dxfId="3690" priority="130" stopIfTrue="1" operator="equal">
      <formula>#REF!</formula>
    </cfRule>
    <cfRule type="cellIs" dxfId="3689" priority="555" stopIfTrue="1" operator="between">
      <formula>#REF!</formula>
      <formula>#REF!</formula>
    </cfRule>
    <cfRule type="cellIs" dxfId="3688" priority="129" stopIfTrue="1" operator="between">
      <formula>#REF!</formula>
      <formula>#REF!</formula>
    </cfRule>
    <cfRule type="cellIs" dxfId="3687" priority="557" stopIfTrue="1" operator="equal">
      <formula>#REF!</formula>
    </cfRule>
    <cfRule type="cellIs" dxfId="3686" priority="558" stopIfTrue="1" operator="between">
      <formula>#REF!</formula>
      <formula>#REF!</formula>
    </cfRule>
    <cfRule type="cellIs" dxfId="3685" priority="128" stopIfTrue="1" operator="equal">
      <formula>#REF!</formula>
    </cfRule>
    <cfRule type="cellIs" dxfId="3684" priority="227" stopIfTrue="1" operator="equal">
      <formula>#REF!</formula>
    </cfRule>
    <cfRule type="cellIs" dxfId="3683" priority="335" stopIfTrue="1" operator="equal">
      <formula>#REF!</formula>
    </cfRule>
    <cfRule type="cellIs" dxfId="3682" priority="650" stopIfTrue="1" operator="equal">
      <formula>#REF!</formula>
    </cfRule>
    <cfRule type="cellIs" dxfId="3681" priority="651" stopIfTrue="1" operator="between">
      <formula>#REF!</formula>
      <formula>#REF!</formula>
    </cfRule>
    <cfRule type="cellIs" dxfId="3680" priority="652" stopIfTrue="1" operator="equal">
      <formula>#REF!</formula>
    </cfRule>
    <cfRule type="cellIs" dxfId="3679" priority="653" stopIfTrue="1" operator="equal">
      <formula>#REF!</formula>
    </cfRule>
    <cfRule type="cellIs" dxfId="3678" priority="654" stopIfTrue="1" operator="between">
      <formula>#REF!</formula>
      <formula>#REF!</formula>
    </cfRule>
    <cfRule type="cellIs" dxfId="3677" priority="656" stopIfTrue="1" operator="equal">
      <formula>#REF!</formula>
    </cfRule>
    <cfRule type="cellIs" dxfId="3676" priority="441" stopIfTrue="1" operator="between">
      <formula>#REF!</formula>
      <formula>#REF!</formula>
    </cfRule>
    <cfRule type="cellIs" dxfId="3675" priority="657" stopIfTrue="1" operator="between">
      <formula>#REF!</formula>
      <formula>#REF!</formula>
    </cfRule>
    <cfRule type="cellIs" dxfId="3674" priority="337" stopIfTrue="1" operator="equal">
      <formula>#REF!</formula>
    </cfRule>
    <cfRule type="cellIs" dxfId="3673" priority="440" stopIfTrue="1" operator="equal">
      <formula>#REF!</formula>
    </cfRule>
    <cfRule type="cellIs" dxfId="3672" priority="336" stopIfTrue="1" operator="between">
      <formula>#REF!</formula>
      <formula>#REF!</formula>
    </cfRule>
    <cfRule type="cellIs" dxfId="3671" priority="338" stopIfTrue="1" operator="equal">
      <formula>#REF!</formula>
    </cfRule>
    <cfRule type="cellIs" dxfId="3670" priority="339" stopIfTrue="1" operator="between">
      <formula>#REF!</formula>
      <formula>#REF!</formula>
    </cfRule>
    <cfRule type="cellIs" dxfId="3669" priority="341" stopIfTrue="1" operator="equal">
      <formula>#REF!</formula>
    </cfRule>
    <cfRule type="cellIs" dxfId="3668" priority="342" stopIfTrue="1" operator="between">
      <formula>#REF!</formula>
      <formula>#REF!</formula>
    </cfRule>
    <cfRule type="cellIs" dxfId="3667" priority="760" stopIfTrue="1" operator="equal">
      <formula>#REF!</formula>
    </cfRule>
    <cfRule type="cellIs" dxfId="3666" priority="438" stopIfTrue="1" operator="between">
      <formula>#REF!</formula>
      <formula>#REF!</formula>
    </cfRule>
    <cfRule type="cellIs" dxfId="3665" priority="758" stopIfTrue="1" operator="equal">
      <formula>#REF!</formula>
    </cfRule>
    <cfRule type="cellIs" dxfId="3664" priority="759" stopIfTrue="1" operator="between">
      <formula>#REF!</formula>
      <formula>#REF!</formula>
    </cfRule>
    <cfRule type="cellIs" dxfId="3663" priority="437" stopIfTrue="1" operator="equal">
      <formula>#REF!</formula>
    </cfRule>
    <cfRule type="cellIs" dxfId="3662" priority="436" stopIfTrue="1" operator="equal">
      <formula>#REF!</formula>
    </cfRule>
    <cfRule type="cellIs" dxfId="3661" priority="435" stopIfTrue="1" operator="between">
      <formula>#REF!</formula>
      <formula>#REF!</formula>
    </cfRule>
    <cfRule type="cellIs" dxfId="3660" priority="434" stopIfTrue="1" operator="equal">
      <formula>#REF!</formula>
    </cfRule>
    <cfRule type="cellIs" dxfId="3659" priority="761" stopIfTrue="1" operator="equal">
      <formula>#REF!</formula>
    </cfRule>
    <cfRule type="cellIs" dxfId="3658" priority="762" stopIfTrue="1" operator="between">
      <formula>#REF!</formula>
      <formula>#REF!</formula>
    </cfRule>
    <cfRule type="cellIs" dxfId="3657" priority="135" stopIfTrue="1" operator="between">
      <formula>#REF!</formula>
      <formula>#REF!</formula>
    </cfRule>
  </conditionalFormatting>
  <conditionalFormatting sqref="CS109:CT109">
    <cfRule type="cellIs" dxfId="3656" priority="8963" stopIfTrue="1" operator="equal">
      <formula>#REF!</formula>
    </cfRule>
  </conditionalFormatting>
  <conditionalFormatting sqref="CS110:CT110">
    <cfRule type="cellIs" dxfId="3655" priority="8852" stopIfTrue="1" operator="equal">
      <formula>#REF!</formula>
    </cfRule>
    <cfRule type="cellIs" dxfId="3654" priority="8851" stopIfTrue="1" operator="equal">
      <formula>#REF!</formula>
    </cfRule>
  </conditionalFormatting>
  <conditionalFormatting sqref="CS111:CT111">
    <cfRule type="cellIs" dxfId="3653" priority="8737" stopIfTrue="1" operator="equal">
      <formula>#REF!</formula>
    </cfRule>
    <cfRule type="cellIs" dxfId="3652" priority="8738" stopIfTrue="1" operator="equal">
      <formula>#REF!</formula>
    </cfRule>
  </conditionalFormatting>
  <conditionalFormatting sqref="CS112:CT112">
    <cfRule type="cellIs" dxfId="3651" priority="8612" stopIfTrue="1" operator="equal">
      <formula>#REF!</formula>
    </cfRule>
    <cfRule type="cellIs" dxfId="3650" priority="8611" stopIfTrue="1" operator="equal">
      <formula>#REF!</formula>
    </cfRule>
  </conditionalFormatting>
  <conditionalFormatting sqref="CS113:CT113">
    <cfRule type="cellIs" dxfId="3649" priority="8476" stopIfTrue="1" operator="equal">
      <formula>#REF!</formula>
    </cfRule>
    <cfRule type="cellIs" dxfId="3648" priority="8477" stopIfTrue="1" operator="equal">
      <formula>#REF!</formula>
    </cfRule>
  </conditionalFormatting>
  <conditionalFormatting sqref="CS114:CT115">
    <cfRule type="cellIs" dxfId="3647" priority="8333" stopIfTrue="1" operator="equal">
      <formula>#REF!</formula>
    </cfRule>
    <cfRule type="cellIs" dxfId="3646" priority="8332" stopIfTrue="1" operator="equal">
      <formula>#REF!</formula>
    </cfRule>
  </conditionalFormatting>
  <conditionalFormatting sqref="CS116:CT116">
    <cfRule type="cellIs" dxfId="3645" priority="8171" stopIfTrue="1" operator="equal">
      <formula>#REF!</formula>
    </cfRule>
    <cfRule type="cellIs" dxfId="3644" priority="8170" stopIfTrue="1" operator="equal">
      <formula>#REF!</formula>
    </cfRule>
  </conditionalFormatting>
  <conditionalFormatting sqref="CS117:CT129">
    <cfRule type="cellIs" dxfId="3643" priority="8026" stopIfTrue="1" operator="equal">
      <formula>#REF!</formula>
    </cfRule>
    <cfRule type="cellIs" dxfId="3642" priority="8027" stopIfTrue="1" operator="equal">
      <formula>#REF!</formula>
    </cfRule>
  </conditionalFormatting>
  <conditionalFormatting sqref="CS121:CT129">
    <cfRule type="cellIs" dxfId="3641" priority="7928" stopIfTrue="1" operator="equal">
      <formula>#REF!</formula>
    </cfRule>
    <cfRule type="cellIs" dxfId="3640" priority="7927" stopIfTrue="1" operator="equal">
      <formula>#REF!</formula>
    </cfRule>
  </conditionalFormatting>
  <conditionalFormatting sqref="CS125:CT129">
    <cfRule type="cellIs" dxfId="3639" priority="7820" stopIfTrue="1" operator="equal">
      <formula>#REF!</formula>
    </cfRule>
    <cfRule type="cellIs" dxfId="3638" priority="7721" stopIfTrue="1" operator="equal">
      <formula>#REF!</formula>
    </cfRule>
    <cfRule type="cellIs" dxfId="3637" priority="7720" stopIfTrue="1" operator="equal">
      <formula>#REF!</formula>
    </cfRule>
    <cfRule type="cellIs" dxfId="3636" priority="7819" stopIfTrue="1" operator="equal">
      <formula>#REF!</formula>
    </cfRule>
  </conditionalFormatting>
  <conditionalFormatting sqref="CS126:CT129">
    <cfRule type="cellIs" dxfId="3635" priority="7297" stopIfTrue="1" operator="equal">
      <formula>#REF!</formula>
    </cfRule>
    <cfRule type="cellIs" dxfId="3634" priority="7298" stopIfTrue="1" operator="equal">
      <formula>#REF!</formula>
    </cfRule>
    <cfRule type="cellIs" dxfId="3633" priority="7504" stopIfTrue="1" operator="equal">
      <formula>#REF!</formula>
    </cfRule>
    <cfRule type="cellIs" dxfId="3632" priority="7505" stopIfTrue="1" operator="equal">
      <formula>#REF!</formula>
    </cfRule>
    <cfRule type="cellIs" dxfId="3631" priority="7603" stopIfTrue="1" operator="equal">
      <formula>#REF!</formula>
    </cfRule>
    <cfRule type="cellIs" dxfId="3630" priority="7396" stopIfTrue="1" operator="equal">
      <formula>#REF!</formula>
    </cfRule>
    <cfRule type="cellIs" dxfId="3629" priority="7397" stopIfTrue="1" operator="equal">
      <formula>#REF!</formula>
    </cfRule>
    <cfRule type="cellIs" dxfId="3628" priority="7604" stopIfTrue="1" operator="equal">
      <formula>#REF!</formula>
    </cfRule>
  </conditionalFormatting>
  <conditionalFormatting sqref="CS130:CT130">
    <cfRule type="cellIs" dxfId="3627" priority="6388" stopIfTrue="1" operator="equal">
      <formula>#REF!</formula>
    </cfRule>
    <cfRule type="cellIs" dxfId="3626" priority="6596" stopIfTrue="1" operator="equal">
      <formula>#REF!</formula>
    </cfRule>
    <cfRule type="cellIs" dxfId="3625" priority="6911" stopIfTrue="1" operator="equal">
      <formula>#REF!</formula>
    </cfRule>
    <cfRule type="cellIs" dxfId="3624" priority="6910" stopIfTrue="1" operator="equal">
      <formula>#REF!</formula>
    </cfRule>
    <cfRule type="cellIs" dxfId="3623" priority="6812" stopIfTrue="1" operator="equal">
      <formula>#REF!</formula>
    </cfRule>
    <cfRule type="cellIs" dxfId="3622" priority="6487" stopIfTrue="1" operator="equal">
      <formula>#REF!</formula>
    </cfRule>
    <cfRule type="cellIs" dxfId="3621" priority="6811" stopIfTrue="1" operator="equal">
      <formula>#REF!</formula>
    </cfRule>
    <cfRule type="cellIs" dxfId="3620" priority="6694" stopIfTrue="1" operator="equal">
      <formula>#REF!</formula>
    </cfRule>
    <cfRule type="cellIs" dxfId="3619" priority="6389" stopIfTrue="1" operator="equal">
      <formula>#REF!</formula>
    </cfRule>
    <cfRule type="cellIs" dxfId="3618" priority="7018" stopIfTrue="1" operator="equal">
      <formula>#REF!</formula>
    </cfRule>
    <cfRule type="cellIs" dxfId="3617" priority="7019" stopIfTrue="1" operator="equal">
      <formula>#REF!</formula>
    </cfRule>
    <cfRule type="cellIs" dxfId="3616" priority="6595" stopIfTrue="1" operator="equal">
      <formula>#REF!</formula>
    </cfRule>
    <cfRule type="cellIs" dxfId="3615" priority="6695" stopIfTrue="1" operator="equal">
      <formula>#REF!</formula>
    </cfRule>
    <cfRule type="cellIs" dxfId="3614" priority="6488" stopIfTrue="1" operator="equal">
      <formula>#REF!</formula>
    </cfRule>
    <cfRule type="cellIs" dxfId="3613" priority="7118" stopIfTrue="1" operator="equal">
      <formula>#REF!</formula>
    </cfRule>
    <cfRule type="cellIs" dxfId="3612" priority="7117" stopIfTrue="1" operator="equal">
      <formula>#REF!</formula>
    </cfRule>
  </conditionalFormatting>
  <conditionalFormatting sqref="CS131:CT141">
    <cfRule type="cellIs" dxfId="3611" priority="6208" stopIfTrue="1" operator="equal">
      <formula>#REF!</formula>
    </cfRule>
    <cfRule type="cellIs" dxfId="3610" priority="6110" stopIfTrue="1" operator="equal">
      <formula>#REF!</formula>
    </cfRule>
    <cfRule type="cellIs" dxfId="3609" priority="5579" stopIfTrue="1" operator="equal">
      <formula>#REF!</formula>
    </cfRule>
    <cfRule type="cellIs" dxfId="3608" priority="5578" stopIfTrue="1" operator="equal">
      <formula>#REF!</formula>
    </cfRule>
    <cfRule type="cellIs" dxfId="3607" priority="5686" stopIfTrue="1" operator="equal">
      <formula>#REF!</formula>
    </cfRule>
    <cfRule type="cellIs" dxfId="3606" priority="5687" stopIfTrue="1" operator="equal">
      <formula>#REF!</formula>
    </cfRule>
    <cfRule type="cellIs" dxfId="3605" priority="5785" stopIfTrue="1" operator="equal">
      <formula>#REF!</formula>
    </cfRule>
    <cfRule type="cellIs" dxfId="3604" priority="5480" stopIfTrue="1" operator="equal">
      <formula>#REF!</formula>
    </cfRule>
    <cfRule type="cellIs" dxfId="3603" priority="5786" stopIfTrue="1" operator="equal">
      <formula>#REF!</formula>
    </cfRule>
    <cfRule type="cellIs" dxfId="3602" priority="5479" stopIfTrue="1" operator="equal">
      <formula>#REF!</formula>
    </cfRule>
    <cfRule type="cellIs" dxfId="3601" priority="6001" stopIfTrue="1" operator="equal">
      <formula>#REF!</formula>
    </cfRule>
    <cfRule type="cellIs" dxfId="3600" priority="6002" stopIfTrue="1" operator="equal">
      <formula>#REF!</formula>
    </cfRule>
    <cfRule type="cellIs" dxfId="3599" priority="6109" stopIfTrue="1" operator="equal">
      <formula>#REF!</formula>
    </cfRule>
    <cfRule type="cellIs" dxfId="3598" priority="5903" stopIfTrue="1" operator="equal">
      <formula>#REF!</formula>
    </cfRule>
    <cfRule type="cellIs" dxfId="3597" priority="5902" stopIfTrue="1" operator="equal">
      <formula>#REF!</formula>
    </cfRule>
    <cfRule type="cellIs" dxfId="3596" priority="6209" stopIfTrue="1" operator="equal">
      <formula>#REF!</formula>
    </cfRule>
  </conditionalFormatting>
  <conditionalFormatting sqref="CS142:CT143">
    <cfRule type="cellIs" dxfId="3595" priority="5111" stopIfTrue="1" operator="equal">
      <formula>#REF!</formula>
    </cfRule>
    <cfRule type="cellIs" dxfId="3594" priority="4687" stopIfTrue="1" operator="equal">
      <formula>#REF!</formula>
    </cfRule>
    <cfRule type="cellIs" dxfId="3593" priority="4795" stopIfTrue="1" operator="equal">
      <formula>#REF!</formula>
    </cfRule>
    <cfRule type="cellIs" dxfId="3592" priority="4588" stopIfTrue="1" operator="equal">
      <formula>#REF!</formula>
    </cfRule>
    <cfRule type="cellIs" dxfId="3591" priority="5318" stopIfTrue="1" operator="equal">
      <formula>#REF!</formula>
    </cfRule>
    <cfRule type="cellIs" dxfId="3590" priority="5218" stopIfTrue="1" operator="equal">
      <formula>#REF!</formula>
    </cfRule>
    <cfRule type="cellIs" dxfId="3589" priority="5110" stopIfTrue="1" operator="equal">
      <formula>#REF!</formula>
    </cfRule>
    <cfRule type="cellIs" dxfId="3588" priority="4894" stopIfTrue="1" operator="equal">
      <formula>#REF!</formula>
    </cfRule>
    <cfRule type="cellIs" dxfId="3587" priority="5219" stopIfTrue="1" operator="equal">
      <formula>#REF!</formula>
    </cfRule>
    <cfRule type="cellIs" dxfId="3586" priority="5012" stopIfTrue="1" operator="equal">
      <formula>#REF!</formula>
    </cfRule>
    <cfRule type="cellIs" dxfId="3585" priority="5317" stopIfTrue="1" operator="equal">
      <formula>#REF!</formula>
    </cfRule>
    <cfRule type="cellIs" dxfId="3584" priority="5011" stopIfTrue="1" operator="equal">
      <formula>#REF!</formula>
    </cfRule>
  </conditionalFormatting>
  <conditionalFormatting sqref="CS144:CT173">
    <cfRule type="cellIs" dxfId="3583" priority="4327" stopIfTrue="1" operator="equal">
      <formula>#REF!</formula>
    </cfRule>
    <cfRule type="cellIs" dxfId="3582" priority="4219" stopIfTrue="1" operator="equal">
      <formula>#REF!</formula>
    </cfRule>
    <cfRule type="cellIs" dxfId="3581" priority="3796" stopIfTrue="1" operator="equal">
      <formula>#REF!</formula>
    </cfRule>
    <cfRule type="cellIs" dxfId="3580" priority="4003" stopIfTrue="1" operator="equal">
      <formula>#REF!</formula>
    </cfRule>
    <cfRule type="cellIs" dxfId="3579" priority="4426" stopIfTrue="1" operator="equal">
      <formula>#REF!</formula>
    </cfRule>
    <cfRule type="cellIs" dxfId="3578" priority="3904" stopIfTrue="1" operator="equal">
      <formula>#REF!</formula>
    </cfRule>
    <cfRule type="cellIs" dxfId="3577" priority="4120" stopIfTrue="1" operator="equal">
      <formula>#REF!</formula>
    </cfRule>
    <cfRule type="cellIs" dxfId="3576" priority="3697" stopIfTrue="1" operator="equal">
      <formula>#REF!</formula>
    </cfRule>
  </conditionalFormatting>
  <conditionalFormatting sqref="CS174:CT199">
    <cfRule type="cellIs" dxfId="3575" priority="853" stopIfTrue="1" operator="equal">
      <formula>#REF!</formula>
    </cfRule>
    <cfRule type="cellIs" dxfId="3574" priority="124" stopIfTrue="1" operator="equal">
      <formula>#REF!</formula>
    </cfRule>
    <cfRule type="cellIs" dxfId="3573" priority="430" stopIfTrue="1" operator="equal">
      <formula>#REF!</formula>
    </cfRule>
    <cfRule type="cellIs" dxfId="3572" priority="646" stopIfTrue="1" operator="equal">
      <formula>#REF!</formula>
    </cfRule>
    <cfRule type="cellIs" dxfId="3571" priority="223" stopIfTrue="1" operator="equal">
      <formula>#REF!</formula>
    </cfRule>
    <cfRule type="cellIs" dxfId="3570" priority="754" stopIfTrue="1" operator="equal">
      <formula>#REF!</formula>
    </cfRule>
    <cfRule type="cellIs" dxfId="3569" priority="331" stopIfTrue="1" operator="equal">
      <formula>#REF!</formula>
    </cfRule>
    <cfRule type="cellIs" dxfId="3568" priority="547" stopIfTrue="1" operator="equal">
      <formula>#REF!</formula>
    </cfRule>
  </conditionalFormatting>
  <conditionalFormatting sqref="CS109:CU109">
    <cfRule type="cellIs" dxfId="3567" priority="8962" stopIfTrue="1" operator="equal">
      <formula>#REF!</formula>
    </cfRule>
  </conditionalFormatting>
  <conditionalFormatting sqref="CT109">
    <cfRule type="cellIs" dxfId="3566" priority="8961" stopIfTrue="1" operator="between">
      <formula>#REF!</formula>
      <formula>#REF!</formula>
    </cfRule>
    <cfRule type="cellIs" dxfId="3565" priority="8958" stopIfTrue="1" operator="between">
      <formula>#REF!</formula>
      <formula>#REF!</formula>
    </cfRule>
    <cfRule type="cellIs" dxfId="3564" priority="8964" stopIfTrue="1" operator="between">
      <formula>#REF!</formula>
      <formula>#REF!</formula>
    </cfRule>
    <cfRule type="cellIs" dxfId="3563" priority="8959" stopIfTrue="1" operator="equal">
      <formula>#REF!</formula>
    </cfRule>
    <cfRule type="cellIs" dxfId="3562" priority="8960" stopIfTrue="1" operator="equal">
      <formula>#REF!</formula>
    </cfRule>
  </conditionalFormatting>
  <conditionalFormatting sqref="CT109:CT110">
    <cfRule type="cellIs" dxfId="3561" priority="8854" stopIfTrue="1" operator="equal">
      <formula>#REF!</formula>
    </cfRule>
    <cfRule type="cellIs" dxfId="3560" priority="8855" stopIfTrue="1" operator="equal">
      <formula>#REF!</formula>
    </cfRule>
  </conditionalFormatting>
  <conditionalFormatting sqref="CT110">
    <cfRule type="cellIs" dxfId="3559" priority="8856" stopIfTrue="1" operator="between">
      <formula>#REF!</formula>
      <formula>#REF!</formula>
    </cfRule>
    <cfRule type="cellIs" dxfId="3558" priority="8853" stopIfTrue="1" operator="between">
      <formula>#REF!</formula>
      <formula>#REF!</formula>
    </cfRule>
    <cfRule type="cellIs" dxfId="3557" priority="8850" stopIfTrue="1" operator="between">
      <formula>#REF!</formula>
      <formula>#REF!</formula>
    </cfRule>
  </conditionalFormatting>
  <conditionalFormatting sqref="CT111">
    <cfRule type="cellIs" dxfId="3556" priority="8735" stopIfTrue="1" operator="equal">
      <formula>#REF!</formula>
    </cfRule>
    <cfRule type="cellIs" dxfId="3555" priority="8733" stopIfTrue="1" operator="between">
      <formula>#REF!</formula>
      <formula>#REF!</formula>
    </cfRule>
    <cfRule type="cellIs" dxfId="3554" priority="8739" stopIfTrue="1" operator="between">
      <formula>#REF!</formula>
      <formula>#REF!</formula>
    </cfRule>
    <cfRule type="cellIs" dxfId="3553" priority="8736" stopIfTrue="1" operator="between">
      <formula>#REF!</formula>
      <formula>#REF!</formula>
    </cfRule>
    <cfRule type="cellIs" dxfId="3552" priority="8734" stopIfTrue="1" operator="equal">
      <formula>#REF!</formula>
    </cfRule>
  </conditionalFormatting>
  <conditionalFormatting sqref="CT112">
    <cfRule type="cellIs" dxfId="3551" priority="8607" stopIfTrue="1" operator="between">
      <formula>#REF!</formula>
      <formula>#REF!</formula>
    </cfRule>
    <cfRule type="cellIs" dxfId="3550" priority="8609" stopIfTrue="1" operator="equal">
      <formula>#REF!</formula>
    </cfRule>
    <cfRule type="cellIs" dxfId="3549" priority="8613" stopIfTrue="1" operator="between">
      <formula>#REF!</formula>
      <formula>#REF!</formula>
    </cfRule>
    <cfRule type="cellIs" dxfId="3548" priority="8610" stopIfTrue="1" operator="between">
      <formula>#REF!</formula>
      <formula>#REF!</formula>
    </cfRule>
    <cfRule type="cellIs" dxfId="3547" priority="8608" stopIfTrue="1" operator="equal">
      <formula>#REF!</formula>
    </cfRule>
  </conditionalFormatting>
  <conditionalFormatting sqref="CT113">
    <cfRule type="cellIs" dxfId="3546" priority="8473" stopIfTrue="1" operator="equal">
      <formula>#REF!</formula>
    </cfRule>
    <cfRule type="cellIs" dxfId="3545" priority="8472" stopIfTrue="1" operator="between">
      <formula>#REF!</formula>
      <formula>#REF!</formula>
    </cfRule>
    <cfRule type="cellIs" dxfId="3544" priority="8474" stopIfTrue="1" operator="equal">
      <formula>#REF!</formula>
    </cfRule>
    <cfRule type="cellIs" dxfId="3543" priority="8475" stopIfTrue="1" operator="between">
      <formula>#REF!</formula>
      <formula>#REF!</formula>
    </cfRule>
    <cfRule type="cellIs" dxfId="3542" priority="8478" stopIfTrue="1" operator="between">
      <formula>#REF!</formula>
      <formula>#REF!</formula>
    </cfRule>
  </conditionalFormatting>
  <conditionalFormatting sqref="CT114:CT115">
    <cfRule type="cellIs" dxfId="3541" priority="8334" stopIfTrue="1" operator="between">
      <formula>#REF!</formula>
      <formula>#REF!</formula>
    </cfRule>
    <cfRule type="cellIs" dxfId="3540" priority="8330" stopIfTrue="1" operator="equal">
      <formula>#REF!</formula>
    </cfRule>
    <cfRule type="cellIs" dxfId="3539" priority="8328" stopIfTrue="1" operator="between">
      <formula>#REF!</formula>
      <formula>#REF!</formula>
    </cfRule>
    <cfRule type="cellIs" dxfId="3538" priority="8331" stopIfTrue="1" operator="between">
      <formula>#REF!</formula>
      <formula>#REF!</formula>
    </cfRule>
    <cfRule type="cellIs" dxfId="3537" priority="8329" stopIfTrue="1" operator="equal">
      <formula>#REF!</formula>
    </cfRule>
  </conditionalFormatting>
  <conditionalFormatting sqref="CT116">
    <cfRule type="cellIs" dxfId="3536" priority="8172" stopIfTrue="1" operator="between">
      <formula>#REF!</formula>
      <formula>#REF!</formula>
    </cfRule>
    <cfRule type="cellIs" dxfId="3535" priority="8167" stopIfTrue="1" operator="equal">
      <formula>#REF!</formula>
    </cfRule>
    <cfRule type="cellIs" dxfId="3534" priority="8169" stopIfTrue="1" operator="between">
      <formula>#REF!</formula>
      <formula>#REF!</formula>
    </cfRule>
    <cfRule type="cellIs" dxfId="3533" priority="8166" stopIfTrue="1" operator="between">
      <formula>#REF!</formula>
      <formula>#REF!</formula>
    </cfRule>
    <cfRule type="cellIs" dxfId="3532" priority="8168" stopIfTrue="1" operator="equal">
      <formula>#REF!</formula>
    </cfRule>
  </conditionalFormatting>
  <conditionalFormatting sqref="CT117:CT129">
    <cfRule type="cellIs" dxfId="3531" priority="8023" stopIfTrue="1" operator="equal">
      <formula>#REF!</formula>
    </cfRule>
    <cfRule type="cellIs" dxfId="3530" priority="8022" stopIfTrue="1" operator="between">
      <formula>#REF!</formula>
      <formula>#REF!</formula>
    </cfRule>
    <cfRule type="cellIs" dxfId="3529" priority="8024" stopIfTrue="1" operator="equal">
      <formula>#REF!</formula>
    </cfRule>
    <cfRule type="cellIs" dxfId="3528" priority="8028" stopIfTrue="1" operator="between">
      <formula>#REF!</formula>
      <formula>#REF!</formula>
    </cfRule>
    <cfRule type="cellIs" dxfId="3527" priority="8025" stopIfTrue="1" operator="between">
      <formula>#REF!</formula>
      <formula>#REF!</formula>
    </cfRule>
  </conditionalFormatting>
  <conditionalFormatting sqref="CT121:CT129">
    <cfRule type="cellIs" dxfId="3526" priority="7926" stopIfTrue="1" operator="between">
      <formula>#REF!</formula>
      <formula>#REF!</formula>
    </cfRule>
    <cfRule type="cellIs" dxfId="3525" priority="7929" stopIfTrue="1" operator="between">
      <formula>#REF!</formula>
      <formula>#REF!</formula>
    </cfRule>
    <cfRule type="cellIs" dxfId="3524" priority="7925" stopIfTrue="1" operator="equal">
      <formula>#REF!</formula>
    </cfRule>
    <cfRule type="cellIs" dxfId="3523" priority="7924" stopIfTrue="1" operator="equal">
      <formula>#REF!</formula>
    </cfRule>
    <cfRule type="cellIs" dxfId="3522" priority="7923" stopIfTrue="1" operator="between">
      <formula>#REF!</formula>
      <formula>#REF!</formula>
    </cfRule>
  </conditionalFormatting>
  <conditionalFormatting sqref="CT125:CT129">
    <cfRule type="cellIs" dxfId="3521" priority="7815" stopIfTrue="1" operator="between">
      <formula>#REF!</formula>
      <formula>#REF!</formula>
    </cfRule>
    <cfRule type="cellIs" dxfId="3520" priority="7817" stopIfTrue="1" operator="equal">
      <formula>#REF!</formula>
    </cfRule>
    <cfRule type="cellIs" dxfId="3519" priority="7717" stopIfTrue="1" operator="equal">
      <formula>#REF!</formula>
    </cfRule>
    <cfRule type="cellIs" dxfId="3518" priority="7816" stopIfTrue="1" operator="equal">
      <formula>#REF!</formula>
    </cfRule>
    <cfRule type="cellIs" dxfId="3517" priority="7718" stopIfTrue="1" operator="equal">
      <formula>#REF!</formula>
    </cfRule>
    <cfRule type="cellIs" dxfId="3516" priority="7716" stopIfTrue="1" operator="between">
      <formula>#REF!</formula>
      <formula>#REF!</formula>
    </cfRule>
    <cfRule type="cellIs" dxfId="3515" priority="7821" stopIfTrue="1" operator="between">
      <formula>#REF!</formula>
      <formula>#REF!</formula>
    </cfRule>
    <cfRule type="cellIs" dxfId="3514" priority="7722" stopIfTrue="1" operator="between">
      <formula>#REF!</formula>
      <formula>#REF!</formula>
    </cfRule>
    <cfRule type="cellIs" dxfId="3513" priority="7818" stopIfTrue="1" operator="between">
      <formula>#REF!</formula>
      <formula>#REF!</formula>
    </cfRule>
    <cfRule type="cellIs" dxfId="3512" priority="7719" stopIfTrue="1" operator="between">
      <formula>#REF!</formula>
      <formula>#REF!</formula>
    </cfRule>
  </conditionalFormatting>
  <conditionalFormatting sqref="CT126:CT129">
    <cfRule type="cellIs" dxfId="3511" priority="7605" stopIfTrue="1" operator="between">
      <formula>#REF!</formula>
      <formula>#REF!</formula>
    </cfRule>
    <cfRule type="cellIs" dxfId="3510" priority="7600" stopIfTrue="1" operator="equal">
      <formula>#REF!</formula>
    </cfRule>
    <cfRule type="cellIs" dxfId="3509" priority="7506" stopIfTrue="1" operator="between">
      <formula>#REF!</formula>
      <formula>#REF!</formula>
    </cfRule>
    <cfRule type="cellIs" dxfId="3508" priority="7393" stopIfTrue="1" operator="equal">
      <formula>#REF!</formula>
    </cfRule>
    <cfRule type="cellIs" dxfId="3507" priority="7500" stopIfTrue="1" operator="between">
      <formula>#REF!</formula>
      <formula>#REF!</formula>
    </cfRule>
    <cfRule type="cellIs" dxfId="3506" priority="7501" stopIfTrue="1" operator="equal">
      <formula>#REF!</formula>
    </cfRule>
    <cfRule type="cellIs" dxfId="3505" priority="7502" stopIfTrue="1" operator="equal">
      <formula>#REF!</formula>
    </cfRule>
    <cfRule type="cellIs" dxfId="3504" priority="7599" stopIfTrue="1" operator="between">
      <formula>#REF!</formula>
      <formula>#REF!</formula>
    </cfRule>
    <cfRule type="cellIs" dxfId="3503" priority="7394" stopIfTrue="1" operator="equal">
      <formula>#REF!</formula>
    </cfRule>
    <cfRule type="cellIs" dxfId="3502" priority="7296" stopIfTrue="1" operator="between">
      <formula>#REF!</formula>
      <formula>#REF!</formula>
    </cfRule>
    <cfRule type="cellIs" dxfId="3501" priority="7398" stopIfTrue="1" operator="between">
      <formula>#REF!</formula>
      <formula>#REF!</formula>
    </cfRule>
    <cfRule type="cellIs" dxfId="3500" priority="7395" stopIfTrue="1" operator="between">
      <formula>#REF!</formula>
      <formula>#REF!</formula>
    </cfRule>
    <cfRule type="cellIs" dxfId="3499" priority="7392" stopIfTrue="1" operator="between">
      <formula>#REF!</formula>
      <formula>#REF!</formula>
    </cfRule>
    <cfRule type="cellIs" dxfId="3498" priority="7299" stopIfTrue="1" operator="between">
      <formula>#REF!</formula>
      <formula>#REF!</formula>
    </cfRule>
    <cfRule type="cellIs" dxfId="3497" priority="7601" stopIfTrue="1" operator="equal">
      <formula>#REF!</formula>
    </cfRule>
    <cfRule type="cellIs" dxfId="3496" priority="7294" stopIfTrue="1" operator="equal">
      <formula>#REF!</formula>
    </cfRule>
    <cfRule type="cellIs" dxfId="3495" priority="7293" stopIfTrue="1" operator="between">
      <formula>#REF!</formula>
      <formula>#REF!</formula>
    </cfRule>
    <cfRule type="cellIs" dxfId="3494" priority="7295" stopIfTrue="1" operator="equal">
      <formula>#REF!</formula>
    </cfRule>
    <cfRule type="cellIs" dxfId="3493" priority="7602" stopIfTrue="1" operator="between">
      <formula>#REF!</formula>
      <formula>#REF!</formula>
    </cfRule>
    <cfRule type="cellIs" dxfId="3492" priority="7503" stopIfTrue="1" operator="between">
      <formula>#REF!</formula>
      <formula>#REF!</formula>
    </cfRule>
  </conditionalFormatting>
  <conditionalFormatting sqref="CT130">
    <cfRule type="cellIs" dxfId="3491" priority="6390" stopIfTrue="1" operator="between">
      <formula>#REF!</formula>
      <formula>#REF!</formula>
    </cfRule>
    <cfRule type="cellIs" dxfId="3490" priority="7015" stopIfTrue="1" operator="equal">
      <formula>#REF!</formula>
    </cfRule>
    <cfRule type="cellIs" dxfId="3489" priority="7016" stopIfTrue="1" operator="equal">
      <formula>#REF!</formula>
    </cfRule>
    <cfRule type="cellIs" dxfId="3488" priority="6690" stopIfTrue="1" operator="between">
      <formula>#REF!</formula>
      <formula>#REF!</formula>
    </cfRule>
    <cfRule type="cellIs" dxfId="3487" priority="6593" stopIfTrue="1" operator="equal">
      <formula>#REF!</formula>
    </cfRule>
    <cfRule type="cellIs" dxfId="3486" priority="7017" stopIfTrue="1" operator="between">
      <formula>#REF!</formula>
      <formula>#REF!</formula>
    </cfRule>
    <cfRule type="cellIs" dxfId="3485" priority="7020" stopIfTrue="1" operator="between">
      <formula>#REF!</formula>
      <formula>#REF!</formula>
    </cfRule>
    <cfRule type="cellIs" dxfId="3484" priority="7115" stopIfTrue="1" operator="equal">
      <formula>#REF!</formula>
    </cfRule>
    <cfRule type="cellIs" dxfId="3483" priority="6810" stopIfTrue="1" operator="between">
      <formula>#REF!</formula>
      <formula>#REF!</formula>
    </cfRule>
    <cfRule type="cellIs" dxfId="3482" priority="6691" stopIfTrue="1" operator="equal">
      <formula>#REF!</formula>
    </cfRule>
    <cfRule type="cellIs" dxfId="3481" priority="6692" stopIfTrue="1" operator="equal">
      <formula>#REF!</formula>
    </cfRule>
    <cfRule type="cellIs" dxfId="3480" priority="7113" stopIfTrue="1" operator="between">
      <formula>#REF!</formula>
      <formula>#REF!</formula>
    </cfRule>
    <cfRule type="cellIs" dxfId="3479" priority="6386" stopIfTrue="1" operator="equal">
      <formula>#REF!</formula>
    </cfRule>
    <cfRule type="cellIs" dxfId="3478" priority="6385" stopIfTrue="1" operator="equal">
      <formula>#REF!</formula>
    </cfRule>
    <cfRule type="cellIs" dxfId="3477" priority="6384" stopIfTrue="1" operator="between">
      <formula>#REF!</formula>
      <formula>#REF!</formula>
    </cfRule>
    <cfRule type="cellIs" dxfId="3476" priority="6813" stopIfTrue="1" operator="between">
      <formula>#REF!</formula>
      <formula>#REF!</formula>
    </cfRule>
    <cfRule type="cellIs" dxfId="3475" priority="7114" stopIfTrue="1" operator="equal">
      <formula>#REF!</formula>
    </cfRule>
    <cfRule type="cellIs" dxfId="3474" priority="7116" stopIfTrue="1" operator="between">
      <formula>#REF!</formula>
      <formula>#REF!</formula>
    </cfRule>
    <cfRule type="cellIs" dxfId="3473" priority="6489" stopIfTrue="1" operator="between">
      <formula>#REF!</formula>
      <formula>#REF!</formula>
    </cfRule>
    <cfRule type="cellIs" dxfId="3472" priority="6486" stopIfTrue="1" operator="between">
      <formula>#REF!</formula>
      <formula>#REF!</formula>
    </cfRule>
    <cfRule type="cellIs" dxfId="3471" priority="6485" stopIfTrue="1" operator="equal">
      <formula>#REF!</formula>
    </cfRule>
    <cfRule type="cellIs" dxfId="3470" priority="6484" stopIfTrue="1" operator="equal">
      <formula>#REF!</formula>
    </cfRule>
    <cfRule type="cellIs" dxfId="3469" priority="6483" stopIfTrue="1" operator="between">
      <formula>#REF!</formula>
      <formula>#REF!</formula>
    </cfRule>
    <cfRule type="cellIs" dxfId="3468" priority="6696" stopIfTrue="1" operator="between">
      <formula>#REF!</formula>
      <formula>#REF!</formula>
    </cfRule>
    <cfRule type="cellIs" dxfId="3467" priority="6387" stopIfTrue="1" operator="between">
      <formula>#REF!</formula>
      <formula>#REF!</formula>
    </cfRule>
    <cfRule type="cellIs" dxfId="3466" priority="7119" stopIfTrue="1" operator="between">
      <formula>#REF!</formula>
      <formula>#REF!</formula>
    </cfRule>
    <cfRule type="cellIs" dxfId="3465" priority="6807" stopIfTrue="1" operator="between">
      <formula>#REF!</formula>
      <formula>#REF!</formula>
    </cfRule>
    <cfRule type="cellIs" dxfId="3464" priority="6592" stopIfTrue="1" operator="equal">
      <formula>#REF!</formula>
    </cfRule>
    <cfRule type="cellIs" dxfId="3463" priority="6809" stopIfTrue="1" operator="equal">
      <formula>#REF!</formula>
    </cfRule>
    <cfRule type="cellIs" dxfId="3462" priority="6594" stopIfTrue="1" operator="between">
      <formula>#REF!</formula>
      <formula>#REF!</formula>
    </cfRule>
    <cfRule type="cellIs" dxfId="3461" priority="6597" stopIfTrue="1" operator="between">
      <formula>#REF!</formula>
      <formula>#REF!</formula>
    </cfRule>
    <cfRule type="cellIs" dxfId="3460" priority="6912" stopIfTrue="1" operator="between">
      <formula>#REF!</formula>
      <formula>#REF!</formula>
    </cfRule>
    <cfRule type="cellIs" dxfId="3459" priority="6909" stopIfTrue="1" operator="between">
      <formula>#REF!</formula>
      <formula>#REF!</formula>
    </cfRule>
    <cfRule type="cellIs" dxfId="3458" priority="6908" stopIfTrue="1" operator="equal">
      <formula>#REF!</formula>
    </cfRule>
    <cfRule type="cellIs" dxfId="3457" priority="6907" stopIfTrue="1" operator="equal">
      <formula>#REF!</formula>
    </cfRule>
    <cfRule type="cellIs" dxfId="3456" priority="6906" stopIfTrue="1" operator="between">
      <formula>#REF!</formula>
      <formula>#REF!</formula>
    </cfRule>
    <cfRule type="cellIs" dxfId="3455" priority="6693" stopIfTrue="1" operator="between">
      <formula>#REF!</formula>
      <formula>#REF!</formula>
    </cfRule>
    <cfRule type="cellIs" dxfId="3454" priority="6808" stopIfTrue="1" operator="equal">
      <formula>#REF!</formula>
    </cfRule>
    <cfRule type="cellIs" dxfId="3453" priority="6591" stopIfTrue="1" operator="between">
      <formula>#REF!</formula>
      <formula>#REF!</formula>
    </cfRule>
    <cfRule type="cellIs" dxfId="3452" priority="7014" stopIfTrue="1" operator="between">
      <formula>#REF!</formula>
      <formula>#REF!</formula>
    </cfRule>
  </conditionalFormatting>
  <conditionalFormatting sqref="CT131:CT141">
    <cfRule type="cellIs" dxfId="3451" priority="5901" stopIfTrue="1" operator="between">
      <formula>#REF!</formula>
      <formula>#REF!</formula>
    </cfRule>
    <cfRule type="cellIs" dxfId="3450" priority="6107" stopIfTrue="1" operator="equal">
      <formula>#REF!</formula>
    </cfRule>
    <cfRule type="cellIs" dxfId="3449" priority="6205" stopIfTrue="1" operator="equal">
      <formula>#REF!</formula>
    </cfRule>
    <cfRule type="cellIs" dxfId="3448" priority="5904" stopIfTrue="1" operator="between">
      <formula>#REF!</formula>
      <formula>#REF!</formula>
    </cfRule>
    <cfRule type="cellIs" dxfId="3447" priority="6206" stopIfTrue="1" operator="equal">
      <formula>#REF!</formula>
    </cfRule>
    <cfRule type="cellIs" dxfId="3446" priority="6108" stopIfTrue="1" operator="between">
      <formula>#REF!</formula>
      <formula>#REF!</formula>
    </cfRule>
    <cfRule type="cellIs" dxfId="3445" priority="5477" stopIfTrue="1" operator="equal">
      <formula>#REF!</formula>
    </cfRule>
    <cfRule type="cellIs" dxfId="3444" priority="6111" stopIfTrue="1" operator="between">
      <formula>#REF!</formula>
      <formula>#REF!</formula>
    </cfRule>
    <cfRule type="cellIs" dxfId="3443" priority="6210" stopIfTrue="1" operator="between">
      <formula>#REF!</formula>
      <formula>#REF!</formula>
    </cfRule>
    <cfRule type="cellIs" dxfId="3442" priority="5476" stopIfTrue="1" operator="equal">
      <formula>#REF!</formula>
    </cfRule>
    <cfRule type="cellIs" dxfId="3441" priority="6105" stopIfTrue="1" operator="between">
      <formula>#REF!</formula>
      <formula>#REF!</formula>
    </cfRule>
    <cfRule type="cellIs" dxfId="3440" priority="5783" stopIfTrue="1" operator="equal">
      <formula>#REF!</formula>
    </cfRule>
    <cfRule type="cellIs" dxfId="3439" priority="6106" stopIfTrue="1" operator="equal">
      <formula>#REF!</formula>
    </cfRule>
    <cfRule type="cellIs" dxfId="3438" priority="6003" stopIfTrue="1" operator="between">
      <formula>#REF!</formula>
      <formula>#REF!</formula>
    </cfRule>
    <cfRule type="cellIs" dxfId="3437" priority="5475" stopIfTrue="1" operator="between">
      <formula>#REF!</formula>
      <formula>#REF!</formula>
    </cfRule>
    <cfRule type="cellIs" dxfId="3436" priority="6207" stopIfTrue="1" operator="between">
      <formula>#REF!</formula>
      <formula>#REF!</formula>
    </cfRule>
    <cfRule type="cellIs" dxfId="3435" priority="5898" stopIfTrue="1" operator="between">
      <formula>#REF!</formula>
      <formula>#REF!</formula>
    </cfRule>
    <cfRule type="cellIs" dxfId="3434" priority="6204" stopIfTrue="1" operator="between">
      <formula>#REF!</formula>
      <formula>#REF!</formula>
    </cfRule>
    <cfRule type="cellIs" dxfId="3433" priority="5580" stopIfTrue="1" operator="between">
      <formula>#REF!</formula>
      <formula>#REF!</formula>
    </cfRule>
    <cfRule type="cellIs" dxfId="3432" priority="5577" stopIfTrue="1" operator="between">
      <formula>#REF!</formula>
      <formula>#REF!</formula>
    </cfRule>
    <cfRule type="cellIs" dxfId="3431" priority="5576" stopIfTrue="1" operator="equal">
      <formula>#REF!</formula>
    </cfRule>
    <cfRule type="cellIs" dxfId="3430" priority="5575" stopIfTrue="1" operator="equal">
      <formula>#REF!</formula>
    </cfRule>
    <cfRule type="cellIs" dxfId="3429" priority="5574" stopIfTrue="1" operator="between">
      <formula>#REF!</formula>
      <formula>#REF!</formula>
    </cfRule>
    <cfRule type="cellIs" dxfId="3428" priority="5478" stopIfTrue="1" operator="between">
      <formula>#REF!</formula>
      <formula>#REF!</formula>
    </cfRule>
    <cfRule type="cellIs" dxfId="3427" priority="5899" stopIfTrue="1" operator="equal">
      <formula>#REF!</formula>
    </cfRule>
    <cfRule type="cellIs" dxfId="3426" priority="5900" stopIfTrue="1" operator="equal">
      <formula>#REF!</formula>
    </cfRule>
    <cfRule type="cellIs" dxfId="3425" priority="5688" stopIfTrue="1" operator="between">
      <formula>#REF!</formula>
      <formula>#REF!</formula>
    </cfRule>
    <cfRule type="cellIs" dxfId="3424" priority="5781" stopIfTrue="1" operator="between">
      <formula>#REF!</formula>
      <formula>#REF!</formula>
    </cfRule>
    <cfRule type="cellIs" dxfId="3423" priority="5782" stopIfTrue="1" operator="equal">
      <formula>#REF!</formula>
    </cfRule>
    <cfRule type="cellIs" dxfId="3422" priority="5997" stopIfTrue="1" operator="between">
      <formula>#REF!</formula>
      <formula>#REF!</formula>
    </cfRule>
    <cfRule type="cellIs" dxfId="3421" priority="5998" stopIfTrue="1" operator="equal">
      <formula>#REF!</formula>
    </cfRule>
    <cfRule type="cellIs" dxfId="3420" priority="5999" stopIfTrue="1" operator="equal">
      <formula>#REF!</formula>
    </cfRule>
    <cfRule type="cellIs" dxfId="3419" priority="5682" stopIfTrue="1" operator="between">
      <formula>#REF!</formula>
      <formula>#REF!</formula>
    </cfRule>
    <cfRule type="cellIs" dxfId="3418" priority="5683" stopIfTrue="1" operator="equal">
      <formula>#REF!</formula>
    </cfRule>
    <cfRule type="cellIs" dxfId="3417" priority="5481" stopIfTrue="1" operator="between">
      <formula>#REF!</formula>
      <formula>#REF!</formula>
    </cfRule>
    <cfRule type="cellIs" dxfId="3416" priority="5784" stopIfTrue="1" operator="between">
      <formula>#REF!</formula>
      <formula>#REF!</formula>
    </cfRule>
    <cfRule type="cellIs" dxfId="3415" priority="5787" stopIfTrue="1" operator="between">
      <formula>#REF!</formula>
      <formula>#REF!</formula>
    </cfRule>
    <cfRule type="cellIs" dxfId="3414" priority="5685" stopIfTrue="1" operator="between">
      <formula>#REF!</formula>
      <formula>#REF!</formula>
    </cfRule>
    <cfRule type="cellIs" dxfId="3413" priority="5684" stopIfTrue="1" operator="equal">
      <formula>#REF!</formula>
    </cfRule>
    <cfRule type="cellIs" dxfId="3412" priority="6000" stopIfTrue="1" operator="between">
      <formula>#REF!</formula>
      <formula>#REF!</formula>
    </cfRule>
  </conditionalFormatting>
  <conditionalFormatting sqref="CT142:CT143">
    <cfRule type="cellIs" dxfId="3411" priority="4589" stopIfTrue="1" operator="equal">
      <formula>#REF!</formula>
    </cfRule>
    <cfRule type="cellIs" dxfId="3410" priority="4689" stopIfTrue="1" operator="between">
      <formula>#REF!</formula>
      <formula>#REF!</formula>
    </cfRule>
    <cfRule type="cellIs" dxfId="3409" priority="4790" stopIfTrue="1" operator="equal">
      <formula>#REF!</formula>
    </cfRule>
    <cfRule type="cellIs" dxfId="3408" priority="4587" stopIfTrue="1" operator="between">
      <formula>#REF!</formula>
      <formula>#REF!</formula>
    </cfRule>
    <cfRule type="cellIs" dxfId="3407" priority="4896" stopIfTrue="1" operator="between">
      <formula>#REF!</formula>
      <formula>#REF!</formula>
    </cfRule>
    <cfRule type="cellIs" dxfId="3406" priority="5313" stopIfTrue="1" operator="between">
      <formula>#REF!</formula>
      <formula>#REF!</formula>
    </cfRule>
    <cfRule type="cellIs" dxfId="3405" priority="4688" stopIfTrue="1" operator="equal">
      <formula>#REF!</formula>
    </cfRule>
    <cfRule type="cellIs" dxfId="3404" priority="5010" stopIfTrue="1" operator="between">
      <formula>#REF!</formula>
      <formula>#REF!</formula>
    </cfRule>
    <cfRule type="cellIs" dxfId="3403" priority="4791" stopIfTrue="1" operator="between">
      <formula>#REF!</formula>
      <formula>#REF!</formula>
    </cfRule>
    <cfRule type="cellIs" dxfId="3402" priority="4584" stopIfTrue="1" operator="between">
      <formula>#REF!</formula>
      <formula>#REF!</formula>
    </cfRule>
    <cfRule type="cellIs" dxfId="3401" priority="4585" stopIfTrue="1" operator="equal">
      <formula>#REF!</formula>
    </cfRule>
    <cfRule type="cellIs" dxfId="3400" priority="4586" stopIfTrue="1" operator="equal">
      <formula>#REF!</formula>
    </cfRule>
    <cfRule type="cellIs" dxfId="3399" priority="5013" stopIfTrue="1" operator="between">
      <formula>#REF!</formula>
      <formula>#REF!</formula>
    </cfRule>
    <cfRule type="cellIs" dxfId="3398" priority="5009" stopIfTrue="1" operator="equal">
      <formula>#REF!</formula>
    </cfRule>
    <cfRule type="cellIs" dxfId="3397" priority="5008" stopIfTrue="1" operator="equal">
      <formula>#REF!</formula>
    </cfRule>
    <cfRule type="cellIs" dxfId="3396" priority="5007" stopIfTrue="1" operator="between">
      <formula>#REF!</formula>
      <formula>#REF!</formula>
    </cfRule>
    <cfRule type="cellIs" dxfId="3395" priority="5316" stopIfTrue="1" operator="between">
      <formula>#REF!</formula>
      <formula>#REF!</formula>
    </cfRule>
    <cfRule type="cellIs" dxfId="3394" priority="5315" stopIfTrue="1" operator="equal">
      <formula>#REF!</formula>
    </cfRule>
    <cfRule type="cellIs" dxfId="3393" priority="4889" stopIfTrue="1" operator="equal">
      <formula>#REF!</formula>
    </cfRule>
    <cfRule type="cellIs" dxfId="3392" priority="4890" stopIfTrue="1" operator="between">
      <formula>#REF!</formula>
      <formula>#REF!</formula>
    </cfRule>
    <cfRule type="cellIs" dxfId="3391" priority="4891" stopIfTrue="1" operator="equal">
      <formula>#REF!</formula>
    </cfRule>
    <cfRule type="cellIs" dxfId="3390" priority="4892" stopIfTrue="1" operator="equal">
      <formula>#REF!</formula>
    </cfRule>
    <cfRule type="cellIs" dxfId="3389" priority="4792" stopIfTrue="1" operator="equal">
      <formula>#REF!</formula>
    </cfRule>
    <cfRule type="cellIs" dxfId="3388" priority="4793" stopIfTrue="1" operator="equal">
      <formula>#REF!</formula>
    </cfRule>
    <cfRule type="cellIs" dxfId="3387" priority="4794" stopIfTrue="1" operator="between">
      <formula>#REF!</formula>
      <formula>#REF!</formula>
    </cfRule>
    <cfRule type="cellIs" dxfId="3386" priority="4893" stopIfTrue="1" operator="between">
      <formula>#REF!</formula>
      <formula>#REF!</formula>
    </cfRule>
    <cfRule type="cellIs" dxfId="3385" priority="4797" stopIfTrue="1" operator="between">
      <formula>#REF!</formula>
      <formula>#REF!</formula>
    </cfRule>
    <cfRule type="cellIs" dxfId="3384" priority="4895" stopIfTrue="1" operator="equal">
      <formula>#REF!</formula>
    </cfRule>
    <cfRule type="cellIs" dxfId="3383" priority="5314" stopIfTrue="1" operator="equal">
      <formula>#REF!</formula>
    </cfRule>
    <cfRule type="cellIs" dxfId="3382" priority="5109" stopIfTrue="1" operator="between">
      <formula>#REF!</formula>
      <formula>#REF!</formula>
    </cfRule>
    <cfRule type="cellIs" dxfId="3381" priority="5108" stopIfTrue="1" operator="equal">
      <formula>#REF!</formula>
    </cfRule>
    <cfRule type="cellIs" dxfId="3380" priority="4583" stopIfTrue="1" operator="equal">
      <formula>#REF!</formula>
    </cfRule>
    <cfRule type="cellIs" dxfId="3379" priority="5112" stopIfTrue="1" operator="between">
      <formula>#REF!</formula>
      <formula>#REF!</formula>
    </cfRule>
    <cfRule type="cellIs" dxfId="3378" priority="4686" stopIfTrue="1" operator="between">
      <formula>#REF!</formula>
      <formula>#REF!</formula>
    </cfRule>
    <cfRule type="cellIs" dxfId="3377" priority="4685" stopIfTrue="1" operator="equal">
      <formula>#REF!</formula>
    </cfRule>
    <cfRule type="cellIs" dxfId="3376" priority="4684" stopIfTrue="1" operator="equal">
      <formula>#REF!</formula>
    </cfRule>
    <cfRule type="cellIs" dxfId="3375" priority="5106" stopIfTrue="1" operator="between">
      <formula>#REF!</formula>
      <formula>#REF!</formula>
    </cfRule>
    <cfRule type="cellIs" dxfId="3374" priority="4683" stopIfTrue="1" operator="between">
      <formula>#REF!</formula>
      <formula>#REF!</formula>
    </cfRule>
    <cfRule type="cellIs" dxfId="3373" priority="5107" stopIfTrue="1" operator="equal">
      <formula>#REF!</formula>
    </cfRule>
    <cfRule type="cellIs" dxfId="3372" priority="5220" stopIfTrue="1" operator="between">
      <formula>#REF!</formula>
      <formula>#REF!</formula>
    </cfRule>
    <cfRule type="cellIs" dxfId="3371" priority="4682" stopIfTrue="1" operator="equal">
      <formula>#REF!</formula>
    </cfRule>
    <cfRule type="cellIs" dxfId="3370" priority="4590" stopIfTrue="1" operator="between">
      <formula>#REF!</formula>
      <formula>#REF!</formula>
    </cfRule>
    <cfRule type="cellIs" dxfId="3369" priority="5217" stopIfTrue="1" operator="between">
      <formula>#REF!</formula>
      <formula>#REF!</formula>
    </cfRule>
    <cfRule type="cellIs" dxfId="3368" priority="5216" stopIfTrue="1" operator="equal">
      <formula>#REF!</formula>
    </cfRule>
    <cfRule type="cellIs" dxfId="3367" priority="5319" stopIfTrue="1" operator="between">
      <formula>#REF!</formula>
      <formula>#REF!</formula>
    </cfRule>
    <cfRule type="cellIs" dxfId="3366" priority="5215" stopIfTrue="1" operator="equal">
      <formula>#REF!</formula>
    </cfRule>
    <cfRule type="cellIs" dxfId="3365" priority="5214" stopIfTrue="1" operator="between">
      <formula>#REF!</formula>
      <formula>#REF!</formula>
    </cfRule>
    <cfRule type="cellIs" dxfId="3364" priority="4796" stopIfTrue="1" operator="equal">
      <formula>#REF!</formula>
    </cfRule>
  </conditionalFormatting>
  <conditionalFormatting sqref="CT144:CT173">
    <cfRule type="cellIs" dxfId="3363" priority="3905" stopIfTrue="1" operator="equal">
      <formula>#REF!</formula>
    </cfRule>
    <cfRule type="cellIs" dxfId="3362" priority="3906" stopIfTrue="1" operator="between">
      <formula>#REF!</formula>
      <formula>#REF!</formula>
    </cfRule>
    <cfRule type="cellIs" dxfId="3361" priority="3797" stopIfTrue="1" operator="equal">
      <formula>#REF!</formula>
    </cfRule>
    <cfRule type="cellIs" dxfId="3360" priority="3798" stopIfTrue="1" operator="between">
      <formula>#REF!</formula>
      <formula>#REF!</formula>
    </cfRule>
    <cfRule type="cellIs" dxfId="3359" priority="4325" stopIfTrue="1" operator="equal">
      <formula>#REF!</formula>
    </cfRule>
    <cfRule type="cellIs" dxfId="3358" priority="3698" stopIfTrue="1" operator="equal">
      <formula>#REF!</formula>
    </cfRule>
    <cfRule type="cellIs" dxfId="3357" priority="4324" stopIfTrue="1" operator="equal">
      <formula>#REF!</formula>
    </cfRule>
    <cfRule type="cellIs" dxfId="3356" priority="4005" stopIfTrue="1" operator="between">
      <formula>#REF!</formula>
      <formula>#REF!</formula>
    </cfRule>
    <cfRule type="cellIs" dxfId="3355" priority="4422" stopIfTrue="1" operator="between">
      <formula>#REF!</formula>
      <formula>#REF!</formula>
    </cfRule>
    <cfRule type="cellIs" dxfId="3354" priority="4423" stopIfTrue="1" operator="equal">
      <formula>#REF!</formula>
    </cfRule>
    <cfRule type="cellIs" dxfId="3353" priority="4425" stopIfTrue="1" operator="between">
      <formula>#REF!</formula>
      <formula>#REF!</formula>
    </cfRule>
    <cfRule type="cellIs" dxfId="3352" priority="4004" stopIfTrue="1" operator="equal">
      <formula>#REF!</formula>
    </cfRule>
    <cfRule type="cellIs" dxfId="3351" priority="4427" stopIfTrue="1" operator="equal">
      <formula>#REF!</formula>
    </cfRule>
    <cfRule type="cellIs" dxfId="3350" priority="4428" stopIfTrue="1" operator="between">
      <formula>#REF!</formula>
      <formula>#REF!</formula>
    </cfRule>
    <cfRule type="cellIs" dxfId="3349" priority="4323" stopIfTrue="1" operator="between">
      <formula>#REF!</formula>
      <formula>#REF!</formula>
    </cfRule>
    <cfRule type="cellIs" dxfId="3348" priority="4002" stopIfTrue="1" operator="between">
      <formula>#REF!</formula>
      <formula>#REF!</formula>
    </cfRule>
    <cfRule type="cellIs" dxfId="3347" priority="4001" stopIfTrue="1" operator="equal">
      <formula>#REF!</formula>
    </cfRule>
    <cfRule type="cellIs" dxfId="3346" priority="4000" stopIfTrue="1" operator="equal">
      <formula>#REF!</formula>
    </cfRule>
    <cfRule type="cellIs" dxfId="3345" priority="3999" stopIfTrue="1" operator="between">
      <formula>#REF!</formula>
      <formula>#REF!</formula>
    </cfRule>
    <cfRule type="cellIs" dxfId="3344" priority="3998" stopIfTrue="1" operator="equal">
      <formula>#REF!</formula>
    </cfRule>
    <cfRule type="cellIs" dxfId="3343" priority="4322" stopIfTrue="1" operator="equal">
      <formula>#REF!</formula>
    </cfRule>
    <cfRule type="cellIs" dxfId="3342" priority="3694" stopIfTrue="1" operator="equal">
      <formula>#REF!</formula>
    </cfRule>
    <cfRule type="cellIs" dxfId="3341" priority="4122" stopIfTrue="1" operator="between">
      <formula>#REF!</formula>
      <formula>#REF!</formula>
    </cfRule>
    <cfRule type="cellIs" dxfId="3340" priority="3696" stopIfTrue="1" operator="between">
      <formula>#REF!</formula>
      <formula>#REF!</formula>
    </cfRule>
    <cfRule type="cellIs" dxfId="3339" priority="4329" stopIfTrue="1" operator="between">
      <formula>#REF!</formula>
      <formula>#REF!</formula>
    </cfRule>
    <cfRule type="cellIs" dxfId="3338" priority="4328" stopIfTrue="1" operator="equal">
      <formula>#REF!</formula>
    </cfRule>
    <cfRule type="cellIs" dxfId="3337" priority="3902" stopIfTrue="1" operator="equal">
      <formula>#REF!</formula>
    </cfRule>
    <cfRule type="cellIs" dxfId="3336" priority="3693" stopIfTrue="1" operator="between">
      <formula>#REF!</formula>
      <formula>#REF!</formula>
    </cfRule>
    <cfRule type="cellIs" dxfId="3335" priority="3695" stopIfTrue="1" operator="equal">
      <formula>#REF!</formula>
    </cfRule>
    <cfRule type="cellIs" dxfId="3334" priority="4121" stopIfTrue="1" operator="equal">
      <formula>#REF!</formula>
    </cfRule>
    <cfRule type="cellIs" dxfId="3333" priority="3692" stopIfTrue="1" operator="equal">
      <formula>#REF!</formula>
    </cfRule>
    <cfRule type="cellIs" dxfId="3332" priority="4119" stopIfTrue="1" operator="between">
      <formula>#REF!</formula>
      <formula>#REF!</formula>
    </cfRule>
    <cfRule type="cellIs" dxfId="3331" priority="4118" stopIfTrue="1" operator="equal">
      <formula>#REF!</formula>
    </cfRule>
    <cfRule type="cellIs" dxfId="3330" priority="4117" stopIfTrue="1" operator="equal">
      <formula>#REF!</formula>
    </cfRule>
    <cfRule type="cellIs" dxfId="3329" priority="4221" stopIfTrue="1" operator="between">
      <formula>#REF!</formula>
      <formula>#REF!</formula>
    </cfRule>
    <cfRule type="cellIs" dxfId="3328" priority="4220" stopIfTrue="1" operator="equal">
      <formula>#REF!</formula>
    </cfRule>
    <cfRule type="cellIs" dxfId="3327" priority="4218" stopIfTrue="1" operator="between">
      <formula>#REF!</formula>
      <formula>#REF!</formula>
    </cfRule>
    <cfRule type="cellIs" dxfId="3326" priority="4116" stopIfTrue="1" operator="between">
      <formula>#REF!</formula>
      <formula>#REF!</formula>
    </cfRule>
    <cfRule type="cellIs" dxfId="3325" priority="4217" stopIfTrue="1" operator="equal">
      <formula>#REF!</formula>
    </cfRule>
    <cfRule type="cellIs" dxfId="3324" priority="4424" stopIfTrue="1" operator="equal">
      <formula>#REF!</formula>
    </cfRule>
    <cfRule type="cellIs" dxfId="3323" priority="4216" stopIfTrue="1" operator="equal">
      <formula>#REF!</formula>
    </cfRule>
    <cfRule type="cellIs" dxfId="3322" priority="4215" stopIfTrue="1" operator="between">
      <formula>#REF!</formula>
      <formula>#REF!</formula>
    </cfRule>
    <cfRule type="cellIs" dxfId="3321" priority="4115" stopIfTrue="1" operator="equal">
      <formula>#REF!</formula>
    </cfRule>
    <cfRule type="cellIs" dxfId="3320" priority="4214" stopIfTrue="1" operator="equal">
      <formula>#REF!</formula>
    </cfRule>
    <cfRule type="cellIs" dxfId="3319" priority="3791" stopIfTrue="1" operator="equal">
      <formula>#REF!</formula>
    </cfRule>
    <cfRule type="cellIs" dxfId="3318" priority="3792" stopIfTrue="1" operator="between">
      <formula>#REF!</formula>
      <formula>#REF!</formula>
    </cfRule>
    <cfRule type="cellIs" dxfId="3317" priority="3793" stopIfTrue="1" operator="equal">
      <formula>#REF!</formula>
    </cfRule>
    <cfRule type="cellIs" dxfId="3316" priority="3794" stopIfTrue="1" operator="equal">
      <formula>#REF!</formula>
    </cfRule>
    <cfRule type="cellIs" dxfId="3315" priority="3699" stopIfTrue="1" operator="between">
      <formula>#REF!</formula>
      <formula>#REF!</formula>
    </cfRule>
    <cfRule type="cellIs" dxfId="3314" priority="3899" stopIfTrue="1" operator="equal">
      <formula>#REF!</formula>
    </cfRule>
    <cfRule type="cellIs" dxfId="3313" priority="3900" stopIfTrue="1" operator="between">
      <formula>#REF!</formula>
      <formula>#REF!</formula>
    </cfRule>
    <cfRule type="cellIs" dxfId="3312" priority="3901" stopIfTrue="1" operator="equal">
      <formula>#REF!</formula>
    </cfRule>
    <cfRule type="cellIs" dxfId="3311" priority="3795" stopIfTrue="1" operator="between">
      <formula>#REF!</formula>
      <formula>#REF!</formula>
    </cfRule>
    <cfRule type="cellIs" dxfId="3310" priority="3903" stopIfTrue="1" operator="between">
      <formula>#REF!</formula>
      <formula>#REF!</formula>
    </cfRule>
    <cfRule type="cellIs" dxfId="3309" priority="4326" stopIfTrue="1" operator="between">
      <formula>#REF!</formula>
      <formula>#REF!</formula>
    </cfRule>
    <cfRule type="cellIs" dxfId="3308" priority="4421" stopIfTrue="1" operator="equal">
      <formula>#REF!</formula>
    </cfRule>
  </conditionalFormatting>
  <conditionalFormatting sqref="CT174:CT199">
    <cfRule type="cellIs" dxfId="3307" priority="333" stopIfTrue="1" operator="between">
      <formula>#REF!</formula>
      <formula>#REF!</formula>
    </cfRule>
    <cfRule type="cellIs" dxfId="3306" priority="225" stopIfTrue="1" operator="between">
      <formula>#REF!</formula>
      <formula>#REF!</formula>
    </cfRule>
    <cfRule type="cellIs" dxfId="3305" priority="224" stopIfTrue="1" operator="equal">
      <formula>#REF!</formula>
    </cfRule>
    <cfRule type="cellIs" dxfId="3304" priority="222" stopIfTrue="1" operator="between">
      <formula>#REF!</formula>
      <formula>#REF!</formula>
    </cfRule>
    <cfRule type="cellIs" dxfId="3303" priority="221" stopIfTrue="1" operator="equal">
      <formula>#REF!</formula>
    </cfRule>
    <cfRule type="cellIs" dxfId="3302" priority="220" stopIfTrue="1" operator="equal">
      <formula>#REF!</formula>
    </cfRule>
    <cfRule type="cellIs" dxfId="3301" priority="219" stopIfTrue="1" operator="between">
      <formula>#REF!</formula>
      <formula>#REF!</formula>
    </cfRule>
    <cfRule type="cellIs" dxfId="3300" priority="218" stopIfTrue="1" operator="equal">
      <formula>#REF!</formula>
    </cfRule>
    <cfRule type="cellIs" dxfId="3299" priority="644" stopIfTrue="1" operator="equal">
      <formula>#REF!</formula>
    </cfRule>
    <cfRule type="cellIs" dxfId="3298" priority="425" stopIfTrue="1" operator="equal">
      <formula>#REF!</formula>
    </cfRule>
    <cfRule type="cellIs" dxfId="3297" priority="426" stopIfTrue="1" operator="between">
      <formula>#REF!</formula>
      <formula>#REF!</formula>
    </cfRule>
    <cfRule type="cellIs" dxfId="3296" priority="427" stopIfTrue="1" operator="equal">
      <formula>#REF!</formula>
    </cfRule>
    <cfRule type="cellIs" dxfId="3295" priority="428" stopIfTrue="1" operator="equal">
      <formula>#REF!</formula>
    </cfRule>
    <cfRule type="cellIs" dxfId="3294" priority="429" stopIfTrue="1" operator="between">
      <formula>#REF!</formula>
      <formula>#REF!</formula>
    </cfRule>
    <cfRule type="cellIs" dxfId="3293" priority="330" stopIfTrue="1" operator="between">
      <formula>#REF!</formula>
      <formula>#REF!</formula>
    </cfRule>
    <cfRule type="cellIs" dxfId="3292" priority="855" stopIfTrue="1" operator="between">
      <formula>#REF!</formula>
      <formula>#REF!</formula>
    </cfRule>
    <cfRule type="cellIs" dxfId="3291" priority="854" stopIfTrue="1" operator="equal">
      <formula>#REF!</formula>
    </cfRule>
    <cfRule type="cellIs" dxfId="3290" priority="852" stopIfTrue="1" operator="between">
      <formula>#REF!</formula>
      <formula>#REF!</formula>
    </cfRule>
    <cfRule type="cellIs" dxfId="3289" priority="119" stopIfTrue="1" operator="equal">
      <formula>#REF!</formula>
    </cfRule>
    <cfRule type="cellIs" dxfId="3288" priority="120" stopIfTrue="1" operator="between">
      <formula>#REF!</formula>
      <formula>#REF!</formula>
    </cfRule>
    <cfRule type="cellIs" dxfId="3287" priority="851" stopIfTrue="1" operator="equal">
      <formula>#REF!</formula>
    </cfRule>
    <cfRule type="cellIs" dxfId="3286" priority="850" stopIfTrue="1" operator="equal">
      <formula>#REF!</formula>
    </cfRule>
    <cfRule type="cellIs" dxfId="3285" priority="849" stopIfTrue="1" operator="between">
      <formula>#REF!</formula>
      <formula>#REF!</formula>
    </cfRule>
    <cfRule type="cellIs" dxfId="3284" priority="848" stopIfTrue="1" operator="equal">
      <formula>#REF!</formula>
    </cfRule>
    <cfRule type="cellIs" dxfId="3283" priority="756" stopIfTrue="1" operator="between">
      <formula>#REF!</formula>
      <formula>#REF!</formula>
    </cfRule>
    <cfRule type="cellIs" dxfId="3282" priority="755" stopIfTrue="1" operator="equal">
      <formula>#REF!</formula>
    </cfRule>
    <cfRule type="cellIs" dxfId="3281" priority="121" stopIfTrue="1" operator="equal">
      <formula>#REF!</formula>
    </cfRule>
    <cfRule type="cellIs" dxfId="3280" priority="753" stopIfTrue="1" operator="between">
      <formula>#REF!</formula>
      <formula>#REF!</formula>
    </cfRule>
    <cfRule type="cellIs" dxfId="3279" priority="752" stopIfTrue="1" operator="equal">
      <formula>#REF!</formula>
    </cfRule>
    <cfRule type="cellIs" dxfId="3278" priority="751" stopIfTrue="1" operator="equal">
      <formula>#REF!</formula>
    </cfRule>
    <cfRule type="cellIs" dxfId="3277" priority="431" stopIfTrue="1" operator="equal">
      <formula>#REF!</formula>
    </cfRule>
    <cfRule type="cellIs" dxfId="3276" priority="432" stopIfTrue="1" operator="between">
      <formula>#REF!</formula>
      <formula>#REF!</formula>
    </cfRule>
    <cfRule type="cellIs" dxfId="3275" priority="750" stopIfTrue="1" operator="between">
      <formula>#REF!</formula>
      <formula>#REF!</formula>
    </cfRule>
    <cfRule type="cellIs" dxfId="3274" priority="749" stopIfTrue="1" operator="equal">
      <formula>#REF!</formula>
    </cfRule>
    <cfRule type="cellIs" dxfId="3273" priority="648" stopIfTrue="1" operator="between">
      <formula>#REF!</formula>
      <formula>#REF!</formula>
    </cfRule>
    <cfRule type="cellIs" dxfId="3272" priority="647" stopIfTrue="1" operator="equal">
      <formula>#REF!</formula>
    </cfRule>
    <cfRule type="cellIs" dxfId="3271" priority="645" stopIfTrue="1" operator="between">
      <formula>#REF!</formula>
      <formula>#REF!</formula>
    </cfRule>
    <cfRule type="cellIs" dxfId="3270" priority="643" stopIfTrue="1" operator="equal">
      <formula>#REF!</formula>
    </cfRule>
    <cfRule type="cellIs" dxfId="3269" priority="122" stopIfTrue="1" operator="equal">
      <formula>#REF!</formula>
    </cfRule>
    <cfRule type="cellIs" dxfId="3268" priority="123" stopIfTrue="1" operator="between">
      <formula>#REF!</formula>
      <formula>#REF!</formula>
    </cfRule>
    <cfRule type="cellIs" dxfId="3267" priority="642" stopIfTrue="1" operator="between">
      <formula>#REF!</formula>
      <formula>#REF!</formula>
    </cfRule>
    <cfRule type="cellIs" dxfId="3266" priority="641" stopIfTrue="1" operator="equal">
      <formula>#REF!</formula>
    </cfRule>
    <cfRule type="cellIs" dxfId="3265" priority="549" stopIfTrue="1" operator="between">
      <formula>#REF!</formula>
      <formula>#REF!</formula>
    </cfRule>
    <cfRule type="cellIs" dxfId="3264" priority="125" stopIfTrue="1" operator="equal">
      <formula>#REF!</formula>
    </cfRule>
    <cfRule type="cellIs" dxfId="3263" priority="126" stopIfTrue="1" operator="between">
      <formula>#REF!</formula>
      <formula>#REF!</formula>
    </cfRule>
    <cfRule type="cellIs" dxfId="3262" priority="548" stopIfTrue="1" operator="equal">
      <formula>#REF!</formula>
    </cfRule>
    <cfRule type="cellIs" dxfId="3261" priority="546" stopIfTrue="1" operator="between">
      <formula>#REF!</formula>
      <formula>#REF!</formula>
    </cfRule>
    <cfRule type="cellIs" dxfId="3260" priority="545" stopIfTrue="1" operator="equal">
      <formula>#REF!</formula>
    </cfRule>
    <cfRule type="cellIs" dxfId="3259" priority="544" stopIfTrue="1" operator="equal">
      <formula>#REF!</formula>
    </cfRule>
    <cfRule type="cellIs" dxfId="3258" priority="543" stopIfTrue="1" operator="between">
      <formula>#REF!</formula>
      <formula>#REF!</formula>
    </cfRule>
    <cfRule type="cellIs" dxfId="3257" priority="542" stopIfTrue="1" operator="equal">
      <formula>#REF!</formula>
    </cfRule>
    <cfRule type="cellIs" dxfId="3256" priority="326" stopIfTrue="1" operator="equal">
      <formula>#REF!</formula>
    </cfRule>
    <cfRule type="cellIs" dxfId="3255" priority="327" stopIfTrue="1" operator="between">
      <formula>#REF!</formula>
      <formula>#REF!</formula>
    </cfRule>
    <cfRule type="cellIs" dxfId="3254" priority="328" stopIfTrue="1" operator="equal">
      <formula>#REF!</formula>
    </cfRule>
    <cfRule type="cellIs" dxfId="3253" priority="329" stopIfTrue="1" operator="equal">
      <formula>#REF!</formula>
    </cfRule>
    <cfRule type="cellIs" dxfId="3252" priority="332" stopIfTrue="1" operator="equal">
      <formula>#REF!</formula>
    </cfRule>
  </conditionalFormatting>
  <conditionalFormatting sqref="CT110:CU110">
    <cfRule type="cellIs" dxfId="3251" priority="8846" stopIfTrue="1" operator="equal">
      <formula>#REF!</formula>
    </cfRule>
  </conditionalFormatting>
  <conditionalFormatting sqref="CT111:CU111">
    <cfRule type="cellIs" dxfId="3250" priority="8725" stopIfTrue="1" operator="equal">
      <formula>#REF!</formula>
    </cfRule>
    <cfRule type="cellIs" dxfId="3249" priority="8726" stopIfTrue="1" operator="equal">
      <formula>#REF!</formula>
    </cfRule>
  </conditionalFormatting>
  <conditionalFormatting sqref="CT112:CU112">
    <cfRule type="cellIs" dxfId="3248" priority="8602" stopIfTrue="1" operator="equal">
      <formula>#REF!</formula>
    </cfRule>
    <cfRule type="cellIs" dxfId="3247" priority="8603" stopIfTrue="1" operator="equal">
      <formula>#REF!</formula>
    </cfRule>
  </conditionalFormatting>
  <conditionalFormatting sqref="CT113:CU113">
    <cfRule type="cellIs" dxfId="3246" priority="8467" stopIfTrue="1" operator="equal">
      <formula>#REF!</formula>
    </cfRule>
    <cfRule type="cellIs" dxfId="3245" priority="8468" stopIfTrue="1" operator="equal">
      <formula>#REF!</formula>
    </cfRule>
  </conditionalFormatting>
  <conditionalFormatting sqref="CT114:CU115">
    <cfRule type="cellIs" dxfId="3244" priority="8324" stopIfTrue="1" operator="equal">
      <formula>#REF!</formula>
    </cfRule>
    <cfRule type="cellIs" dxfId="3243" priority="8323" stopIfTrue="1" operator="equal">
      <formula>#REF!</formula>
    </cfRule>
  </conditionalFormatting>
  <conditionalFormatting sqref="CT116:CU116">
    <cfRule type="cellIs" dxfId="3242" priority="8162" stopIfTrue="1" operator="equal">
      <formula>#REF!</formula>
    </cfRule>
    <cfRule type="cellIs" dxfId="3241" priority="8161" stopIfTrue="1" operator="equal">
      <formula>#REF!</formula>
    </cfRule>
  </conditionalFormatting>
  <conditionalFormatting sqref="CT117:CU129">
    <cfRule type="cellIs" dxfId="3240" priority="8017" stopIfTrue="1" operator="equal">
      <formula>#REF!</formula>
    </cfRule>
    <cfRule type="cellIs" dxfId="3239" priority="8018" stopIfTrue="1" operator="equal">
      <formula>#REF!</formula>
    </cfRule>
  </conditionalFormatting>
  <conditionalFormatting sqref="CT121:CU129">
    <cfRule type="cellIs" dxfId="3238" priority="7919" stopIfTrue="1" operator="equal">
      <formula>#REF!</formula>
    </cfRule>
    <cfRule type="cellIs" dxfId="3237" priority="7918" stopIfTrue="1" operator="equal">
      <formula>#REF!</formula>
    </cfRule>
  </conditionalFormatting>
  <conditionalFormatting sqref="CT125:CU129">
    <cfRule type="cellIs" dxfId="3236" priority="7712" stopIfTrue="1" operator="equal">
      <formula>#REF!</formula>
    </cfRule>
    <cfRule type="cellIs" dxfId="3235" priority="7711" stopIfTrue="1" operator="equal">
      <formula>#REF!</formula>
    </cfRule>
    <cfRule type="cellIs" dxfId="3234" priority="7811" stopIfTrue="1" operator="equal">
      <formula>#REF!</formula>
    </cfRule>
    <cfRule type="cellIs" dxfId="3233" priority="7810" stopIfTrue="1" operator="equal">
      <formula>#REF!</formula>
    </cfRule>
  </conditionalFormatting>
  <conditionalFormatting sqref="CT126:CU129">
    <cfRule type="cellIs" dxfId="3232" priority="7595" stopIfTrue="1" operator="equal">
      <formula>#REF!</formula>
    </cfRule>
    <cfRule type="cellIs" dxfId="3231" priority="7289" stopIfTrue="1" operator="equal">
      <formula>#REF!</formula>
    </cfRule>
    <cfRule type="cellIs" dxfId="3230" priority="7496" stopIfTrue="1" operator="equal">
      <formula>#REF!</formula>
    </cfRule>
    <cfRule type="cellIs" dxfId="3229" priority="7594" stopIfTrue="1" operator="equal">
      <formula>#REF!</formula>
    </cfRule>
    <cfRule type="cellIs" dxfId="3228" priority="7388" stopIfTrue="1" operator="equal">
      <formula>#REF!</formula>
    </cfRule>
    <cfRule type="cellIs" dxfId="3227" priority="7387" stopIfTrue="1" operator="equal">
      <formula>#REF!</formula>
    </cfRule>
    <cfRule type="cellIs" dxfId="3226" priority="7495" stopIfTrue="1" operator="equal">
      <formula>#REF!</formula>
    </cfRule>
    <cfRule type="cellIs" dxfId="3225" priority="7288" stopIfTrue="1" operator="equal">
      <formula>#REF!</formula>
    </cfRule>
  </conditionalFormatting>
  <conditionalFormatting sqref="CT130:CU130">
    <cfRule type="cellIs" dxfId="3224" priority="6586" stopIfTrue="1" operator="equal">
      <formula>#REF!</formula>
    </cfRule>
    <cfRule type="cellIs" dxfId="3223" priority="6685" stopIfTrue="1" operator="equal">
      <formula>#REF!</formula>
    </cfRule>
    <cfRule type="cellIs" dxfId="3222" priority="6901" stopIfTrue="1" operator="equal">
      <formula>#REF!</formula>
    </cfRule>
    <cfRule type="cellIs" dxfId="3221" priority="6902" stopIfTrue="1" operator="equal">
      <formula>#REF!</formula>
    </cfRule>
    <cfRule type="cellIs" dxfId="3220" priority="6380" stopIfTrue="1" operator="equal">
      <formula>#REF!</formula>
    </cfRule>
    <cfRule type="cellIs" dxfId="3219" priority="6379" stopIfTrue="1" operator="equal">
      <formula>#REF!</formula>
    </cfRule>
    <cfRule type="cellIs" dxfId="3218" priority="6802" stopIfTrue="1" operator="equal">
      <formula>#REF!</formula>
    </cfRule>
    <cfRule type="cellIs" dxfId="3217" priority="6803" stopIfTrue="1" operator="equal">
      <formula>#REF!</formula>
    </cfRule>
    <cfRule type="cellIs" dxfId="3216" priority="6479" stopIfTrue="1" operator="equal">
      <formula>#REF!</formula>
    </cfRule>
    <cfRule type="cellIs" dxfId="3215" priority="7108" stopIfTrue="1" operator="equal">
      <formula>#REF!</formula>
    </cfRule>
    <cfRule type="cellIs" dxfId="3214" priority="7109" stopIfTrue="1" operator="equal">
      <formula>#REF!</formula>
    </cfRule>
    <cfRule type="cellIs" dxfId="3213" priority="6686" stopIfTrue="1" operator="equal">
      <formula>#REF!</formula>
    </cfRule>
    <cfRule type="cellIs" dxfId="3212" priority="7009" stopIfTrue="1" operator="equal">
      <formula>#REF!</formula>
    </cfRule>
    <cfRule type="cellIs" dxfId="3211" priority="7010" stopIfTrue="1" operator="equal">
      <formula>#REF!</formula>
    </cfRule>
    <cfRule type="cellIs" dxfId="3210" priority="6478" stopIfTrue="1" operator="equal">
      <formula>#REF!</formula>
    </cfRule>
    <cfRule type="cellIs" dxfId="3209" priority="6587" stopIfTrue="1" operator="equal">
      <formula>#REF!</formula>
    </cfRule>
  </conditionalFormatting>
  <conditionalFormatting sqref="CT131:CU141">
    <cfRule type="cellIs" dxfId="3208" priority="6101" stopIfTrue="1" operator="equal">
      <formula>#REF!</formula>
    </cfRule>
    <cfRule type="cellIs" dxfId="3207" priority="5677" stopIfTrue="1" operator="equal">
      <formula>#REF!</formula>
    </cfRule>
    <cfRule type="cellIs" dxfId="3206" priority="5678" stopIfTrue="1" operator="equal">
      <formula>#REF!</formula>
    </cfRule>
    <cfRule type="cellIs" dxfId="3205" priority="6200" stopIfTrue="1" operator="equal">
      <formula>#REF!</formula>
    </cfRule>
    <cfRule type="cellIs" dxfId="3204" priority="5570" stopIfTrue="1" operator="equal">
      <formula>#REF!</formula>
    </cfRule>
    <cfRule type="cellIs" dxfId="3203" priority="5776" stopIfTrue="1" operator="equal">
      <formula>#REF!</formula>
    </cfRule>
    <cfRule type="cellIs" dxfId="3202" priority="6199" stopIfTrue="1" operator="equal">
      <formula>#REF!</formula>
    </cfRule>
    <cfRule type="cellIs" dxfId="3201" priority="5569" stopIfTrue="1" operator="equal">
      <formula>#REF!</formula>
    </cfRule>
    <cfRule type="cellIs" dxfId="3200" priority="5777" stopIfTrue="1" operator="equal">
      <formula>#REF!</formula>
    </cfRule>
    <cfRule type="cellIs" dxfId="3199" priority="5471" stopIfTrue="1" operator="equal">
      <formula>#REF!</formula>
    </cfRule>
    <cfRule type="cellIs" dxfId="3198" priority="5993" stopIfTrue="1" operator="equal">
      <formula>#REF!</formula>
    </cfRule>
    <cfRule type="cellIs" dxfId="3197" priority="5894" stopIfTrue="1" operator="equal">
      <formula>#REF!</formula>
    </cfRule>
    <cfRule type="cellIs" dxfId="3196" priority="6100" stopIfTrue="1" operator="equal">
      <formula>#REF!</formula>
    </cfRule>
    <cfRule type="cellIs" dxfId="3195" priority="5470" stopIfTrue="1" operator="equal">
      <formula>#REF!</formula>
    </cfRule>
    <cfRule type="cellIs" dxfId="3194" priority="5992" stopIfTrue="1" operator="equal">
      <formula>#REF!</formula>
    </cfRule>
    <cfRule type="cellIs" dxfId="3193" priority="5893" stopIfTrue="1" operator="equal">
      <formula>#REF!</formula>
    </cfRule>
  </conditionalFormatting>
  <conditionalFormatting sqref="CT142:CU143">
    <cfRule type="cellIs" dxfId="3192" priority="4786" stopIfTrue="1" operator="equal">
      <formula>#REF!</formula>
    </cfRule>
    <cfRule type="cellIs" dxfId="3191" priority="5102" stopIfTrue="1" operator="equal">
      <formula>#REF!</formula>
    </cfRule>
    <cfRule type="cellIs" dxfId="3190" priority="5002" stopIfTrue="1" operator="equal">
      <formula>#REF!</formula>
    </cfRule>
    <cfRule type="cellIs" dxfId="3189" priority="4579" stopIfTrue="1" operator="equal">
      <formula>#REF!</formula>
    </cfRule>
    <cfRule type="cellIs" dxfId="3188" priority="5003" stopIfTrue="1" operator="equal">
      <formula>#REF!</formula>
    </cfRule>
    <cfRule type="cellIs" dxfId="3187" priority="5101" stopIfTrue="1" operator="equal">
      <formula>#REF!</formula>
    </cfRule>
    <cfRule type="cellIs" dxfId="3186" priority="4678" stopIfTrue="1" operator="equal">
      <formula>#REF!</formula>
    </cfRule>
    <cfRule type="cellIs" dxfId="3185" priority="4885" stopIfTrue="1" operator="equal">
      <formula>#REF!</formula>
    </cfRule>
    <cfRule type="cellIs" dxfId="3184" priority="5210" stopIfTrue="1" operator="equal">
      <formula>#REF!</formula>
    </cfRule>
    <cfRule type="cellIs" dxfId="3183" priority="5209" stopIfTrue="1" operator="equal">
      <formula>#REF!</formula>
    </cfRule>
    <cfRule type="cellIs" dxfId="3182" priority="5309" stopIfTrue="1" operator="equal">
      <formula>#REF!</formula>
    </cfRule>
    <cfRule type="cellIs" dxfId="3181" priority="5308" stopIfTrue="1" operator="equal">
      <formula>#REF!</formula>
    </cfRule>
  </conditionalFormatting>
  <conditionalFormatting sqref="CT144:CU173">
    <cfRule type="cellIs" dxfId="3180" priority="4111" stopIfTrue="1" operator="equal">
      <formula>#REF!</formula>
    </cfRule>
    <cfRule type="cellIs" dxfId="3179" priority="3688" stopIfTrue="1" operator="equal">
      <formula>#REF!</formula>
    </cfRule>
    <cfRule type="cellIs" dxfId="3178" priority="3895" stopIfTrue="1" operator="equal">
      <formula>#REF!</formula>
    </cfRule>
    <cfRule type="cellIs" dxfId="3177" priority="4318" stopIfTrue="1" operator="equal">
      <formula>#REF!</formula>
    </cfRule>
    <cfRule type="cellIs" dxfId="3176" priority="4417" stopIfTrue="1" operator="equal">
      <formula>#REF!</formula>
    </cfRule>
    <cfRule type="cellIs" dxfId="3175" priority="4210" stopIfTrue="1" operator="equal">
      <formula>#REF!</formula>
    </cfRule>
    <cfRule type="cellIs" dxfId="3174" priority="3994" stopIfTrue="1" operator="equal">
      <formula>#REF!</formula>
    </cfRule>
    <cfRule type="cellIs" dxfId="3173" priority="3787" stopIfTrue="1" operator="equal">
      <formula>#REF!</formula>
    </cfRule>
  </conditionalFormatting>
  <conditionalFormatting sqref="CT174:CU199">
    <cfRule type="cellIs" dxfId="3172" priority="322" stopIfTrue="1" operator="equal">
      <formula>#REF!</formula>
    </cfRule>
    <cfRule type="cellIs" dxfId="3171" priority="421" stopIfTrue="1" operator="equal">
      <formula>#REF!</formula>
    </cfRule>
    <cfRule type="cellIs" dxfId="3170" priority="745" stopIfTrue="1" operator="equal">
      <formula>#REF!</formula>
    </cfRule>
    <cfRule type="cellIs" dxfId="3169" priority="214" stopIfTrue="1" operator="equal">
      <formula>#REF!</formula>
    </cfRule>
    <cfRule type="cellIs" dxfId="3168" priority="115" stopIfTrue="1" operator="equal">
      <formula>#REF!</formula>
    </cfRule>
    <cfRule type="cellIs" dxfId="3167" priority="637" stopIfTrue="1" operator="equal">
      <formula>#REF!</formula>
    </cfRule>
    <cfRule type="cellIs" dxfId="3166" priority="844" stopIfTrue="1" operator="equal">
      <formula>#REF!</formula>
    </cfRule>
    <cfRule type="cellIs" dxfId="3165" priority="538" stopIfTrue="1" operator="equal">
      <formula>#REF!</formula>
    </cfRule>
  </conditionalFormatting>
  <conditionalFormatting sqref="CT110:CV110">
    <cfRule type="cellIs" dxfId="3164" priority="8845" stopIfTrue="1" operator="equal">
      <formula>#REF!</formula>
    </cfRule>
  </conditionalFormatting>
  <conditionalFormatting sqref="CU110">
    <cfRule type="cellIs" dxfId="3163" priority="8842" stopIfTrue="1" operator="equal">
      <formula>#REF!</formula>
    </cfRule>
    <cfRule type="cellIs" dxfId="3162" priority="8841" stopIfTrue="1" operator="between">
      <formula>#REF!</formula>
      <formula>#REF!</formula>
    </cfRule>
    <cfRule type="cellIs" dxfId="3161" priority="8844" stopIfTrue="1" operator="between">
      <formula>#REF!</formula>
      <formula>#REF!</formula>
    </cfRule>
    <cfRule type="cellIs" dxfId="3160" priority="8843" stopIfTrue="1" operator="equal">
      <formula>#REF!</formula>
    </cfRule>
    <cfRule type="cellIs" dxfId="3159" priority="8847" stopIfTrue="1" operator="between">
      <formula>#REF!</formula>
      <formula>#REF!</formula>
    </cfRule>
  </conditionalFormatting>
  <conditionalFormatting sqref="CU110:CU111">
    <cfRule type="cellIs" dxfId="3158" priority="8728" stopIfTrue="1" operator="equal">
      <formula>#REF!</formula>
    </cfRule>
    <cfRule type="cellIs" dxfId="3157" priority="8729" stopIfTrue="1" operator="equal">
      <formula>#REF!</formula>
    </cfRule>
  </conditionalFormatting>
  <conditionalFormatting sqref="CU111">
    <cfRule type="cellIs" dxfId="3156" priority="8727" stopIfTrue="1" operator="between">
      <formula>#REF!</formula>
      <formula>#REF!</formula>
    </cfRule>
    <cfRule type="cellIs" dxfId="3155" priority="8724" stopIfTrue="1" operator="between">
      <formula>#REF!</formula>
      <formula>#REF!</formula>
    </cfRule>
    <cfRule type="cellIs" dxfId="3154" priority="8730" stopIfTrue="1" operator="between">
      <formula>#REF!</formula>
      <formula>#REF!</formula>
    </cfRule>
  </conditionalFormatting>
  <conditionalFormatting sqref="CU112">
    <cfRule type="cellIs" dxfId="3153" priority="8598" stopIfTrue="1" operator="between">
      <formula>#REF!</formula>
      <formula>#REF!</formula>
    </cfRule>
    <cfRule type="cellIs" dxfId="3152" priority="8599" stopIfTrue="1" operator="equal">
      <formula>#REF!</formula>
    </cfRule>
    <cfRule type="cellIs" dxfId="3151" priority="8600" stopIfTrue="1" operator="equal">
      <formula>#REF!</formula>
    </cfRule>
    <cfRule type="cellIs" dxfId="3150" priority="8604" stopIfTrue="1" operator="between">
      <formula>#REF!</formula>
      <formula>#REF!</formula>
    </cfRule>
    <cfRule type="cellIs" dxfId="3149" priority="8601" stopIfTrue="1" operator="between">
      <formula>#REF!</formula>
      <formula>#REF!</formula>
    </cfRule>
  </conditionalFormatting>
  <conditionalFormatting sqref="CU113">
    <cfRule type="cellIs" dxfId="3148" priority="8469" stopIfTrue="1" operator="between">
      <formula>#REF!</formula>
      <formula>#REF!</formula>
    </cfRule>
    <cfRule type="cellIs" dxfId="3147" priority="8466" stopIfTrue="1" operator="between">
      <formula>#REF!</formula>
      <formula>#REF!</formula>
    </cfRule>
    <cfRule type="cellIs" dxfId="3146" priority="8465" stopIfTrue="1" operator="equal">
      <formula>#REF!</formula>
    </cfRule>
    <cfRule type="cellIs" dxfId="3145" priority="8463" stopIfTrue="1" operator="between">
      <formula>#REF!</formula>
      <formula>#REF!</formula>
    </cfRule>
    <cfRule type="cellIs" dxfId="3144" priority="8464" stopIfTrue="1" operator="equal">
      <formula>#REF!</formula>
    </cfRule>
  </conditionalFormatting>
  <conditionalFormatting sqref="CU114:CU115">
    <cfRule type="cellIs" dxfId="3143" priority="8319" stopIfTrue="1" operator="between">
      <formula>#REF!</formula>
      <formula>#REF!</formula>
    </cfRule>
    <cfRule type="cellIs" dxfId="3142" priority="8320" stopIfTrue="1" operator="equal">
      <formula>#REF!</formula>
    </cfRule>
    <cfRule type="cellIs" dxfId="3141" priority="8321" stopIfTrue="1" operator="equal">
      <formula>#REF!</formula>
    </cfRule>
    <cfRule type="cellIs" dxfId="3140" priority="8322" stopIfTrue="1" operator="between">
      <formula>#REF!</formula>
      <formula>#REF!</formula>
    </cfRule>
    <cfRule type="cellIs" dxfId="3139" priority="8325" stopIfTrue="1" operator="between">
      <formula>#REF!</formula>
      <formula>#REF!</formula>
    </cfRule>
  </conditionalFormatting>
  <conditionalFormatting sqref="CU116">
    <cfRule type="cellIs" dxfId="3138" priority="8157" stopIfTrue="1" operator="between">
      <formula>#REF!</formula>
      <formula>#REF!</formula>
    </cfRule>
    <cfRule type="cellIs" dxfId="3137" priority="8158" stopIfTrue="1" operator="equal">
      <formula>#REF!</formula>
    </cfRule>
    <cfRule type="cellIs" dxfId="3136" priority="8159" stopIfTrue="1" operator="equal">
      <formula>#REF!</formula>
    </cfRule>
    <cfRule type="cellIs" dxfId="3135" priority="8160" stopIfTrue="1" operator="between">
      <formula>#REF!</formula>
      <formula>#REF!</formula>
    </cfRule>
    <cfRule type="cellIs" dxfId="3134" priority="8163" stopIfTrue="1" operator="between">
      <formula>#REF!</formula>
      <formula>#REF!</formula>
    </cfRule>
  </conditionalFormatting>
  <conditionalFormatting sqref="CU117:CU129">
    <cfRule type="cellIs" dxfId="3133" priority="8019" stopIfTrue="1" operator="between">
      <formula>#REF!</formula>
      <formula>#REF!</formula>
    </cfRule>
    <cfRule type="cellIs" dxfId="3132" priority="8013" stopIfTrue="1" operator="between">
      <formula>#REF!</formula>
      <formula>#REF!</formula>
    </cfRule>
    <cfRule type="cellIs" dxfId="3131" priority="8014" stopIfTrue="1" operator="equal">
      <formula>#REF!</formula>
    </cfRule>
    <cfRule type="cellIs" dxfId="3130" priority="8015" stopIfTrue="1" operator="equal">
      <formula>#REF!</formula>
    </cfRule>
    <cfRule type="cellIs" dxfId="3129" priority="8016" stopIfTrue="1" operator="between">
      <formula>#REF!</formula>
      <formula>#REF!</formula>
    </cfRule>
  </conditionalFormatting>
  <conditionalFormatting sqref="CU121:CU129">
    <cfRule type="cellIs" dxfId="3128" priority="7915" stopIfTrue="1" operator="equal">
      <formula>#REF!</formula>
    </cfRule>
    <cfRule type="cellIs" dxfId="3127" priority="7920" stopIfTrue="1" operator="between">
      <formula>#REF!</formula>
      <formula>#REF!</formula>
    </cfRule>
    <cfRule type="cellIs" dxfId="3126" priority="7917" stopIfTrue="1" operator="between">
      <formula>#REF!</formula>
      <formula>#REF!</formula>
    </cfRule>
    <cfRule type="cellIs" dxfId="3125" priority="7916" stopIfTrue="1" operator="equal">
      <formula>#REF!</formula>
    </cfRule>
    <cfRule type="cellIs" dxfId="3124" priority="7914" stopIfTrue="1" operator="between">
      <formula>#REF!</formula>
      <formula>#REF!</formula>
    </cfRule>
  </conditionalFormatting>
  <conditionalFormatting sqref="CU125:CU129">
    <cfRule type="cellIs" dxfId="3123" priority="7713" stopIfTrue="1" operator="between">
      <formula>#REF!</formula>
      <formula>#REF!</formula>
    </cfRule>
    <cfRule type="cellIs" dxfId="3122" priority="7812" stopIfTrue="1" operator="between">
      <formula>#REF!</formula>
      <formula>#REF!</formula>
    </cfRule>
    <cfRule type="cellIs" dxfId="3121" priority="7808" stopIfTrue="1" operator="equal">
      <formula>#REF!</formula>
    </cfRule>
    <cfRule type="cellIs" dxfId="3120" priority="7809" stopIfTrue="1" operator="between">
      <formula>#REF!</formula>
      <formula>#REF!</formula>
    </cfRule>
    <cfRule type="cellIs" dxfId="3119" priority="7806" stopIfTrue="1" operator="between">
      <formula>#REF!</formula>
      <formula>#REF!</formula>
    </cfRule>
    <cfRule type="cellIs" dxfId="3118" priority="7710" stopIfTrue="1" operator="between">
      <formula>#REF!</formula>
      <formula>#REF!</formula>
    </cfRule>
    <cfRule type="cellIs" dxfId="3117" priority="7709" stopIfTrue="1" operator="equal">
      <formula>#REF!</formula>
    </cfRule>
    <cfRule type="cellIs" dxfId="3116" priority="7707" stopIfTrue="1" operator="between">
      <formula>#REF!</formula>
      <formula>#REF!</formula>
    </cfRule>
    <cfRule type="cellIs" dxfId="3115" priority="7807" stopIfTrue="1" operator="equal">
      <formula>#REF!</formula>
    </cfRule>
    <cfRule type="cellIs" dxfId="3114" priority="7708" stopIfTrue="1" operator="equal">
      <formula>#REF!</formula>
    </cfRule>
  </conditionalFormatting>
  <conditionalFormatting sqref="CU126:CU129">
    <cfRule type="cellIs" dxfId="3113" priority="7491" stopIfTrue="1" operator="between">
      <formula>#REF!</formula>
      <formula>#REF!</formula>
    </cfRule>
    <cfRule type="cellIs" dxfId="3112" priority="7290" stopIfTrue="1" operator="between">
      <formula>#REF!</formula>
      <formula>#REF!</formula>
    </cfRule>
    <cfRule type="cellIs" dxfId="3111" priority="7287" stopIfTrue="1" operator="between">
      <formula>#REF!</formula>
      <formula>#REF!</formula>
    </cfRule>
    <cfRule type="cellIs" dxfId="3110" priority="7286" stopIfTrue="1" operator="equal">
      <formula>#REF!</formula>
    </cfRule>
    <cfRule type="cellIs" dxfId="3109" priority="7285" stopIfTrue="1" operator="equal">
      <formula>#REF!</formula>
    </cfRule>
    <cfRule type="cellIs" dxfId="3108" priority="7389" stopIfTrue="1" operator="between">
      <formula>#REF!</formula>
      <formula>#REF!</formula>
    </cfRule>
    <cfRule type="cellIs" dxfId="3107" priority="7590" stopIfTrue="1" operator="between">
      <formula>#REF!</formula>
      <formula>#REF!</formula>
    </cfRule>
    <cfRule type="cellIs" dxfId="3106" priority="7591" stopIfTrue="1" operator="equal">
      <formula>#REF!</formula>
    </cfRule>
    <cfRule type="cellIs" dxfId="3105" priority="7592" stopIfTrue="1" operator="equal">
      <formula>#REF!</formula>
    </cfRule>
    <cfRule type="cellIs" dxfId="3104" priority="7284" stopIfTrue="1" operator="between">
      <formula>#REF!</formula>
      <formula>#REF!</formula>
    </cfRule>
    <cfRule type="cellIs" dxfId="3103" priority="7596" stopIfTrue="1" operator="between">
      <formula>#REF!</formula>
      <formula>#REF!</formula>
    </cfRule>
    <cfRule type="cellIs" dxfId="3102" priority="7386" stopIfTrue="1" operator="between">
      <formula>#REF!</formula>
      <formula>#REF!</formula>
    </cfRule>
    <cfRule type="cellIs" dxfId="3101" priority="7385" stopIfTrue="1" operator="equal">
      <formula>#REF!</formula>
    </cfRule>
    <cfRule type="cellIs" dxfId="3100" priority="7384" stopIfTrue="1" operator="equal">
      <formula>#REF!</formula>
    </cfRule>
    <cfRule type="cellIs" dxfId="3099" priority="7383" stopIfTrue="1" operator="between">
      <formula>#REF!</formula>
      <formula>#REF!</formula>
    </cfRule>
    <cfRule type="cellIs" dxfId="3098" priority="7593" stopIfTrue="1" operator="between">
      <formula>#REF!</formula>
      <formula>#REF!</formula>
    </cfRule>
    <cfRule type="cellIs" dxfId="3097" priority="7497" stopIfTrue="1" operator="between">
      <formula>#REF!</formula>
      <formula>#REF!</formula>
    </cfRule>
    <cfRule type="cellIs" dxfId="3096" priority="7494" stopIfTrue="1" operator="between">
      <formula>#REF!</formula>
      <formula>#REF!</formula>
    </cfRule>
    <cfRule type="cellIs" dxfId="3095" priority="7493" stopIfTrue="1" operator="equal">
      <formula>#REF!</formula>
    </cfRule>
    <cfRule type="cellIs" dxfId="3094" priority="7492" stopIfTrue="1" operator="equal">
      <formula>#REF!</formula>
    </cfRule>
  </conditionalFormatting>
  <conditionalFormatting sqref="CU130">
    <cfRule type="cellIs" dxfId="3093" priority="6684" stopIfTrue="1" operator="between">
      <formula>#REF!</formula>
      <formula>#REF!</formula>
    </cfRule>
    <cfRule type="cellIs" dxfId="3092" priority="6375" stopIfTrue="1" operator="between">
      <formula>#REF!</formula>
      <formula>#REF!</formula>
    </cfRule>
    <cfRule type="cellIs" dxfId="3091" priority="6376" stopIfTrue="1" operator="equal">
      <formula>#REF!</formula>
    </cfRule>
    <cfRule type="cellIs" dxfId="3090" priority="6377" stopIfTrue="1" operator="equal">
      <formula>#REF!</formula>
    </cfRule>
    <cfRule type="cellIs" dxfId="3089" priority="6381" stopIfTrue="1" operator="between">
      <formula>#REF!</formula>
      <formula>#REF!</formula>
    </cfRule>
    <cfRule type="cellIs" dxfId="3088" priority="6378" stopIfTrue="1" operator="between">
      <formula>#REF!</formula>
      <formula>#REF!</formula>
    </cfRule>
    <cfRule type="cellIs" dxfId="3087" priority="6476" stopIfTrue="1" operator="equal">
      <formula>#REF!</formula>
    </cfRule>
    <cfRule type="cellIs" dxfId="3086" priority="7110" stopIfTrue="1" operator="between">
      <formula>#REF!</formula>
      <formula>#REF!</formula>
    </cfRule>
    <cfRule type="cellIs" dxfId="3085" priority="6582" stopIfTrue="1" operator="between">
      <formula>#REF!</formula>
      <formula>#REF!</formula>
    </cfRule>
    <cfRule type="cellIs" dxfId="3084" priority="7107" stopIfTrue="1" operator="between">
      <formula>#REF!</formula>
      <formula>#REF!</formula>
    </cfRule>
    <cfRule type="cellIs" dxfId="3083" priority="6681" stopIfTrue="1" operator="between">
      <formula>#REF!</formula>
      <formula>#REF!</formula>
    </cfRule>
    <cfRule type="cellIs" dxfId="3082" priority="6480" stopIfTrue="1" operator="between">
      <formula>#REF!</formula>
      <formula>#REF!</formula>
    </cfRule>
    <cfRule type="cellIs" dxfId="3081" priority="7106" stopIfTrue="1" operator="equal">
      <formula>#REF!</formula>
    </cfRule>
    <cfRule type="cellIs" dxfId="3080" priority="6583" stopIfTrue="1" operator="equal">
      <formula>#REF!</formula>
    </cfRule>
    <cfRule type="cellIs" dxfId="3079" priority="6584" stopIfTrue="1" operator="equal">
      <formula>#REF!</formula>
    </cfRule>
    <cfRule type="cellIs" dxfId="3078" priority="6585" stopIfTrue="1" operator="between">
      <formula>#REF!</formula>
      <formula>#REF!</formula>
    </cfRule>
    <cfRule type="cellIs" dxfId="3077" priority="6588" stopIfTrue="1" operator="between">
      <formula>#REF!</formula>
      <formula>#REF!</formula>
    </cfRule>
    <cfRule type="cellIs" dxfId="3076" priority="6682" stopIfTrue="1" operator="equal">
      <formula>#REF!</formula>
    </cfRule>
    <cfRule type="cellIs" dxfId="3075" priority="7105" stopIfTrue="1" operator="equal">
      <formula>#REF!</formula>
    </cfRule>
    <cfRule type="cellIs" dxfId="3074" priority="7005" stopIfTrue="1" operator="between">
      <formula>#REF!</formula>
      <formula>#REF!</formula>
    </cfRule>
    <cfRule type="cellIs" dxfId="3073" priority="7006" stopIfTrue="1" operator="equal">
      <formula>#REF!</formula>
    </cfRule>
    <cfRule type="cellIs" dxfId="3072" priority="6683" stopIfTrue="1" operator="equal">
      <formula>#REF!</formula>
    </cfRule>
    <cfRule type="cellIs" dxfId="3071" priority="7104" stopIfTrue="1" operator="between">
      <formula>#REF!</formula>
      <formula>#REF!</formula>
    </cfRule>
    <cfRule type="cellIs" dxfId="3070" priority="6475" stopIfTrue="1" operator="equal">
      <formula>#REF!</formula>
    </cfRule>
    <cfRule type="cellIs" dxfId="3069" priority="7007" stopIfTrue="1" operator="equal">
      <formula>#REF!</formula>
    </cfRule>
    <cfRule type="cellIs" dxfId="3068" priority="7008" stopIfTrue="1" operator="between">
      <formula>#REF!</formula>
      <formula>#REF!</formula>
    </cfRule>
    <cfRule type="cellIs" dxfId="3067" priority="6800" stopIfTrue="1" operator="equal">
      <formula>#REF!</formula>
    </cfRule>
    <cfRule type="cellIs" dxfId="3066" priority="6801" stopIfTrue="1" operator="between">
      <formula>#REF!</formula>
      <formula>#REF!</formula>
    </cfRule>
    <cfRule type="cellIs" dxfId="3065" priority="6799" stopIfTrue="1" operator="equal">
      <formula>#REF!</formula>
    </cfRule>
    <cfRule type="cellIs" dxfId="3064" priority="6798" stopIfTrue="1" operator="between">
      <formula>#REF!</formula>
      <formula>#REF!</formula>
    </cfRule>
    <cfRule type="cellIs" dxfId="3063" priority="6804" stopIfTrue="1" operator="between">
      <formula>#REF!</formula>
      <formula>#REF!</formula>
    </cfRule>
    <cfRule type="cellIs" dxfId="3062" priority="6474" stopIfTrue="1" operator="between">
      <formula>#REF!</formula>
      <formula>#REF!</formula>
    </cfRule>
    <cfRule type="cellIs" dxfId="3061" priority="6477" stopIfTrue="1" operator="between">
      <formula>#REF!</formula>
      <formula>#REF!</formula>
    </cfRule>
    <cfRule type="cellIs" dxfId="3060" priority="7011" stopIfTrue="1" operator="between">
      <formula>#REF!</formula>
      <formula>#REF!</formula>
    </cfRule>
    <cfRule type="cellIs" dxfId="3059" priority="6899" stopIfTrue="1" operator="equal">
      <formula>#REF!</formula>
    </cfRule>
    <cfRule type="cellIs" dxfId="3058" priority="6687" stopIfTrue="1" operator="between">
      <formula>#REF!</formula>
      <formula>#REF!</formula>
    </cfRule>
    <cfRule type="cellIs" dxfId="3057" priority="6898" stopIfTrue="1" operator="equal">
      <formula>#REF!</formula>
    </cfRule>
    <cfRule type="cellIs" dxfId="3056" priority="6897" stopIfTrue="1" operator="between">
      <formula>#REF!</formula>
      <formula>#REF!</formula>
    </cfRule>
    <cfRule type="cellIs" dxfId="3055" priority="6900" stopIfTrue="1" operator="between">
      <formula>#REF!</formula>
      <formula>#REF!</formula>
    </cfRule>
    <cfRule type="cellIs" dxfId="3054" priority="6903" stopIfTrue="1" operator="between">
      <formula>#REF!</formula>
      <formula>#REF!</formula>
    </cfRule>
  </conditionalFormatting>
  <conditionalFormatting sqref="CU131:CU141">
    <cfRule type="cellIs" dxfId="3053" priority="5774" stopIfTrue="1" operator="equal">
      <formula>#REF!</formula>
    </cfRule>
    <cfRule type="cellIs" dxfId="3052" priority="5773" stopIfTrue="1" operator="equal">
      <formula>#REF!</formula>
    </cfRule>
    <cfRule type="cellIs" dxfId="3051" priority="5772" stopIfTrue="1" operator="between">
      <formula>#REF!</formula>
      <formula>#REF!</formula>
    </cfRule>
    <cfRule type="cellIs" dxfId="3050" priority="5472" stopIfTrue="1" operator="between">
      <formula>#REF!</formula>
      <formula>#REF!</formula>
    </cfRule>
    <cfRule type="cellIs" dxfId="3049" priority="6096" stopIfTrue="1" operator="between">
      <formula>#REF!</formula>
      <formula>#REF!</formula>
    </cfRule>
    <cfRule type="cellIs" dxfId="3048" priority="5469" stopIfTrue="1" operator="between">
      <formula>#REF!</formula>
      <formula>#REF!</formula>
    </cfRule>
    <cfRule type="cellIs" dxfId="3047" priority="5468" stopIfTrue="1" operator="equal">
      <formula>#REF!</formula>
    </cfRule>
    <cfRule type="cellIs" dxfId="3046" priority="5467" stopIfTrue="1" operator="equal">
      <formula>#REF!</formula>
    </cfRule>
    <cfRule type="cellIs" dxfId="3045" priority="5466" stopIfTrue="1" operator="between">
      <formula>#REF!</formula>
      <formula>#REF!</formula>
    </cfRule>
    <cfRule type="cellIs" dxfId="3044" priority="6097" stopIfTrue="1" operator="equal">
      <formula>#REF!</formula>
    </cfRule>
    <cfRule type="cellIs" dxfId="3043" priority="5673" stopIfTrue="1" operator="between">
      <formula>#REF!</formula>
      <formula>#REF!</formula>
    </cfRule>
    <cfRule type="cellIs" dxfId="3042" priority="5674" stopIfTrue="1" operator="equal">
      <formula>#REF!</formula>
    </cfRule>
    <cfRule type="cellIs" dxfId="3041" priority="5675" stopIfTrue="1" operator="equal">
      <formula>#REF!</formula>
    </cfRule>
    <cfRule type="cellIs" dxfId="3040" priority="5676" stopIfTrue="1" operator="between">
      <formula>#REF!</formula>
      <formula>#REF!</formula>
    </cfRule>
    <cfRule type="cellIs" dxfId="3039" priority="5679" stopIfTrue="1" operator="between">
      <formula>#REF!</formula>
      <formula>#REF!</formula>
    </cfRule>
    <cfRule type="cellIs" dxfId="3038" priority="5991" stopIfTrue="1" operator="between">
      <formula>#REF!</formula>
      <formula>#REF!</formula>
    </cfRule>
    <cfRule type="cellIs" dxfId="3037" priority="6098" stopIfTrue="1" operator="equal">
      <formula>#REF!</formula>
    </cfRule>
    <cfRule type="cellIs" dxfId="3036" priority="6099" stopIfTrue="1" operator="between">
      <formula>#REF!</formula>
      <formula>#REF!</formula>
    </cfRule>
    <cfRule type="cellIs" dxfId="3035" priority="5994" stopIfTrue="1" operator="between">
      <formula>#REF!</formula>
      <formula>#REF!</formula>
    </cfRule>
    <cfRule type="cellIs" dxfId="3034" priority="5990" stopIfTrue="1" operator="equal">
      <formula>#REF!</formula>
    </cfRule>
    <cfRule type="cellIs" dxfId="3033" priority="5989" stopIfTrue="1" operator="equal">
      <formula>#REF!</formula>
    </cfRule>
    <cfRule type="cellIs" dxfId="3032" priority="5988" stopIfTrue="1" operator="between">
      <formula>#REF!</formula>
      <formula>#REF!</formula>
    </cfRule>
    <cfRule type="cellIs" dxfId="3031" priority="5566" stopIfTrue="1" operator="equal">
      <formula>#REF!</formula>
    </cfRule>
    <cfRule type="cellIs" dxfId="3030" priority="6102" stopIfTrue="1" operator="between">
      <formula>#REF!</formula>
      <formula>#REF!</formula>
    </cfRule>
    <cfRule type="cellIs" dxfId="3029" priority="5889" stopIfTrue="1" operator="between">
      <formula>#REF!</formula>
      <formula>#REF!</formula>
    </cfRule>
    <cfRule type="cellIs" dxfId="3028" priority="6195" stopIfTrue="1" operator="between">
      <formula>#REF!</formula>
      <formula>#REF!</formula>
    </cfRule>
    <cfRule type="cellIs" dxfId="3027" priority="6196" stopIfTrue="1" operator="equal">
      <formula>#REF!</formula>
    </cfRule>
    <cfRule type="cellIs" dxfId="3026" priority="6197" stopIfTrue="1" operator="equal">
      <formula>#REF!</formula>
    </cfRule>
    <cfRule type="cellIs" dxfId="3025" priority="6198" stopIfTrue="1" operator="between">
      <formula>#REF!</formula>
      <formula>#REF!</formula>
    </cfRule>
    <cfRule type="cellIs" dxfId="3024" priority="5890" stopIfTrue="1" operator="equal">
      <formula>#REF!</formula>
    </cfRule>
    <cfRule type="cellIs" dxfId="3023" priority="6201" stopIfTrue="1" operator="between">
      <formula>#REF!</formula>
      <formula>#REF!</formula>
    </cfRule>
    <cfRule type="cellIs" dxfId="3022" priority="5891" stopIfTrue="1" operator="equal">
      <formula>#REF!</formula>
    </cfRule>
    <cfRule type="cellIs" dxfId="3021" priority="5892" stopIfTrue="1" operator="between">
      <formula>#REF!</formula>
      <formula>#REF!</formula>
    </cfRule>
    <cfRule type="cellIs" dxfId="3020" priority="5895" stopIfTrue="1" operator="between">
      <formula>#REF!</formula>
      <formula>#REF!</formula>
    </cfRule>
    <cfRule type="cellIs" dxfId="3019" priority="5565" stopIfTrue="1" operator="between">
      <formula>#REF!</formula>
      <formula>#REF!</formula>
    </cfRule>
    <cfRule type="cellIs" dxfId="3018" priority="5567" stopIfTrue="1" operator="equal">
      <formula>#REF!</formula>
    </cfRule>
    <cfRule type="cellIs" dxfId="3017" priority="5568" stopIfTrue="1" operator="between">
      <formula>#REF!</formula>
      <formula>#REF!</formula>
    </cfRule>
    <cfRule type="cellIs" dxfId="3016" priority="5571" stopIfTrue="1" operator="between">
      <formula>#REF!</formula>
      <formula>#REF!</formula>
    </cfRule>
    <cfRule type="cellIs" dxfId="3015" priority="5778" stopIfTrue="1" operator="between">
      <formula>#REF!</formula>
      <formula>#REF!</formula>
    </cfRule>
    <cfRule type="cellIs" dxfId="3014" priority="5775" stopIfTrue="1" operator="between">
      <formula>#REF!</formula>
      <formula>#REF!</formula>
    </cfRule>
  </conditionalFormatting>
  <conditionalFormatting sqref="CU142:CU143">
    <cfRule type="cellIs" dxfId="3013" priority="5310" stopIfTrue="1" operator="between">
      <formula>#REF!</formula>
      <formula>#REF!</formula>
    </cfRule>
    <cfRule type="cellIs" dxfId="3012" priority="5207" stopIfTrue="1" operator="equal">
      <formula>#REF!</formula>
    </cfRule>
    <cfRule type="cellIs" dxfId="3011" priority="5206" stopIfTrue="1" operator="equal">
      <formula>#REF!</formula>
    </cfRule>
    <cfRule type="cellIs" dxfId="3010" priority="5205" stopIfTrue="1" operator="between">
      <formula>#REF!</formula>
      <formula>#REF!</formula>
    </cfRule>
    <cfRule type="cellIs" dxfId="3009" priority="4784" stopIfTrue="1" operator="equal">
      <formula>#REF!</formula>
    </cfRule>
    <cfRule type="cellIs" dxfId="3008" priority="4785" stopIfTrue="1" operator="between">
      <formula>#REF!</formula>
      <formula>#REF!</formula>
    </cfRule>
    <cfRule type="cellIs" dxfId="3007" priority="4787" stopIfTrue="1" operator="equal">
      <formula>#REF!</formula>
    </cfRule>
    <cfRule type="cellIs" dxfId="3006" priority="5304" stopIfTrue="1" operator="between">
      <formula>#REF!</formula>
      <formula>#REF!</formula>
    </cfRule>
    <cfRule type="cellIs" dxfId="3005" priority="4788" stopIfTrue="1" operator="between">
      <formula>#REF!</formula>
      <formula>#REF!</formula>
    </cfRule>
    <cfRule type="cellIs" dxfId="3004" priority="4577" stopIfTrue="1" operator="equal">
      <formula>#REF!</formula>
    </cfRule>
    <cfRule type="cellIs" dxfId="3003" priority="5100" stopIfTrue="1" operator="between">
      <formula>#REF!</formula>
      <formula>#REF!</formula>
    </cfRule>
    <cfRule type="cellIs" dxfId="3002" priority="4999" stopIfTrue="1" operator="equal">
      <formula>#REF!</formula>
    </cfRule>
    <cfRule type="cellIs" dxfId="3001" priority="4998" stopIfTrue="1" operator="between">
      <formula>#REF!</formula>
      <formula>#REF!</formula>
    </cfRule>
    <cfRule type="cellIs" dxfId="3000" priority="4781" stopIfTrue="1" operator="equal">
      <formula>#REF!</formula>
    </cfRule>
    <cfRule type="cellIs" dxfId="2999" priority="4581" stopIfTrue="1" operator="between">
      <formula>#REF!</formula>
      <formula>#REF!</formula>
    </cfRule>
    <cfRule type="cellIs" dxfId="2998" priority="5099" stopIfTrue="1" operator="equal">
      <formula>#REF!</formula>
    </cfRule>
    <cfRule type="cellIs" dxfId="2997" priority="5098" stopIfTrue="1" operator="equal">
      <formula>#REF!</formula>
    </cfRule>
    <cfRule type="cellIs" dxfId="2996" priority="5097" stopIfTrue="1" operator="between">
      <formula>#REF!</formula>
      <formula>#REF!</formula>
    </cfRule>
    <cfRule type="cellIs" dxfId="2995" priority="4880" stopIfTrue="1" operator="equal">
      <formula>#REF!</formula>
    </cfRule>
    <cfRule type="cellIs" dxfId="2994" priority="4881" stopIfTrue="1" operator="between">
      <formula>#REF!</formula>
      <formula>#REF!</formula>
    </cfRule>
    <cfRule type="cellIs" dxfId="2993" priority="4882" stopIfTrue="1" operator="equal">
      <formula>#REF!</formula>
    </cfRule>
    <cfRule type="cellIs" dxfId="2992" priority="4883" stopIfTrue="1" operator="equal">
      <formula>#REF!</formula>
    </cfRule>
    <cfRule type="cellIs" dxfId="2991" priority="4884" stopIfTrue="1" operator="between">
      <formula>#REF!</formula>
      <formula>#REF!</formula>
    </cfRule>
    <cfRule type="cellIs" dxfId="2990" priority="4886" stopIfTrue="1" operator="equal">
      <formula>#REF!</formula>
    </cfRule>
    <cfRule type="cellIs" dxfId="2989" priority="4887" stopIfTrue="1" operator="between">
      <formula>#REF!</formula>
      <formula>#REF!</formula>
    </cfRule>
    <cfRule type="cellIs" dxfId="2988" priority="4574" stopIfTrue="1" operator="equal">
      <formula>#REF!</formula>
    </cfRule>
    <cfRule type="cellIs" dxfId="2987" priority="5103" stopIfTrue="1" operator="between">
      <formula>#REF!</formula>
      <formula>#REF!</formula>
    </cfRule>
    <cfRule type="cellIs" dxfId="2986" priority="4578" stopIfTrue="1" operator="between">
      <formula>#REF!</formula>
      <formula>#REF!</formula>
    </cfRule>
    <cfRule type="cellIs" dxfId="2985" priority="5307" stopIfTrue="1" operator="between">
      <formula>#REF!</formula>
      <formula>#REF!</formula>
    </cfRule>
    <cfRule type="cellIs" dxfId="2984" priority="5211" stopIfTrue="1" operator="between">
      <formula>#REF!</formula>
      <formula>#REF!</formula>
    </cfRule>
    <cfRule type="cellIs" dxfId="2983" priority="5208" stopIfTrue="1" operator="between">
      <formula>#REF!</formula>
      <formula>#REF!</formula>
    </cfRule>
    <cfRule type="cellIs" dxfId="2982" priority="4576" stopIfTrue="1" operator="equal">
      <formula>#REF!</formula>
    </cfRule>
    <cfRule type="cellIs" dxfId="2981" priority="4680" stopIfTrue="1" operator="between">
      <formula>#REF!</formula>
      <formula>#REF!</formula>
    </cfRule>
    <cfRule type="cellIs" dxfId="2980" priority="4679" stopIfTrue="1" operator="equal">
      <formula>#REF!</formula>
    </cfRule>
    <cfRule type="cellIs" dxfId="2979" priority="4575" stopIfTrue="1" operator="between">
      <formula>#REF!</formula>
      <formula>#REF!</formula>
    </cfRule>
    <cfRule type="cellIs" dxfId="2978" priority="4677" stopIfTrue="1" operator="between">
      <formula>#REF!</formula>
      <formula>#REF!</formula>
    </cfRule>
    <cfRule type="cellIs" dxfId="2977" priority="4676" stopIfTrue="1" operator="equal">
      <formula>#REF!</formula>
    </cfRule>
    <cfRule type="cellIs" dxfId="2976" priority="4675" stopIfTrue="1" operator="equal">
      <formula>#REF!</formula>
    </cfRule>
    <cfRule type="cellIs" dxfId="2975" priority="4674" stopIfTrue="1" operator="between">
      <formula>#REF!</formula>
      <formula>#REF!</formula>
    </cfRule>
    <cfRule type="cellIs" dxfId="2974" priority="4673" stopIfTrue="1" operator="equal">
      <formula>#REF!</formula>
    </cfRule>
    <cfRule type="cellIs" dxfId="2973" priority="4580" stopIfTrue="1" operator="equal">
      <formula>#REF!</formula>
    </cfRule>
    <cfRule type="cellIs" dxfId="2972" priority="5000" stopIfTrue="1" operator="equal">
      <formula>#REF!</formula>
    </cfRule>
    <cfRule type="cellIs" dxfId="2971" priority="5001" stopIfTrue="1" operator="between">
      <formula>#REF!</formula>
      <formula>#REF!</formula>
    </cfRule>
    <cfRule type="cellIs" dxfId="2970" priority="5306" stopIfTrue="1" operator="equal">
      <formula>#REF!</formula>
    </cfRule>
    <cfRule type="cellIs" dxfId="2969" priority="5305" stopIfTrue="1" operator="equal">
      <formula>#REF!</formula>
    </cfRule>
    <cfRule type="cellIs" dxfId="2968" priority="5004" stopIfTrue="1" operator="between">
      <formula>#REF!</formula>
      <formula>#REF!</formula>
    </cfRule>
    <cfRule type="cellIs" dxfId="2967" priority="4782" stopIfTrue="1" operator="between">
      <formula>#REF!</formula>
      <formula>#REF!</formula>
    </cfRule>
    <cfRule type="cellIs" dxfId="2966" priority="4783" stopIfTrue="1" operator="equal">
      <formula>#REF!</formula>
    </cfRule>
  </conditionalFormatting>
  <conditionalFormatting sqref="CU144:CU173">
    <cfRule type="cellIs" dxfId="2965" priority="4205" stopIfTrue="1" operator="equal">
      <formula>#REF!</formula>
    </cfRule>
    <cfRule type="cellIs" dxfId="2964" priority="4320" stopIfTrue="1" operator="between">
      <formula>#REF!</formula>
      <formula>#REF!</formula>
    </cfRule>
    <cfRule type="cellIs" dxfId="2963" priority="3789" stopIfTrue="1" operator="between">
      <formula>#REF!</formula>
      <formula>#REF!</formula>
    </cfRule>
    <cfRule type="cellIs" dxfId="2962" priority="3788" stopIfTrue="1" operator="equal">
      <formula>#REF!</formula>
    </cfRule>
    <cfRule type="cellIs" dxfId="2961" priority="3786" stopIfTrue="1" operator="between">
      <formula>#REF!</formula>
      <formula>#REF!</formula>
    </cfRule>
    <cfRule type="cellIs" dxfId="2960" priority="4319" stopIfTrue="1" operator="equal">
      <formula>#REF!</formula>
    </cfRule>
    <cfRule type="cellIs" dxfId="2959" priority="3782" stopIfTrue="1" operator="equal">
      <formula>#REF!</formula>
    </cfRule>
    <cfRule type="cellIs" dxfId="2958" priority="3996" stopIfTrue="1" operator="between">
      <formula>#REF!</formula>
      <formula>#REF!</formula>
    </cfRule>
    <cfRule type="cellIs" dxfId="2957" priority="4419" stopIfTrue="1" operator="between">
      <formula>#REF!</formula>
      <formula>#REF!</formula>
    </cfRule>
    <cfRule type="cellIs" dxfId="2956" priority="4418" stopIfTrue="1" operator="equal">
      <formula>#REF!</formula>
    </cfRule>
    <cfRule type="cellIs" dxfId="2955" priority="4416" stopIfTrue="1" operator="between">
      <formula>#REF!</formula>
      <formula>#REF!</formula>
    </cfRule>
    <cfRule type="cellIs" dxfId="2954" priority="4415" stopIfTrue="1" operator="equal">
      <formula>#REF!</formula>
    </cfRule>
    <cfRule type="cellIs" dxfId="2953" priority="4414" stopIfTrue="1" operator="equal">
      <formula>#REF!</formula>
    </cfRule>
    <cfRule type="cellIs" dxfId="2952" priority="4413" stopIfTrue="1" operator="between">
      <formula>#REF!</formula>
      <formula>#REF!</formula>
    </cfRule>
    <cfRule type="cellIs" dxfId="2951" priority="3785" stopIfTrue="1" operator="equal">
      <formula>#REF!</formula>
    </cfRule>
    <cfRule type="cellIs" dxfId="2950" priority="3684" stopIfTrue="1" operator="between">
      <formula>#REF!</formula>
      <formula>#REF!</formula>
    </cfRule>
    <cfRule type="cellIs" dxfId="2949" priority="4313" stopIfTrue="1" operator="equal">
      <formula>#REF!</formula>
    </cfRule>
    <cfRule type="cellIs" dxfId="2948" priority="4314" stopIfTrue="1" operator="between">
      <formula>#REF!</formula>
      <formula>#REF!</formula>
    </cfRule>
    <cfRule type="cellIs" dxfId="2947" priority="4315" stopIfTrue="1" operator="equal">
      <formula>#REF!</formula>
    </cfRule>
    <cfRule type="cellIs" dxfId="2946" priority="4412" stopIfTrue="1" operator="equal">
      <formula>#REF!</formula>
    </cfRule>
    <cfRule type="cellIs" dxfId="2945" priority="4316" stopIfTrue="1" operator="equal">
      <formula>#REF!</formula>
    </cfRule>
    <cfRule type="cellIs" dxfId="2944" priority="4317" stopIfTrue="1" operator="between">
      <formula>#REF!</formula>
      <formula>#REF!</formula>
    </cfRule>
    <cfRule type="cellIs" dxfId="2943" priority="3784" stopIfTrue="1" operator="equal">
      <formula>#REF!</formula>
    </cfRule>
    <cfRule type="cellIs" dxfId="2942" priority="3989" stopIfTrue="1" operator="equal">
      <formula>#REF!</formula>
    </cfRule>
    <cfRule type="cellIs" dxfId="2941" priority="3990" stopIfTrue="1" operator="between">
      <formula>#REF!</formula>
      <formula>#REF!</formula>
    </cfRule>
    <cfRule type="cellIs" dxfId="2940" priority="3991" stopIfTrue="1" operator="equal">
      <formula>#REF!</formula>
    </cfRule>
    <cfRule type="cellIs" dxfId="2939" priority="3992" stopIfTrue="1" operator="equal">
      <formula>#REF!</formula>
    </cfRule>
    <cfRule type="cellIs" dxfId="2938" priority="3993" stopIfTrue="1" operator="between">
      <formula>#REF!</formula>
      <formula>#REF!</formula>
    </cfRule>
    <cfRule type="cellIs" dxfId="2937" priority="3783" stopIfTrue="1" operator="between">
      <formula>#REF!</formula>
      <formula>#REF!</formula>
    </cfRule>
    <cfRule type="cellIs" dxfId="2936" priority="3995" stopIfTrue="1" operator="equal">
      <formula>#REF!</formula>
    </cfRule>
    <cfRule type="cellIs" dxfId="2935" priority="3683" stopIfTrue="1" operator="equal">
      <formula>#REF!</formula>
    </cfRule>
    <cfRule type="cellIs" dxfId="2934" priority="3685" stopIfTrue="1" operator="equal">
      <formula>#REF!</formula>
    </cfRule>
    <cfRule type="cellIs" dxfId="2933" priority="4112" stopIfTrue="1" operator="equal">
      <formula>#REF!</formula>
    </cfRule>
    <cfRule type="cellIs" dxfId="2932" priority="4106" stopIfTrue="1" operator="equal">
      <formula>#REF!</formula>
    </cfRule>
    <cfRule type="cellIs" dxfId="2931" priority="4107" stopIfTrue="1" operator="between">
      <formula>#REF!</formula>
      <formula>#REF!</formula>
    </cfRule>
    <cfRule type="cellIs" dxfId="2930" priority="4108" stopIfTrue="1" operator="equal">
      <formula>#REF!</formula>
    </cfRule>
    <cfRule type="cellIs" dxfId="2929" priority="4109" stopIfTrue="1" operator="equal">
      <formula>#REF!</formula>
    </cfRule>
    <cfRule type="cellIs" dxfId="2928" priority="4110" stopIfTrue="1" operator="between">
      <formula>#REF!</formula>
      <formula>#REF!</formula>
    </cfRule>
    <cfRule type="cellIs" dxfId="2927" priority="4113" stopIfTrue="1" operator="between">
      <formula>#REF!</formula>
      <formula>#REF!</formula>
    </cfRule>
    <cfRule type="cellIs" dxfId="2926" priority="3686" stopIfTrue="1" operator="equal">
      <formula>#REF!</formula>
    </cfRule>
    <cfRule type="cellIs" dxfId="2925" priority="3687" stopIfTrue="1" operator="between">
      <formula>#REF!</formula>
      <formula>#REF!</formula>
    </cfRule>
    <cfRule type="cellIs" dxfId="2924" priority="3689" stopIfTrue="1" operator="equal">
      <formula>#REF!</formula>
    </cfRule>
    <cfRule type="cellIs" dxfId="2923" priority="4206" stopIfTrue="1" operator="between">
      <formula>#REF!</formula>
      <formula>#REF!</formula>
    </cfRule>
    <cfRule type="cellIs" dxfId="2922" priority="4207" stopIfTrue="1" operator="equal">
      <formula>#REF!</formula>
    </cfRule>
    <cfRule type="cellIs" dxfId="2921" priority="4208" stopIfTrue="1" operator="equal">
      <formula>#REF!</formula>
    </cfRule>
    <cfRule type="cellIs" dxfId="2920" priority="4209" stopIfTrue="1" operator="between">
      <formula>#REF!</formula>
      <formula>#REF!</formula>
    </cfRule>
    <cfRule type="cellIs" dxfId="2919" priority="4211" stopIfTrue="1" operator="equal">
      <formula>#REF!</formula>
    </cfRule>
    <cfRule type="cellIs" dxfId="2918" priority="4212" stopIfTrue="1" operator="between">
      <formula>#REF!</formula>
      <formula>#REF!</formula>
    </cfRule>
    <cfRule type="cellIs" dxfId="2917" priority="3690" stopIfTrue="1" operator="between">
      <formula>#REF!</formula>
      <formula>#REF!</formula>
    </cfRule>
    <cfRule type="cellIs" dxfId="2916" priority="3897" stopIfTrue="1" operator="between">
      <formula>#REF!</formula>
      <formula>#REF!</formula>
    </cfRule>
    <cfRule type="cellIs" dxfId="2915" priority="3896" stopIfTrue="1" operator="equal">
      <formula>#REF!</formula>
    </cfRule>
    <cfRule type="cellIs" dxfId="2914" priority="3894" stopIfTrue="1" operator="between">
      <formula>#REF!</formula>
      <formula>#REF!</formula>
    </cfRule>
    <cfRule type="cellIs" dxfId="2913" priority="3893" stopIfTrue="1" operator="equal">
      <formula>#REF!</formula>
    </cfRule>
    <cfRule type="cellIs" dxfId="2912" priority="3892" stopIfTrue="1" operator="equal">
      <formula>#REF!</formula>
    </cfRule>
    <cfRule type="cellIs" dxfId="2911" priority="3891" stopIfTrue="1" operator="between">
      <formula>#REF!</formula>
      <formula>#REF!</formula>
    </cfRule>
    <cfRule type="cellIs" dxfId="2910" priority="3890" stopIfTrue="1" operator="equal">
      <formula>#REF!</formula>
    </cfRule>
  </conditionalFormatting>
  <conditionalFormatting sqref="CU174:CU199">
    <cfRule type="cellIs" dxfId="2909" priority="846" stopIfTrue="1" operator="between">
      <formula>#REF!</formula>
      <formula>#REF!</formula>
    </cfRule>
    <cfRule type="cellIs" dxfId="2908" priority="845" stopIfTrue="1" operator="equal">
      <formula>#REF!</formula>
    </cfRule>
    <cfRule type="cellIs" dxfId="2907" priority="843" stopIfTrue="1" operator="between">
      <formula>#REF!</formula>
      <formula>#REF!</formula>
    </cfRule>
    <cfRule type="cellIs" dxfId="2906" priority="842" stopIfTrue="1" operator="equal">
      <formula>#REF!</formula>
    </cfRule>
    <cfRule type="cellIs" dxfId="2905" priority="841" stopIfTrue="1" operator="equal">
      <formula>#REF!</formula>
    </cfRule>
    <cfRule type="cellIs" dxfId="2904" priority="840" stopIfTrue="1" operator="between">
      <formula>#REF!</formula>
      <formula>#REF!</formula>
    </cfRule>
    <cfRule type="cellIs" dxfId="2903" priority="839" stopIfTrue="1" operator="equal">
      <formula>#REF!</formula>
    </cfRule>
    <cfRule type="cellIs" dxfId="2902" priority="747" stopIfTrue="1" operator="between">
      <formula>#REF!</formula>
      <formula>#REF!</formula>
    </cfRule>
    <cfRule type="cellIs" dxfId="2901" priority="746" stopIfTrue="1" operator="equal">
      <formula>#REF!</formula>
    </cfRule>
    <cfRule type="cellIs" dxfId="2900" priority="744" stopIfTrue="1" operator="between">
      <formula>#REF!</formula>
      <formula>#REF!</formula>
    </cfRule>
    <cfRule type="cellIs" dxfId="2899" priority="743" stopIfTrue="1" operator="equal">
      <formula>#REF!</formula>
    </cfRule>
    <cfRule type="cellIs" dxfId="2898" priority="540" stopIfTrue="1" operator="between">
      <formula>#REF!</formula>
      <formula>#REF!</formula>
    </cfRule>
    <cfRule type="cellIs" dxfId="2897" priority="535" stopIfTrue="1" operator="equal">
      <formula>#REF!</formula>
    </cfRule>
    <cfRule type="cellIs" dxfId="2896" priority="533" stopIfTrue="1" operator="equal">
      <formula>#REF!</formula>
    </cfRule>
    <cfRule type="cellIs" dxfId="2895" priority="113" stopIfTrue="1" operator="equal">
      <formula>#REF!</formula>
    </cfRule>
    <cfRule type="cellIs" dxfId="2894" priority="636" stopIfTrue="1" operator="between">
      <formula>#REF!</formula>
      <formula>#REF!</formula>
    </cfRule>
    <cfRule type="cellIs" dxfId="2893" priority="534" stopIfTrue="1" operator="between">
      <formula>#REF!</formula>
      <formula>#REF!</formula>
    </cfRule>
    <cfRule type="cellIs" dxfId="2892" priority="639" stopIfTrue="1" operator="between">
      <formula>#REF!</formula>
      <formula>#REF!</formula>
    </cfRule>
    <cfRule type="cellIs" dxfId="2891" priority="320" stopIfTrue="1" operator="equal">
      <formula>#REF!</formula>
    </cfRule>
    <cfRule type="cellIs" dxfId="2890" priority="321" stopIfTrue="1" operator="between">
      <formula>#REF!</formula>
      <formula>#REF!</formula>
    </cfRule>
    <cfRule type="cellIs" dxfId="2889" priority="635" stopIfTrue="1" operator="equal">
      <formula>#REF!</formula>
    </cfRule>
    <cfRule type="cellIs" dxfId="2888" priority="114" stopIfTrue="1" operator="between">
      <formula>#REF!</formula>
      <formula>#REF!</formula>
    </cfRule>
    <cfRule type="cellIs" dxfId="2887" priority="422" stopIfTrue="1" operator="equal">
      <formula>#REF!</formula>
    </cfRule>
    <cfRule type="cellIs" dxfId="2886" priority="116" stopIfTrue="1" operator="equal">
      <formula>#REF!</formula>
    </cfRule>
    <cfRule type="cellIs" dxfId="2885" priority="117" stopIfTrue="1" operator="between">
      <formula>#REF!</formula>
      <formula>#REF!</formula>
    </cfRule>
    <cfRule type="cellIs" dxfId="2884" priority="536" stopIfTrue="1" operator="equal">
      <formula>#REF!</formula>
    </cfRule>
    <cfRule type="cellIs" dxfId="2883" priority="323" stopIfTrue="1" operator="equal">
      <formula>#REF!</formula>
    </cfRule>
    <cfRule type="cellIs" dxfId="2882" priority="420" stopIfTrue="1" operator="between">
      <formula>#REF!</formula>
      <formula>#REF!</formula>
    </cfRule>
    <cfRule type="cellIs" dxfId="2881" priority="419" stopIfTrue="1" operator="equal">
      <formula>#REF!</formula>
    </cfRule>
    <cfRule type="cellIs" dxfId="2880" priority="740" stopIfTrue="1" operator="equal">
      <formula>#REF!</formula>
    </cfRule>
    <cfRule type="cellIs" dxfId="2879" priority="418" stopIfTrue="1" operator="equal">
      <formula>#REF!</formula>
    </cfRule>
    <cfRule type="cellIs" dxfId="2878" priority="741" stopIfTrue="1" operator="between">
      <formula>#REF!</formula>
      <formula>#REF!</formula>
    </cfRule>
    <cfRule type="cellIs" dxfId="2877" priority="417" stopIfTrue="1" operator="between">
      <formula>#REF!</formula>
      <formula>#REF!</formula>
    </cfRule>
    <cfRule type="cellIs" dxfId="2876" priority="742" stopIfTrue="1" operator="equal">
      <formula>#REF!</formula>
    </cfRule>
    <cfRule type="cellIs" dxfId="2875" priority="319" stopIfTrue="1" operator="equal">
      <formula>#REF!</formula>
    </cfRule>
    <cfRule type="cellIs" dxfId="2874" priority="110" stopIfTrue="1" operator="equal">
      <formula>#REF!</formula>
    </cfRule>
    <cfRule type="cellIs" dxfId="2873" priority="638" stopIfTrue="1" operator="equal">
      <formula>#REF!</formula>
    </cfRule>
    <cfRule type="cellIs" dxfId="2872" priority="324" stopIfTrue="1" operator="between">
      <formula>#REF!</formula>
      <formula>#REF!</formula>
    </cfRule>
    <cfRule type="cellIs" dxfId="2871" priority="209" stopIfTrue="1" operator="equal">
      <formula>#REF!</formula>
    </cfRule>
    <cfRule type="cellIs" dxfId="2870" priority="210" stopIfTrue="1" operator="between">
      <formula>#REF!</formula>
      <formula>#REF!</formula>
    </cfRule>
    <cfRule type="cellIs" dxfId="2869" priority="539" stopIfTrue="1" operator="equal">
      <formula>#REF!</formula>
    </cfRule>
    <cfRule type="cellIs" dxfId="2868" priority="634" stopIfTrue="1" operator="equal">
      <formula>#REF!</formula>
    </cfRule>
    <cfRule type="cellIs" dxfId="2867" priority="318" stopIfTrue="1" operator="between">
      <formula>#REF!</formula>
      <formula>#REF!</formula>
    </cfRule>
    <cfRule type="cellIs" dxfId="2866" priority="111" stopIfTrue="1" operator="between">
      <formula>#REF!</formula>
      <formula>#REF!</formula>
    </cfRule>
    <cfRule type="cellIs" dxfId="2865" priority="423" stopIfTrue="1" operator="between">
      <formula>#REF!</formula>
      <formula>#REF!</formula>
    </cfRule>
    <cfRule type="cellIs" dxfId="2864" priority="317" stopIfTrue="1" operator="equal">
      <formula>#REF!</formula>
    </cfRule>
    <cfRule type="cellIs" dxfId="2863" priority="416" stopIfTrue="1" operator="equal">
      <formula>#REF!</formula>
    </cfRule>
    <cfRule type="cellIs" dxfId="2862" priority="112" stopIfTrue="1" operator="equal">
      <formula>#REF!</formula>
    </cfRule>
    <cfRule type="cellIs" dxfId="2861" priority="211" stopIfTrue="1" operator="equal">
      <formula>#REF!</formula>
    </cfRule>
    <cfRule type="cellIs" dxfId="2860" priority="212" stopIfTrue="1" operator="equal">
      <formula>#REF!</formula>
    </cfRule>
    <cfRule type="cellIs" dxfId="2859" priority="213" stopIfTrue="1" operator="between">
      <formula>#REF!</formula>
      <formula>#REF!</formula>
    </cfRule>
    <cfRule type="cellIs" dxfId="2858" priority="633" stopIfTrue="1" operator="between">
      <formula>#REF!</formula>
      <formula>#REF!</formula>
    </cfRule>
    <cfRule type="cellIs" dxfId="2857" priority="537" stopIfTrue="1" operator="between">
      <formula>#REF!</formula>
      <formula>#REF!</formula>
    </cfRule>
    <cfRule type="cellIs" dxfId="2856" priority="216" stopIfTrue="1" operator="between">
      <formula>#REF!</formula>
      <formula>#REF!</formula>
    </cfRule>
    <cfRule type="cellIs" dxfId="2855" priority="215" stopIfTrue="1" operator="equal">
      <formula>#REF!</formula>
    </cfRule>
    <cfRule type="cellIs" dxfId="2854" priority="632" stopIfTrue="1" operator="equal">
      <formula>#REF!</formula>
    </cfRule>
  </conditionalFormatting>
  <conditionalFormatting sqref="CU111:CV111">
    <cfRule type="cellIs" dxfId="2853" priority="8720" stopIfTrue="1" operator="equal">
      <formula>#REF!</formula>
    </cfRule>
  </conditionalFormatting>
  <conditionalFormatting sqref="CU112:CV112">
    <cfRule type="cellIs" dxfId="2852" priority="8590" stopIfTrue="1" operator="equal">
      <formula>#REF!</formula>
    </cfRule>
    <cfRule type="cellIs" dxfId="2851" priority="8591" stopIfTrue="1" operator="equal">
      <formula>#REF!</formula>
    </cfRule>
  </conditionalFormatting>
  <conditionalFormatting sqref="CU113:CV113">
    <cfRule type="cellIs" dxfId="2850" priority="8458" stopIfTrue="1" operator="equal">
      <formula>#REF!</formula>
    </cfRule>
    <cfRule type="cellIs" dxfId="2849" priority="8459" stopIfTrue="1" operator="equal">
      <formula>#REF!</formula>
    </cfRule>
  </conditionalFormatting>
  <conditionalFormatting sqref="CU114:CV115">
    <cfRule type="cellIs" dxfId="2848" priority="8315" stopIfTrue="1" operator="equal">
      <formula>#REF!</formula>
    </cfRule>
    <cfRule type="cellIs" dxfId="2847" priority="8314" stopIfTrue="1" operator="equal">
      <formula>#REF!</formula>
    </cfRule>
  </conditionalFormatting>
  <conditionalFormatting sqref="CU116:CV116">
    <cfRule type="cellIs" dxfId="2846" priority="8153" stopIfTrue="1" operator="equal">
      <formula>#REF!</formula>
    </cfRule>
    <cfRule type="cellIs" dxfId="2845" priority="8152" stopIfTrue="1" operator="equal">
      <formula>#REF!</formula>
    </cfRule>
  </conditionalFormatting>
  <conditionalFormatting sqref="CU117:CV129">
    <cfRule type="cellIs" dxfId="2844" priority="8009" stopIfTrue="1" operator="equal">
      <formula>#REF!</formula>
    </cfRule>
    <cfRule type="cellIs" dxfId="2843" priority="8008" stopIfTrue="1" operator="equal">
      <formula>#REF!</formula>
    </cfRule>
  </conditionalFormatting>
  <conditionalFormatting sqref="CU121:CV129">
    <cfRule type="cellIs" dxfId="2842" priority="7910" stopIfTrue="1" operator="equal">
      <formula>#REF!</formula>
    </cfRule>
    <cfRule type="cellIs" dxfId="2841" priority="7909" stopIfTrue="1" operator="equal">
      <formula>#REF!</formula>
    </cfRule>
  </conditionalFormatting>
  <conditionalFormatting sqref="CU125:CV129">
    <cfRule type="cellIs" dxfId="2840" priority="7703" stopIfTrue="1" operator="equal">
      <formula>#REF!</formula>
    </cfRule>
    <cfRule type="cellIs" dxfId="2839" priority="7702" stopIfTrue="1" operator="equal">
      <formula>#REF!</formula>
    </cfRule>
    <cfRule type="cellIs" dxfId="2838" priority="7802" stopIfTrue="1" operator="equal">
      <formula>#REF!</formula>
    </cfRule>
    <cfRule type="cellIs" dxfId="2837" priority="7801" stopIfTrue="1" operator="equal">
      <formula>#REF!</formula>
    </cfRule>
  </conditionalFormatting>
  <conditionalFormatting sqref="CU126:CV129">
    <cfRule type="cellIs" dxfId="2836" priority="7585" stopIfTrue="1" operator="equal">
      <formula>#REF!</formula>
    </cfRule>
    <cfRule type="cellIs" dxfId="2835" priority="7586" stopIfTrue="1" operator="equal">
      <formula>#REF!</formula>
    </cfRule>
    <cfRule type="cellIs" dxfId="2834" priority="7279" stopIfTrue="1" operator="equal">
      <formula>#REF!</formula>
    </cfRule>
    <cfRule type="cellIs" dxfId="2833" priority="7486" stopIfTrue="1" operator="equal">
      <formula>#REF!</formula>
    </cfRule>
    <cfRule type="cellIs" dxfId="2832" priority="7487" stopIfTrue="1" operator="equal">
      <formula>#REF!</formula>
    </cfRule>
    <cfRule type="cellIs" dxfId="2831" priority="7280" stopIfTrue="1" operator="equal">
      <formula>#REF!</formula>
    </cfRule>
    <cfRule type="cellIs" dxfId="2830" priority="7379" stopIfTrue="1" operator="equal">
      <formula>#REF!</formula>
    </cfRule>
    <cfRule type="cellIs" dxfId="2829" priority="7378" stopIfTrue="1" operator="equal">
      <formula>#REF!</formula>
    </cfRule>
  </conditionalFormatting>
  <conditionalFormatting sqref="CU130:CV130">
    <cfRule type="cellIs" dxfId="2828" priority="6370" stopIfTrue="1" operator="equal">
      <formula>#REF!</formula>
    </cfRule>
    <cfRule type="cellIs" dxfId="2827" priority="6577" stopIfTrue="1" operator="equal">
      <formula>#REF!</formula>
    </cfRule>
    <cfRule type="cellIs" dxfId="2826" priority="6794" stopIfTrue="1" operator="equal">
      <formula>#REF!</formula>
    </cfRule>
    <cfRule type="cellIs" dxfId="2825" priority="6793" stopIfTrue="1" operator="equal">
      <formula>#REF!</formula>
    </cfRule>
    <cfRule type="cellIs" dxfId="2824" priority="6578" stopIfTrue="1" operator="equal">
      <formula>#REF!</formula>
    </cfRule>
    <cfRule type="cellIs" dxfId="2823" priority="6371" stopIfTrue="1" operator="equal">
      <formula>#REF!</formula>
    </cfRule>
    <cfRule type="cellIs" dxfId="2822" priority="6677" stopIfTrue="1" operator="equal">
      <formula>#REF!</formula>
    </cfRule>
    <cfRule type="cellIs" dxfId="2821" priority="6470" stopIfTrue="1" operator="equal">
      <formula>#REF!</formula>
    </cfRule>
    <cfRule type="cellIs" dxfId="2820" priority="6676" stopIfTrue="1" operator="equal">
      <formula>#REF!</formula>
    </cfRule>
    <cfRule type="cellIs" dxfId="2819" priority="7001" stopIfTrue="1" operator="equal">
      <formula>#REF!</formula>
    </cfRule>
    <cfRule type="cellIs" dxfId="2818" priority="6469" stopIfTrue="1" operator="equal">
      <formula>#REF!</formula>
    </cfRule>
    <cfRule type="cellIs" dxfId="2817" priority="7099" stopIfTrue="1" operator="equal">
      <formula>#REF!</formula>
    </cfRule>
    <cfRule type="cellIs" dxfId="2816" priority="7100" stopIfTrue="1" operator="equal">
      <formula>#REF!</formula>
    </cfRule>
    <cfRule type="cellIs" dxfId="2815" priority="6893" stopIfTrue="1" operator="equal">
      <formula>#REF!</formula>
    </cfRule>
    <cfRule type="cellIs" dxfId="2814" priority="6892" stopIfTrue="1" operator="equal">
      <formula>#REF!</formula>
    </cfRule>
    <cfRule type="cellIs" dxfId="2813" priority="7000" stopIfTrue="1" operator="equal">
      <formula>#REF!</formula>
    </cfRule>
  </conditionalFormatting>
  <conditionalFormatting sqref="CU131:CV141">
    <cfRule type="cellIs" dxfId="2812" priority="6091" stopIfTrue="1" operator="equal">
      <formula>#REF!</formula>
    </cfRule>
    <cfRule type="cellIs" dxfId="2811" priority="5884" stopIfTrue="1" operator="equal">
      <formula>#REF!</formula>
    </cfRule>
    <cfRule type="cellIs" dxfId="2810" priority="5885" stopIfTrue="1" operator="equal">
      <formula>#REF!</formula>
    </cfRule>
    <cfRule type="cellIs" dxfId="2809" priority="5984" stopIfTrue="1" operator="equal">
      <formula>#REF!</formula>
    </cfRule>
    <cfRule type="cellIs" dxfId="2808" priority="6190" stopIfTrue="1" operator="equal">
      <formula>#REF!</formula>
    </cfRule>
    <cfRule type="cellIs" dxfId="2807" priority="6191" stopIfTrue="1" operator="equal">
      <formula>#REF!</formula>
    </cfRule>
    <cfRule type="cellIs" dxfId="2806" priority="6092" stopIfTrue="1" operator="equal">
      <formula>#REF!</formula>
    </cfRule>
    <cfRule type="cellIs" dxfId="2805" priority="5461" stopIfTrue="1" operator="equal">
      <formula>#REF!</formula>
    </cfRule>
    <cfRule type="cellIs" dxfId="2804" priority="5768" stopIfTrue="1" operator="equal">
      <formula>#REF!</formula>
    </cfRule>
    <cfRule type="cellIs" dxfId="2803" priority="5767" stopIfTrue="1" operator="equal">
      <formula>#REF!</formula>
    </cfRule>
    <cfRule type="cellIs" dxfId="2802" priority="5983" stopIfTrue="1" operator="equal">
      <formula>#REF!</formula>
    </cfRule>
    <cfRule type="cellIs" dxfId="2801" priority="5669" stopIfTrue="1" operator="equal">
      <formula>#REF!</formula>
    </cfRule>
    <cfRule type="cellIs" dxfId="2800" priority="5462" stopIfTrue="1" operator="equal">
      <formula>#REF!</formula>
    </cfRule>
    <cfRule type="cellIs" dxfId="2799" priority="5668" stopIfTrue="1" operator="equal">
      <formula>#REF!</formula>
    </cfRule>
    <cfRule type="cellIs" dxfId="2798" priority="5561" stopIfTrue="1" operator="equal">
      <formula>#REF!</formula>
    </cfRule>
    <cfRule type="cellIs" dxfId="2797" priority="5560" stopIfTrue="1" operator="equal">
      <formula>#REF!</formula>
    </cfRule>
  </conditionalFormatting>
  <conditionalFormatting sqref="CU142:CV143">
    <cfRule type="cellIs" dxfId="2796" priority="5201" stopIfTrue="1" operator="equal">
      <formula>#REF!</formula>
    </cfRule>
    <cfRule type="cellIs" dxfId="2795" priority="5299" stopIfTrue="1" operator="equal">
      <formula>#REF!</formula>
    </cfRule>
    <cfRule type="cellIs" dxfId="2794" priority="4993" stopIfTrue="1" operator="equal">
      <formula>#REF!</formula>
    </cfRule>
    <cfRule type="cellIs" dxfId="2793" priority="4994" stopIfTrue="1" operator="equal">
      <formula>#REF!</formula>
    </cfRule>
    <cfRule type="cellIs" dxfId="2792" priority="4777" stopIfTrue="1" operator="equal">
      <formula>#REF!</formula>
    </cfRule>
    <cfRule type="cellIs" dxfId="2791" priority="4876" stopIfTrue="1" operator="equal">
      <formula>#REF!</formula>
    </cfRule>
    <cfRule type="cellIs" dxfId="2790" priority="5093" stopIfTrue="1" operator="equal">
      <formula>#REF!</formula>
    </cfRule>
    <cfRule type="cellIs" dxfId="2789" priority="5092" stopIfTrue="1" operator="equal">
      <formula>#REF!</formula>
    </cfRule>
    <cfRule type="cellIs" dxfId="2788" priority="4669" stopIfTrue="1" operator="equal">
      <formula>#REF!</formula>
    </cfRule>
    <cfRule type="cellIs" dxfId="2787" priority="4570" stopIfTrue="1" operator="equal">
      <formula>#REF!</formula>
    </cfRule>
    <cfRule type="cellIs" dxfId="2786" priority="5300" stopIfTrue="1" operator="equal">
      <formula>#REF!</formula>
    </cfRule>
    <cfRule type="cellIs" dxfId="2785" priority="5200" stopIfTrue="1" operator="equal">
      <formula>#REF!</formula>
    </cfRule>
  </conditionalFormatting>
  <conditionalFormatting sqref="CU144:CV173">
    <cfRule type="cellIs" dxfId="2784" priority="3985" stopIfTrue="1" operator="equal">
      <formula>#REF!</formula>
    </cfRule>
    <cfRule type="cellIs" dxfId="2783" priority="4309" stopIfTrue="1" operator="equal">
      <formula>#REF!</formula>
    </cfRule>
    <cfRule type="cellIs" dxfId="2782" priority="3886" stopIfTrue="1" operator="equal">
      <formula>#REF!</formula>
    </cfRule>
    <cfRule type="cellIs" dxfId="2781" priority="4102" stopIfTrue="1" operator="equal">
      <formula>#REF!</formula>
    </cfRule>
    <cfRule type="cellIs" dxfId="2780" priority="4408" stopIfTrue="1" operator="equal">
      <formula>#REF!</formula>
    </cfRule>
    <cfRule type="cellIs" dxfId="2779" priority="3778" stopIfTrue="1" operator="equal">
      <formula>#REF!</formula>
    </cfRule>
    <cfRule type="cellIs" dxfId="2778" priority="3679" stopIfTrue="1" operator="equal">
      <formula>#REF!</formula>
    </cfRule>
    <cfRule type="cellIs" dxfId="2777" priority="4201" stopIfTrue="1" operator="equal">
      <formula>#REF!</formula>
    </cfRule>
  </conditionalFormatting>
  <conditionalFormatting sqref="CU174:CV199">
    <cfRule type="cellIs" dxfId="2776" priority="628" stopIfTrue="1" operator="equal">
      <formula>#REF!</formula>
    </cfRule>
    <cfRule type="cellIs" dxfId="2775" priority="412" stopIfTrue="1" operator="equal">
      <formula>#REF!</formula>
    </cfRule>
    <cfRule type="cellIs" dxfId="2774" priority="736" stopIfTrue="1" operator="equal">
      <formula>#REF!</formula>
    </cfRule>
    <cfRule type="cellIs" dxfId="2773" priority="313" stopIfTrue="1" operator="equal">
      <formula>#REF!</formula>
    </cfRule>
    <cfRule type="cellIs" dxfId="2772" priority="205" stopIfTrue="1" operator="equal">
      <formula>#REF!</formula>
    </cfRule>
    <cfRule type="cellIs" dxfId="2771" priority="835" stopIfTrue="1" operator="equal">
      <formula>#REF!</formula>
    </cfRule>
    <cfRule type="cellIs" dxfId="2770" priority="106" stopIfTrue="1" operator="equal">
      <formula>#REF!</formula>
    </cfRule>
    <cfRule type="cellIs" dxfId="2769" priority="529" stopIfTrue="1" operator="equal">
      <formula>#REF!</formula>
    </cfRule>
  </conditionalFormatting>
  <conditionalFormatting sqref="CU111:CW111">
    <cfRule type="cellIs" dxfId="2768" priority="8719" stopIfTrue="1" operator="equal">
      <formula>#REF!</formula>
    </cfRule>
  </conditionalFormatting>
  <conditionalFormatting sqref="CV111">
    <cfRule type="cellIs" dxfId="2767" priority="8718" stopIfTrue="1" operator="between">
      <formula>#REF!</formula>
      <formula>#REF!</formula>
    </cfRule>
    <cfRule type="cellIs" dxfId="2766" priority="8715" stopIfTrue="1" operator="between">
      <formula>#REF!</formula>
      <formula>#REF!</formula>
    </cfRule>
    <cfRule type="cellIs" dxfId="2765" priority="8716" stopIfTrue="1" operator="equal">
      <formula>#REF!</formula>
    </cfRule>
    <cfRule type="cellIs" dxfId="2764" priority="8717" stopIfTrue="1" operator="equal">
      <formula>#REF!</formula>
    </cfRule>
    <cfRule type="cellIs" dxfId="2763" priority="8721" stopIfTrue="1" operator="between">
      <formula>#REF!</formula>
      <formula>#REF!</formula>
    </cfRule>
  </conditionalFormatting>
  <conditionalFormatting sqref="CV111:CV112">
    <cfRule type="cellIs" dxfId="2762" priority="8593" stopIfTrue="1" operator="equal">
      <formula>#REF!</formula>
    </cfRule>
    <cfRule type="cellIs" dxfId="2761" priority="8594" stopIfTrue="1" operator="equal">
      <formula>#REF!</formula>
    </cfRule>
  </conditionalFormatting>
  <conditionalFormatting sqref="CV112">
    <cfRule type="cellIs" dxfId="2760" priority="8592" stopIfTrue="1" operator="between">
      <formula>#REF!</formula>
      <formula>#REF!</formula>
    </cfRule>
    <cfRule type="cellIs" dxfId="2759" priority="8589" stopIfTrue="1" operator="between">
      <formula>#REF!</formula>
      <formula>#REF!</formula>
    </cfRule>
    <cfRule type="cellIs" dxfId="2758" priority="8595" stopIfTrue="1" operator="between">
      <formula>#REF!</formula>
      <formula>#REF!</formula>
    </cfRule>
  </conditionalFormatting>
  <conditionalFormatting sqref="CV113">
    <cfRule type="cellIs" dxfId="2757" priority="8454" stopIfTrue="1" operator="between">
      <formula>#REF!</formula>
      <formula>#REF!</formula>
    </cfRule>
    <cfRule type="cellIs" dxfId="2756" priority="8460" stopIfTrue="1" operator="between">
      <formula>#REF!</formula>
      <formula>#REF!</formula>
    </cfRule>
    <cfRule type="cellIs" dxfId="2755" priority="8457" stopIfTrue="1" operator="between">
      <formula>#REF!</formula>
      <formula>#REF!</formula>
    </cfRule>
    <cfRule type="cellIs" dxfId="2754" priority="8456" stopIfTrue="1" operator="equal">
      <formula>#REF!</formula>
    </cfRule>
    <cfRule type="cellIs" dxfId="2753" priority="8455" stopIfTrue="1" operator="equal">
      <formula>#REF!</formula>
    </cfRule>
  </conditionalFormatting>
  <conditionalFormatting sqref="CV114:CV115">
    <cfRule type="cellIs" dxfId="2752" priority="8316" stopIfTrue="1" operator="between">
      <formula>#REF!</formula>
      <formula>#REF!</formula>
    </cfRule>
    <cfRule type="cellIs" dxfId="2751" priority="8312" stopIfTrue="1" operator="equal">
      <formula>#REF!</formula>
    </cfRule>
    <cfRule type="cellIs" dxfId="2750" priority="8310" stopIfTrue="1" operator="between">
      <formula>#REF!</formula>
      <formula>#REF!</formula>
    </cfRule>
    <cfRule type="cellIs" dxfId="2749" priority="8313" stopIfTrue="1" operator="between">
      <formula>#REF!</formula>
      <formula>#REF!</formula>
    </cfRule>
    <cfRule type="cellIs" dxfId="2748" priority="8311" stopIfTrue="1" operator="equal">
      <formula>#REF!</formula>
    </cfRule>
  </conditionalFormatting>
  <conditionalFormatting sqref="CV116">
    <cfRule type="cellIs" dxfId="2747" priority="8150" stopIfTrue="1" operator="equal">
      <formula>#REF!</formula>
    </cfRule>
    <cfRule type="cellIs" dxfId="2746" priority="8151" stopIfTrue="1" operator="between">
      <formula>#REF!</formula>
      <formula>#REF!</formula>
    </cfRule>
    <cfRule type="cellIs" dxfId="2745" priority="8154" stopIfTrue="1" operator="between">
      <formula>#REF!</formula>
      <formula>#REF!</formula>
    </cfRule>
    <cfRule type="cellIs" dxfId="2744" priority="8148" stopIfTrue="1" operator="between">
      <formula>#REF!</formula>
      <formula>#REF!</formula>
    </cfRule>
    <cfRule type="cellIs" dxfId="2743" priority="8149" stopIfTrue="1" operator="equal">
      <formula>#REF!</formula>
    </cfRule>
  </conditionalFormatting>
  <conditionalFormatting sqref="CV117:CV129">
    <cfRule type="cellIs" dxfId="2742" priority="8005" stopIfTrue="1" operator="equal">
      <formula>#REF!</formula>
    </cfRule>
    <cfRule type="cellIs" dxfId="2741" priority="8007" stopIfTrue="1" operator="between">
      <formula>#REF!</formula>
      <formula>#REF!</formula>
    </cfRule>
    <cfRule type="cellIs" dxfId="2740" priority="8010" stopIfTrue="1" operator="between">
      <formula>#REF!</formula>
      <formula>#REF!</formula>
    </cfRule>
    <cfRule type="cellIs" dxfId="2739" priority="8006" stopIfTrue="1" operator="equal">
      <formula>#REF!</formula>
    </cfRule>
    <cfRule type="cellIs" dxfId="2738" priority="8004" stopIfTrue="1" operator="between">
      <formula>#REF!</formula>
      <formula>#REF!</formula>
    </cfRule>
  </conditionalFormatting>
  <conditionalFormatting sqref="CV121:CV129">
    <cfRule type="cellIs" dxfId="2737" priority="7907" stopIfTrue="1" operator="equal">
      <formula>#REF!</formula>
    </cfRule>
    <cfRule type="cellIs" dxfId="2736" priority="7905" stopIfTrue="1" operator="between">
      <formula>#REF!</formula>
      <formula>#REF!</formula>
    </cfRule>
    <cfRule type="cellIs" dxfId="2735" priority="7908" stopIfTrue="1" operator="between">
      <formula>#REF!</formula>
      <formula>#REF!</formula>
    </cfRule>
    <cfRule type="cellIs" dxfId="2734" priority="7911" stopIfTrue="1" operator="between">
      <formula>#REF!</formula>
      <formula>#REF!</formula>
    </cfRule>
    <cfRule type="cellIs" dxfId="2733" priority="7906" stopIfTrue="1" operator="equal">
      <formula>#REF!</formula>
    </cfRule>
  </conditionalFormatting>
  <conditionalFormatting sqref="CV125:CV129">
    <cfRule type="cellIs" dxfId="2732" priority="7704" stopIfTrue="1" operator="between">
      <formula>#REF!</formula>
      <formula>#REF!</formula>
    </cfRule>
    <cfRule type="cellIs" dxfId="2731" priority="7698" stopIfTrue="1" operator="between">
      <formula>#REF!</formula>
      <formula>#REF!</formula>
    </cfRule>
    <cfRule type="cellIs" dxfId="2730" priority="7699" stopIfTrue="1" operator="equal">
      <formula>#REF!</formula>
    </cfRule>
    <cfRule type="cellIs" dxfId="2729" priority="7800" stopIfTrue="1" operator="between">
      <formula>#REF!</formula>
      <formula>#REF!</formula>
    </cfRule>
    <cfRule type="cellIs" dxfId="2728" priority="7799" stopIfTrue="1" operator="equal">
      <formula>#REF!</formula>
    </cfRule>
    <cfRule type="cellIs" dxfId="2727" priority="7798" stopIfTrue="1" operator="equal">
      <formula>#REF!</formula>
    </cfRule>
    <cfRule type="cellIs" dxfId="2726" priority="7797" stopIfTrue="1" operator="between">
      <formula>#REF!</formula>
      <formula>#REF!</formula>
    </cfRule>
    <cfRule type="cellIs" dxfId="2725" priority="7701" stopIfTrue="1" operator="between">
      <formula>#REF!</formula>
      <formula>#REF!</formula>
    </cfRule>
    <cfRule type="cellIs" dxfId="2724" priority="7803" stopIfTrue="1" operator="between">
      <formula>#REF!</formula>
      <formula>#REF!</formula>
    </cfRule>
    <cfRule type="cellIs" dxfId="2723" priority="7700" stopIfTrue="1" operator="equal">
      <formula>#REF!</formula>
    </cfRule>
  </conditionalFormatting>
  <conditionalFormatting sqref="CV126:CV129">
    <cfRule type="cellIs" dxfId="2722" priority="7374" stopIfTrue="1" operator="between">
      <formula>#REF!</formula>
      <formula>#REF!</formula>
    </cfRule>
    <cfRule type="cellIs" dxfId="2721" priority="7375" stopIfTrue="1" operator="equal">
      <formula>#REF!</formula>
    </cfRule>
    <cfRule type="cellIs" dxfId="2720" priority="7376" stopIfTrue="1" operator="equal">
      <formula>#REF!</formula>
    </cfRule>
    <cfRule type="cellIs" dxfId="2719" priority="7377" stopIfTrue="1" operator="between">
      <formula>#REF!</formula>
      <formula>#REF!</formula>
    </cfRule>
    <cfRule type="cellIs" dxfId="2718" priority="7380" stopIfTrue="1" operator="between">
      <formula>#REF!</formula>
      <formula>#REF!</formula>
    </cfRule>
    <cfRule type="cellIs" dxfId="2717" priority="7587" stopIfTrue="1" operator="between">
      <formula>#REF!</formula>
      <formula>#REF!</formula>
    </cfRule>
    <cfRule type="cellIs" dxfId="2716" priority="7482" stopIfTrue="1" operator="between">
      <formula>#REF!</formula>
      <formula>#REF!</formula>
    </cfRule>
    <cfRule type="cellIs" dxfId="2715" priority="7484" stopIfTrue="1" operator="equal">
      <formula>#REF!</formula>
    </cfRule>
    <cfRule type="cellIs" dxfId="2714" priority="7485" stopIfTrue="1" operator="between">
      <formula>#REF!</formula>
      <formula>#REF!</formula>
    </cfRule>
    <cfRule type="cellIs" dxfId="2713" priority="7488" stopIfTrue="1" operator="between">
      <formula>#REF!</formula>
      <formula>#REF!</formula>
    </cfRule>
    <cfRule type="cellIs" dxfId="2712" priority="7483" stopIfTrue="1" operator="equal">
      <formula>#REF!</formula>
    </cfRule>
    <cfRule type="cellIs" dxfId="2711" priority="7281" stopIfTrue="1" operator="between">
      <formula>#REF!</formula>
      <formula>#REF!</formula>
    </cfRule>
    <cfRule type="cellIs" dxfId="2710" priority="7278" stopIfTrue="1" operator="between">
      <formula>#REF!</formula>
      <formula>#REF!</formula>
    </cfRule>
    <cfRule type="cellIs" dxfId="2709" priority="7277" stopIfTrue="1" operator="equal">
      <formula>#REF!</formula>
    </cfRule>
    <cfRule type="cellIs" dxfId="2708" priority="7276" stopIfTrue="1" operator="equal">
      <formula>#REF!</formula>
    </cfRule>
    <cfRule type="cellIs" dxfId="2707" priority="7275" stopIfTrue="1" operator="between">
      <formula>#REF!</formula>
      <formula>#REF!</formula>
    </cfRule>
    <cfRule type="cellIs" dxfId="2706" priority="7582" stopIfTrue="1" operator="equal">
      <formula>#REF!</formula>
    </cfRule>
    <cfRule type="cellIs" dxfId="2705" priority="7583" stopIfTrue="1" operator="equal">
      <formula>#REF!</formula>
    </cfRule>
    <cfRule type="cellIs" dxfId="2704" priority="7584" stopIfTrue="1" operator="between">
      <formula>#REF!</formula>
      <formula>#REF!</formula>
    </cfRule>
    <cfRule type="cellIs" dxfId="2703" priority="7581" stopIfTrue="1" operator="between">
      <formula>#REF!</formula>
      <formula>#REF!</formula>
    </cfRule>
  </conditionalFormatting>
  <conditionalFormatting sqref="CV130">
    <cfRule type="cellIs" dxfId="2702" priority="6998" stopIfTrue="1" operator="equal">
      <formula>#REF!</formula>
    </cfRule>
    <cfRule type="cellIs" dxfId="2701" priority="6465" stopIfTrue="1" operator="between">
      <formula>#REF!</formula>
      <formula>#REF!</formula>
    </cfRule>
    <cfRule type="cellIs" dxfId="2700" priority="6672" stopIfTrue="1" operator="between">
      <formula>#REF!</formula>
      <formula>#REF!</formula>
    </cfRule>
    <cfRule type="cellIs" dxfId="2699" priority="6673" stopIfTrue="1" operator="equal">
      <formula>#REF!</formula>
    </cfRule>
    <cfRule type="cellIs" dxfId="2698" priority="6889" stopIfTrue="1" operator="equal">
      <formula>#REF!</formula>
    </cfRule>
    <cfRule type="cellIs" dxfId="2697" priority="6891" stopIfTrue="1" operator="between">
      <formula>#REF!</formula>
      <formula>#REF!</formula>
    </cfRule>
    <cfRule type="cellIs" dxfId="2696" priority="6466" stopIfTrue="1" operator="equal">
      <formula>#REF!</formula>
    </cfRule>
    <cfRule type="cellIs" dxfId="2695" priority="6888" stopIfTrue="1" operator="between">
      <formula>#REF!</formula>
      <formula>#REF!</formula>
    </cfRule>
    <cfRule type="cellIs" dxfId="2694" priority="6999" stopIfTrue="1" operator="between">
      <formula>#REF!</formula>
      <formula>#REF!</formula>
    </cfRule>
    <cfRule type="cellIs" dxfId="2693" priority="6674" stopIfTrue="1" operator="equal">
      <formula>#REF!</formula>
    </cfRule>
    <cfRule type="cellIs" dxfId="2692" priority="6675" stopIfTrue="1" operator="between">
      <formula>#REF!</formula>
      <formula>#REF!</formula>
    </cfRule>
    <cfRule type="cellIs" dxfId="2691" priority="7002" stopIfTrue="1" operator="between">
      <formula>#REF!</formula>
      <formula>#REF!</formula>
    </cfRule>
    <cfRule type="cellIs" dxfId="2690" priority="6573" stopIfTrue="1" operator="between">
      <formula>#REF!</formula>
      <formula>#REF!</formula>
    </cfRule>
    <cfRule type="cellIs" dxfId="2689" priority="6574" stopIfTrue="1" operator="equal">
      <formula>#REF!</formula>
    </cfRule>
    <cfRule type="cellIs" dxfId="2688" priority="6575" stopIfTrue="1" operator="equal">
      <formula>#REF!</formula>
    </cfRule>
    <cfRule type="cellIs" dxfId="2687" priority="6366" stopIfTrue="1" operator="between">
      <formula>#REF!</formula>
      <formula>#REF!</formula>
    </cfRule>
    <cfRule type="cellIs" dxfId="2686" priority="6367" stopIfTrue="1" operator="equal">
      <formula>#REF!</formula>
    </cfRule>
    <cfRule type="cellIs" dxfId="2685" priority="6368" stopIfTrue="1" operator="equal">
      <formula>#REF!</formula>
    </cfRule>
    <cfRule type="cellIs" dxfId="2684" priority="6576" stopIfTrue="1" operator="between">
      <formula>#REF!</formula>
      <formula>#REF!</formula>
    </cfRule>
    <cfRule type="cellIs" dxfId="2683" priority="6369" stopIfTrue="1" operator="between">
      <formula>#REF!</formula>
      <formula>#REF!</formula>
    </cfRule>
    <cfRule type="cellIs" dxfId="2682" priority="6471" stopIfTrue="1" operator="between">
      <formula>#REF!</formula>
      <formula>#REF!</formula>
    </cfRule>
    <cfRule type="cellIs" dxfId="2681" priority="6789" stopIfTrue="1" operator="between">
      <formula>#REF!</formula>
      <formula>#REF!</formula>
    </cfRule>
    <cfRule type="cellIs" dxfId="2680" priority="6790" stopIfTrue="1" operator="equal">
      <formula>#REF!</formula>
    </cfRule>
    <cfRule type="cellIs" dxfId="2679" priority="6579" stopIfTrue="1" operator="between">
      <formula>#REF!</formula>
      <formula>#REF!</formula>
    </cfRule>
    <cfRule type="cellIs" dxfId="2678" priority="6996" stopIfTrue="1" operator="between">
      <formula>#REF!</formula>
      <formula>#REF!</formula>
    </cfRule>
    <cfRule type="cellIs" dxfId="2677" priority="6791" stopIfTrue="1" operator="equal">
      <formula>#REF!</formula>
    </cfRule>
    <cfRule type="cellIs" dxfId="2676" priority="6792" stopIfTrue="1" operator="between">
      <formula>#REF!</formula>
      <formula>#REF!</formula>
    </cfRule>
    <cfRule type="cellIs" dxfId="2675" priority="6890" stopIfTrue="1" operator="equal">
      <formula>#REF!</formula>
    </cfRule>
    <cfRule type="cellIs" dxfId="2674" priority="6372" stopIfTrue="1" operator="between">
      <formula>#REF!</formula>
      <formula>#REF!</formula>
    </cfRule>
    <cfRule type="cellIs" dxfId="2673" priority="6678" stopIfTrue="1" operator="between">
      <formula>#REF!</formula>
      <formula>#REF!</formula>
    </cfRule>
    <cfRule type="cellIs" dxfId="2672" priority="6997" stopIfTrue="1" operator="equal">
      <formula>#REF!</formula>
    </cfRule>
    <cfRule type="cellIs" dxfId="2671" priority="7101" stopIfTrue="1" operator="between">
      <formula>#REF!</formula>
      <formula>#REF!</formula>
    </cfRule>
    <cfRule type="cellIs" dxfId="2670" priority="6894" stopIfTrue="1" operator="between">
      <formula>#REF!</formula>
      <formula>#REF!</formula>
    </cfRule>
    <cfRule type="cellIs" dxfId="2669" priority="6467" stopIfTrue="1" operator="equal">
      <formula>#REF!</formula>
    </cfRule>
    <cfRule type="cellIs" dxfId="2668" priority="7098" stopIfTrue="1" operator="between">
      <formula>#REF!</formula>
      <formula>#REF!</formula>
    </cfRule>
    <cfRule type="cellIs" dxfId="2667" priority="7097" stopIfTrue="1" operator="equal">
      <formula>#REF!</formula>
    </cfRule>
    <cfRule type="cellIs" dxfId="2666" priority="7096" stopIfTrue="1" operator="equal">
      <formula>#REF!</formula>
    </cfRule>
    <cfRule type="cellIs" dxfId="2665" priority="7095" stopIfTrue="1" operator="between">
      <formula>#REF!</formula>
      <formula>#REF!</formula>
    </cfRule>
    <cfRule type="cellIs" dxfId="2664" priority="6795" stopIfTrue="1" operator="between">
      <formula>#REF!</formula>
      <formula>#REF!</formula>
    </cfRule>
    <cfRule type="cellIs" dxfId="2663" priority="6468" stopIfTrue="1" operator="between">
      <formula>#REF!</formula>
      <formula>#REF!</formula>
    </cfRule>
  </conditionalFormatting>
  <conditionalFormatting sqref="CV131:CV141">
    <cfRule type="cellIs" dxfId="2662" priority="5458" stopIfTrue="1" operator="equal">
      <formula>#REF!</formula>
    </cfRule>
    <cfRule type="cellIs" dxfId="2661" priority="5459" stopIfTrue="1" operator="equal">
      <formula>#REF!</formula>
    </cfRule>
    <cfRule type="cellIs" dxfId="2660" priority="5460" stopIfTrue="1" operator="between">
      <formula>#REF!</formula>
      <formula>#REF!</formula>
    </cfRule>
    <cfRule type="cellIs" dxfId="2659" priority="5463" stopIfTrue="1" operator="between">
      <formula>#REF!</formula>
      <formula>#REF!</formula>
    </cfRule>
    <cfRule type="cellIs" dxfId="2658" priority="6093" stopIfTrue="1" operator="between">
      <formula>#REF!</formula>
      <formula>#REF!</formula>
    </cfRule>
    <cfRule type="cellIs" dxfId="2657" priority="6090" stopIfTrue="1" operator="between">
      <formula>#REF!</formula>
      <formula>#REF!</formula>
    </cfRule>
    <cfRule type="cellIs" dxfId="2656" priority="6089" stopIfTrue="1" operator="equal">
      <formula>#REF!</formula>
    </cfRule>
    <cfRule type="cellIs" dxfId="2655" priority="6088" stopIfTrue="1" operator="equal">
      <formula>#REF!</formula>
    </cfRule>
    <cfRule type="cellIs" dxfId="2654" priority="6087" stopIfTrue="1" operator="between">
      <formula>#REF!</formula>
      <formula>#REF!</formula>
    </cfRule>
    <cfRule type="cellIs" dxfId="2653" priority="5562" stopIfTrue="1" operator="between">
      <formula>#REF!</formula>
      <formula>#REF!</formula>
    </cfRule>
    <cfRule type="cellIs" dxfId="2652" priority="5559" stopIfTrue="1" operator="between">
      <formula>#REF!</formula>
      <formula>#REF!</formula>
    </cfRule>
    <cfRule type="cellIs" dxfId="2651" priority="5558" stopIfTrue="1" operator="equal">
      <formula>#REF!</formula>
    </cfRule>
    <cfRule type="cellIs" dxfId="2650" priority="5557" stopIfTrue="1" operator="equal">
      <formula>#REF!</formula>
    </cfRule>
    <cfRule type="cellIs" dxfId="2649" priority="5556" stopIfTrue="1" operator="between">
      <formula>#REF!</formula>
      <formula>#REF!</formula>
    </cfRule>
    <cfRule type="cellIs" dxfId="2648" priority="6192" stopIfTrue="1" operator="between">
      <formula>#REF!</formula>
      <formula>#REF!</formula>
    </cfRule>
    <cfRule type="cellIs" dxfId="2647" priority="6189" stopIfTrue="1" operator="between">
      <formula>#REF!</formula>
      <formula>#REF!</formula>
    </cfRule>
    <cfRule type="cellIs" dxfId="2646" priority="6188" stopIfTrue="1" operator="equal">
      <formula>#REF!</formula>
    </cfRule>
    <cfRule type="cellIs" dxfId="2645" priority="6187" stopIfTrue="1" operator="equal">
      <formula>#REF!</formula>
    </cfRule>
    <cfRule type="cellIs" dxfId="2644" priority="6186" stopIfTrue="1" operator="between">
      <formula>#REF!</formula>
      <formula>#REF!</formula>
    </cfRule>
    <cfRule type="cellIs" dxfId="2643" priority="5985" stopIfTrue="1" operator="between">
      <formula>#REF!</formula>
      <formula>#REF!</formula>
    </cfRule>
    <cfRule type="cellIs" dxfId="2642" priority="5982" stopIfTrue="1" operator="between">
      <formula>#REF!</formula>
      <formula>#REF!</formula>
    </cfRule>
    <cfRule type="cellIs" dxfId="2641" priority="5981" stopIfTrue="1" operator="equal">
      <formula>#REF!</formula>
    </cfRule>
    <cfRule type="cellIs" dxfId="2640" priority="5980" stopIfTrue="1" operator="equal">
      <formula>#REF!</formula>
    </cfRule>
    <cfRule type="cellIs" dxfId="2639" priority="5979" stopIfTrue="1" operator="between">
      <formula>#REF!</formula>
      <formula>#REF!</formula>
    </cfRule>
    <cfRule type="cellIs" dxfId="2638" priority="5886" stopIfTrue="1" operator="between">
      <formula>#REF!</formula>
      <formula>#REF!</formula>
    </cfRule>
    <cfRule type="cellIs" dxfId="2637" priority="5883" stopIfTrue="1" operator="between">
      <formula>#REF!</formula>
      <formula>#REF!</formula>
    </cfRule>
    <cfRule type="cellIs" dxfId="2636" priority="5882" stopIfTrue="1" operator="equal">
      <formula>#REF!</formula>
    </cfRule>
    <cfRule type="cellIs" dxfId="2635" priority="5881" stopIfTrue="1" operator="equal">
      <formula>#REF!</formula>
    </cfRule>
    <cfRule type="cellIs" dxfId="2634" priority="5880" stopIfTrue="1" operator="between">
      <formula>#REF!</formula>
      <formula>#REF!</formula>
    </cfRule>
    <cfRule type="cellIs" dxfId="2633" priority="5769" stopIfTrue="1" operator="between">
      <formula>#REF!</formula>
      <formula>#REF!</formula>
    </cfRule>
    <cfRule type="cellIs" dxfId="2632" priority="5766" stopIfTrue="1" operator="between">
      <formula>#REF!</formula>
      <formula>#REF!</formula>
    </cfRule>
    <cfRule type="cellIs" dxfId="2631" priority="5765" stopIfTrue="1" operator="equal">
      <formula>#REF!</formula>
    </cfRule>
    <cfRule type="cellIs" dxfId="2630" priority="5764" stopIfTrue="1" operator="equal">
      <formula>#REF!</formula>
    </cfRule>
    <cfRule type="cellIs" dxfId="2629" priority="5763" stopIfTrue="1" operator="between">
      <formula>#REF!</formula>
      <formula>#REF!</formula>
    </cfRule>
    <cfRule type="cellIs" dxfId="2628" priority="5664" stopIfTrue="1" operator="between">
      <formula>#REF!</formula>
      <formula>#REF!</formula>
    </cfRule>
    <cfRule type="cellIs" dxfId="2627" priority="5670" stopIfTrue="1" operator="between">
      <formula>#REF!</formula>
      <formula>#REF!</formula>
    </cfRule>
    <cfRule type="cellIs" dxfId="2626" priority="5667" stopIfTrue="1" operator="between">
      <formula>#REF!</formula>
      <formula>#REF!</formula>
    </cfRule>
    <cfRule type="cellIs" dxfId="2625" priority="5666" stopIfTrue="1" operator="equal">
      <formula>#REF!</formula>
    </cfRule>
    <cfRule type="cellIs" dxfId="2624" priority="5665" stopIfTrue="1" operator="equal">
      <formula>#REF!</formula>
    </cfRule>
    <cfRule type="cellIs" dxfId="2623" priority="5457" stopIfTrue="1" operator="between">
      <formula>#REF!</formula>
      <formula>#REF!</formula>
    </cfRule>
  </conditionalFormatting>
  <conditionalFormatting sqref="CV142:CV143">
    <cfRule type="cellIs" dxfId="2622" priority="4572" stopIfTrue="1" operator="between">
      <formula>#REF!</formula>
      <formula>#REF!</formula>
    </cfRule>
    <cfRule type="cellIs" dxfId="2621" priority="4571" stopIfTrue="1" operator="equal">
      <formula>#REF!</formula>
    </cfRule>
    <cfRule type="cellIs" dxfId="2620" priority="4668" stopIfTrue="1" operator="between">
      <formula>#REF!</formula>
      <formula>#REF!</formula>
    </cfRule>
    <cfRule type="cellIs" dxfId="2619" priority="4569" stopIfTrue="1" operator="between">
      <formula>#REF!</formula>
      <formula>#REF!</formula>
    </cfRule>
    <cfRule type="cellIs" dxfId="2618" priority="4568" stopIfTrue="1" operator="equal">
      <formula>#REF!</formula>
    </cfRule>
    <cfRule type="cellIs" dxfId="2617" priority="4567" stopIfTrue="1" operator="equal">
      <formula>#REF!</formula>
    </cfRule>
    <cfRule type="cellIs" dxfId="2616" priority="4566" stopIfTrue="1" operator="between">
      <formula>#REF!</formula>
      <formula>#REF!</formula>
    </cfRule>
    <cfRule type="cellIs" dxfId="2615" priority="4565" stopIfTrue="1" operator="equal">
      <formula>#REF!</formula>
    </cfRule>
    <cfRule type="cellIs" dxfId="2614" priority="5301" stopIfTrue="1" operator="between">
      <formula>#REF!</formula>
      <formula>#REF!</formula>
    </cfRule>
    <cfRule type="cellIs" dxfId="2613" priority="5202" stopIfTrue="1" operator="between">
      <formula>#REF!</formula>
      <formula>#REF!</formula>
    </cfRule>
    <cfRule type="cellIs" dxfId="2612" priority="5298" stopIfTrue="1" operator="between">
      <formula>#REF!</formula>
      <formula>#REF!</formula>
    </cfRule>
    <cfRule type="cellIs" dxfId="2611" priority="5297" stopIfTrue="1" operator="equal">
      <formula>#REF!</formula>
    </cfRule>
    <cfRule type="cellIs" dxfId="2610" priority="5296" stopIfTrue="1" operator="equal">
      <formula>#REF!</formula>
    </cfRule>
    <cfRule type="cellIs" dxfId="2609" priority="5295" stopIfTrue="1" operator="between">
      <formula>#REF!</formula>
      <formula>#REF!</formula>
    </cfRule>
    <cfRule type="cellIs" dxfId="2608" priority="5199" stopIfTrue="1" operator="between">
      <formula>#REF!</formula>
      <formula>#REF!</formula>
    </cfRule>
    <cfRule type="cellIs" dxfId="2607" priority="5198" stopIfTrue="1" operator="equal">
      <formula>#REF!</formula>
    </cfRule>
    <cfRule type="cellIs" dxfId="2606" priority="5197" stopIfTrue="1" operator="equal">
      <formula>#REF!</formula>
    </cfRule>
    <cfRule type="cellIs" dxfId="2605" priority="5196" stopIfTrue="1" operator="between">
      <formula>#REF!</formula>
      <formula>#REF!</formula>
    </cfRule>
    <cfRule type="cellIs" dxfId="2604" priority="4667" stopIfTrue="1" operator="equal">
      <formula>#REF!</formula>
    </cfRule>
    <cfRule type="cellIs" dxfId="2603" priority="4666" stopIfTrue="1" operator="equal">
      <formula>#REF!</formula>
    </cfRule>
    <cfRule type="cellIs" dxfId="2602" priority="4665" stopIfTrue="1" operator="between">
      <formula>#REF!</formula>
      <formula>#REF!</formula>
    </cfRule>
    <cfRule type="cellIs" dxfId="2601" priority="4664" stopIfTrue="1" operator="equal">
      <formula>#REF!</formula>
    </cfRule>
    <cfRule type="cellIs" dxfId="2600" priority="5088" stopIfTrue="1" operator="between">
      <formula>#REF!</formula>
      <formula>#REF!</formula>
    </cfRule>
    <cfRule type="cellIs" dxfId="2599" priority="5089" stopIfTrue="1" operator="equal">
      <formula>#REF!</formula>
    </cfRule>
    <cfRule type="cellIs" dxfId="2598" priority="5090" stopIfTrue="1" operator="equal">
      <formula>#REF!</formula>
    </cfRule>
    <cfRule type="cellIs" dxfId="2597" priority="5091" stopIfTrue="1" operator="between">
      <formula>#REF!</formula>
      <formula>#REF!</formula>
    </cfRule>
    <cfRule type="cellIs" dxfId="2596" priority="5094" stopIfTrue="1" operator="between">
      <formula>#REF!</formula>
      <formula>#REF!</formula>
    </cfRule>
    <cfRule type="cellIs" dxfId="2595" priority="4992" stopIfTrue="1" operator="between">
      <formula>#REF!</formula>
      <formula>#REF!</formula>
    </cfRule>
    <cfRule type="cellIs" dxfId="2594" priority="4779" stopIfTrue="1" operator="between">
      <formula>#REF!</formula>
      <formula>#REF!</formula>
    </cfRule>
    <cfRule type="cellIs" dxfId="2593" priority="4871" stopIfTrue="1" operator="equal">
      <formula>#REF!</formula>
    </cfRule>
    <cfRule type="cellIs" dxfId="2592" priority="4872" stopIfTrue="1" operator="between">
      <formula>#REF!</formula>
      <formula>#REF!</formula>
    </cfRule>
    <cfRule type="cellIs" dxfId="2591" priority="4873" stopIfTrue="1" operator="equal">
      <formula>#REF!</formula>
    </cfRule>
    <cfRule type="cellIs" dxfId="2590" priority="4874" stopIfTrue="1" operator="equal">
      <formula>#REF!</formula>
    </cfRule>
    <cfRule type="cellIs" dxfId="2589" priority="4875" stopIfTrue="1" operator="between">
      <formula>#REF!</formula>
      <formula>#REF!</formula>
    </cfRule>
    <cfRule type="cellIs" dxfId="2588" priority="4877" stopIfTrue="1" operator="equal">
      <formula>#REF!</formula>
    </cfRule>
    <cfRule type="cellIs" dxfId="2587" priority="4878" stopIfTrue="1" operator="between">
      <formula>#REF!</formula>
      <formula>#REF!</formula>
    </cfRule>
    <cfRule type="cellIs" dxfId="2586" priority="4778" stopIfTrue="1" operator="equal">
      <formula>#REF!</formula>
    </cfRule>
    <cfRule type="cellIs" dxfId="2585" priority="4776" stopIfTrue="1" operator="between">
      <formula>#REF!</formula>
      <formula>#REF!</formula>
    </cfRule>
    <cfRule type="cellIs" dxfId="2584" priority="4775" stopIfTrue="1" operator="equal">
      <formula>#REF!</formula>
    </cfRule>
    <cfRule type="cellIs" dxfId="2583" priority="4774" stopIfTrue="1" operator="equal">
      <formula>#REF!</formula>
    </cfRule>
    <cfRule type="cellIs" dxfId="2582" priority="4773" stopIfTrue="1" operator="between">
      <formula>#REF!</formula>
      <formula>#REF!</formula>
    </cfRule>
    <cfRule type="cellIs" dxfId="2581" priority="4772" stopIfTrue="1" operator="equal">
      <formula>#REF!</formula>
    </cfRule>
    <cfRule type="cellIs" dxfId="2580" priority="4989" stopIfTrue="1" operator="between">
      <formula>#REF!</formula>
      <formula>#REF!</formula>
    </cfRule>
    <cfRule type="cellIs" dxfId="2579" priority="4990" stopIfTrue="1" operator="equal">
      <formula>#REF!</formula>
    </cfRule>
    <cfRule type="cellIs" dxfId="2578" priority="4991" stopIfTrue="1" operator="equal">
      <formula>#REF!</formula>
    </cfRule>
    <cfRule type="cellIs" dxfId="2577" priority="4995" stopIfTrue="1" operator="between">
      <formula>#REF!</formula>
      <formula>#REF!</formula>
    </cfRule>
    <cfRule type="cellIs" dxfId="2576" priority="4671" stopIfTrue="1" operator="between">
      <formula>#REF!</formula>
      <formula>#REF!</formula>
    </cfRule>
    <cfRule type="cellIs" dxfId="2575" priority="4670" stopIfTrue="1" operator="equal">
      <formula>#REF!</formula>
    </cfRule>
  </conditionalFormatting>
  <conditionalFormatting sqref="CV144:CV173">
    <cfRule type="cellIs" dxfId="2574" priority="4305" stopIfTrue="1" operator="between">
      <formula>#REF!</formula>
      <formula>#REF!</formula>
    </cfRule>
    <cfRule type="cellIs" dxfId="2573" priority="4203" stopIfTrue="1" operator="between">
      <formula>#REF!</formula>
      <formula>#REF!</formula>
    </cfRule>
    <cfRule type="cellIs" dxfId="2572" priority="4202" stopIfTrue="1" operator="equal">
      <formula>#REF!</formula>
    </cfRule>
    <cfRule type="cellIs" dxfId="2571" priority="4097" stopIfTrue="1" operator="equal">
      <formula>#REF!</formula>
    </cfRule>
    <cfRule type="cellIs" dxfId="2570" priority="4098" stopIfTrue="1" operator="between">
      <formula>#REF!</formula>
      <formula>#REF!</formula>
    </cfRule>
    <cfRule type="cellIs" dxfId="2569" priority="4099" stopIfTrue="1" operator="equal">
      <formula>#REF!</formula>
    </cfRule>
    <cfRule type="cellIs" dxfId="2568" priority="4100" stopIfTrue="1" operator="equal">
      <formula>#REF!</formula>
    </cfRule>
    <cfRule type="cellIs" dxfId="2567" priority="4101" stopIfTrue="1" operator="between">
      <formula>#REF!</formula>
      <formula>#REF!</formula>
    </cfRule>
    <cfRule type="cellIs" dxfId="2566" priority="4103" stopIfTrue="1" operator="equal">
      <formula>#REF!</formula>
    </cfRule>
    <cfRule type="cellIs" dxfId="2565" priority="3882" stopIfTrue="1" operator="between">
      <formula>#REF!</formula>
      <formula>#REF!</formula>
    </cfRule>
    <cfRule type="cellIs" dxfId="2564" priority="3775" stopIfTrue="1" operator="equal">
      <formula>#REF!</formula>
    </cfRule>
    <cfRule type="cellIs" dxfId="2563" priority="4200" stopIfTrue="1" operator="between">
      <formula>#REF!</formula>
      <formula>#REF!</formula>
    </cfRule>
    <cfRule type="cellIs" dxfId="2562" priority="4199" stopIfTrue="1" operator="equal">
      <formula>#REF!</formula>
    </cfRule>
    <cfRule type="cellIs" dxfId="2561" priority="3774" stopIfTrue="1" operator="between">
      <formula>#REF!</formula>
      <formula>#REF!</formula>
    </cfRule>
    <cfRule type="cellIs" dxfId="2560" priority="3980" stopIfTrue="1" operator="equal">
      <formula>#REF!</formula>
    </cfRule>
    <cfRule type="cellIs" dxfId="2559" priority="3981" stopIfTrue="1" operator="between">
      <formula>#REF!</formula>
      <formula>#REF!</formula>
    </cfRule>
    <cfRule type="cellIs" dxfId="2558" priority="3982" stopIfTrue="1" operator="equal">
      <formula>#REF!</formula>
    </cfRule>
    <cfRule type="cellIs" dxfId="2557" priority="3983" stopIfTrue="1" operator="equal">
      <formula>#REF!</formula>
    </cfRule>
    <cfRule type="cellIs" dxfId="2556" priority="3984" stopIfTrue="1" operator="between">
      <formula>#REF!</formula>
      <formula>#REF!</formula>
    </cfRule>
    <cfRule type="cellIs" dxfId="2555" priority="3986" stopIfTrue="1" operator="equal">
      <formula>#REF!</formula>
    </cfRule>
    <cfRule type="cellIs" dxfId="2554" priority="3987" stopIfTrue="1" operator="between">
      <formula>#REF!</formula>
      <formula>#REF!</formula>
    </cfRule>
    <cfRule type="cellIs" dxfId="2553" priority="3780" stopIfTrue="1" operator="between">
      <formula>#REF!</formula>
      <formula>#REF!</formula>
    </cfRule>
    <cfRule type="cellIs" dxfId="2552" priority="3779" stopIfTrue="1" operator="equal">
      <formula>#REF!</formula>
    </cfRule>
    <cfRule type="cellIs" dxfId="2551" priority="3777" stopIfTrue="1" operator="between">
      <formula>#REF!</formula>
      <formula>#REF!</formula>
    </cfRule>
    <cfRule type="cellIs" dxfId="2550" priority="3776" stopIfTrue="1" operator="equal">
      <formula>#REF!</formula>
    </cfRule>
    <cfRule type="cellIs" dxfId="2549" priority="4403" stopIfTrue="1" operator="equal">
      <formula>#REF!</formula>
    </cfRule>
    <cfRule type="cellIs" dxfId="2548" priority="4404" stopIfTrue="1" operator="between">
      <formula>#REF!</formula>
      <formula>#REF!</formula>
    </cfRule>
    <cfRule type="cellIs" dxfId="2547" priority="4405" stopIfTrue="1" operator="equal">
      <formula>#REF!</formula>
    </cfRule>
    <cfRule type="cellIs" dxfId="2546" priority="3676" stopIfTrue="1" operator="equal">
      <formula>#REF!</formula>
    </cfRule>
    <cfRule type="cellIs" dxfId="2545" priority="4104" stopIfTrue="1" operator="between">
      <formula>#REF!</formula>
      <formula>#REF!</formula>
    </cfRule>
    <cfRule type="cellIs" dxfId="2544" priority="3674" stopIfTrue="1" operator="equal">
      <formula>#REF!</formula>
    </cfRule>
    <cfRule type="cellIs" dxfId="2543" priority="4407" stopIfTrue="1" operator="between">
      <formula>#REF!</formula>
      <formula>#REF!</formula>
    </cfRule>
    <cfRule type="cellIs" dxfId="2542" priority="4197" stopIfTrue="1" operator="between">
      <formula>#REF!</formula>
      <formula>#REF!</formula>
    </cfRule>
    <cfRule type="cellIs" dxfId="2541" priority="4304" stopIfTrue="1" operator="equal">
      <formula>#REF!</formula>
    </cfRule>
    <cfRule type="cellIs" dxfId="2540" priority="4198" stopIfTrue="1" operator="equal">
      <formula>#REF!</formula>
    </cfRule>
    <cfRule type="cellIs" dxfId="2539" priority="4409" stopIfTrue="1" operator="equal">
      <formula>#REF!</formula>
    </cfRule>
    <cfRule type="cellIs" dxfId="2538" priority="4196" stopIfTrue="1" operator="equal">
      <formula>#REF!</formula>
    </cfRule>
    <cfRule type="cellIs" dxfId="2537" priority="4410" stopIfTrue="1" operator="between">
      <formula>#REF!</formula>
      <formula>#REF!</formula>
    </cfRule>
    <cfRule type="cellIs" dxfId="2536" priority="3773" stopIfTrue="1" operator="equal">
      <formula>#REF!</formula>
    </cfRule>
    <cfRule type="cellIs" dxfId="2535" priority="3881" stopIfTrue="1" operator="equal">
      <formula>#REF!</formula>
    </cfRule>
    <cfRule type="cellIs" dxfId="2534" priority="3883" stopIfTrue="1" operator="equal">
      <formula>#REF!</formula>
    </cfRule>
    <cfRule type="cellIs" dxfId="2533" priority="3884" stopIfTrue="1" operator="equal">
      <formula>#REF!</formula>
    </cfRule>
    <cfRule type="cellIs" dxfId="2532" priority="4406" stopIfTrue="1" operator="equal">
      <formula>#REF!</formula>
    </cfRule>
    <cfRule type="cellIs" dxfId="2531" priority="3885" stopIfTrue="1" operator="between">
      <formula>#REF!</formula>
      <formula>#REF!</formula>
    </cfRule>
    <cfRule type="cellIs" dxfId="2530" priority="3887" stopIfTrue="1" operator="equal">
      <formula>#REF!</formula>
    </cfRule>
    <cfRule type="cellIs" dxfId="2529" priority="4311" stopIfTrue="1" operator="between">
      <formula>#REF!</formula>
      <formula>#REF!</formula>
    </cfRule>
    <cfRule type="cellIs" dxfId="2528" priority="3888" stopIfTrue="1" operator="between">
      <formula>#REF!</formula>
      <formula>#REF!</formula>
    </cfRule>
    <cfRule type="cellIs" dxfId="2527" priority="3681" stopIfTrue="1" operator="between">
      <formula>#REF!</formula>
      <formula>#REF!</formula>
    </cfRule>
    <cfRule type="cellIs" dxfId="2526" priority="4310" stopIfTrue="1" operator="equal">
      <formula>#REF!</formula>
    </cfRule>
    <cfRule type="cellIs" dxfId="2525" priority="4308" stopIfTrue="1" operator="between">
      <formula>#REF!</formula>
      <formula>#REF!</formula>
    </cfRule>
    <cfRule type="cellIs" dxfId="2524" priority="4307" stopIfTrue="1" operator="equal">
      <formula>#REF!</formula>
    </cfRule>
    <cfRule type="cellIs" dxfId="2523" priority="4306" stopIfTrue="1" operator="equal">
      <formula>#REF!</formula>
    </cfRule>
    <cfRule type="cellIs" dxfId="2522" priority="3680" stopIfTrue="1" operator="equal">
      <formula>#REF!</formula>
    </cfRule>
    <cfRule type="cellIs" dxfId="2521" priority="3678" stopIfTrue="1" operator="between">
      <formula>#REF!</formula>
      <formula>#REF!</formula>
    </cfRule>
    <cfRule type="cellIs" dxfId="2520" priority="3677" stopIfTrue="1" operator="equal">
      <formula>#REF!</formula>
    </cfRule>
    <cfRule type="cellIs" dxfId="2519" priority="3675" stopIfTrue="1" operator="between">
      <formula>#REF!</formula>
      <formula>#REF!</formula>
    </cfRule>
  </conditionalFormatting>
  <conditionalFormatting sqref="CV174:CV199">
    <cfRule type="cellIs" dxfId="2518" priority="101" stopIfTrue="1" operator="equal">
      <formula>#REF!</formula>
    </cfRule>
    <cfRule type="cellIs" dxfId="2517" priority="837" stopIfTrue="1" operator="between">
      <formula>#REF!</formula>
      <formula>#REF!</formula>
    </cfRule>
    <cfRule type="cellIs" dxfId="2516" priority="836" stopIfTrue="1" operator="equal">
      <formula>#REF!</formula>
    </cfRule>
    <cfRule type="cellIs" dxfId="2515" priority="834" stopIfTrue="1" operator="between">
      <formula>#REF!</formula>
      <formula>#REF!</formula>
    </cfRule>
    <cfRule type="cellIs" dxfId="2514" priority="833" stopIfTrue="1" operator="equal">
      <formula>#REF!</formula>
    </cfRule>
    <cfRule type="cellIs" dxfId="2513" priority="832" stopIfTrue="1" operator="equal">
      <formula>#REF!</formula>
    </cfRule>
    <cfRule type="cellIs" dxfId="2512" priority="831" stopIfTrue="1" operator="between">
      <formula>#REF!</formula>
      <formula>#REF!</formula>
    </cfRule>
    <cfRule type="cellIs" dxfId="2511" priority="830" stopIfTrue="1" operator="equal">
      <formula>#REF!</formula>
    </cfRule>
    <cfRule type="cellIs" dxfId="2510" priority="738" stopIfTrue="1" operator="between">
      <formula>#REF!</formula>
      <formula>#REF!</formula>
    </cfRule>
    <cfRule type="cellIs" dxfId="2509" priority="737" stopIfTrue="1" operator="equal">
      <formula>#REF!</formula>
    </cfRule>
    <cfRule type="cellIs" dxfId="2508" priority="735" stopIfTrue="1" operator="between">
      <formula>#REF!</formula>
      <formula>#REF!</formula>
    </cfRule>
    <cfRule type="cellIs" dxfId="2507" priority="734" stopIfTrue="1" operator="equal">
      <formula>#REF!</formula>
    </cfRule>
    <cfRule type="cellIs" dxfId="2506" priority="733" stopIfTrue="1" operator="equal">
      <formula>#REF!</formula>
    </cfRule>
    <cfRule type="cellIs" dxfId="2505" priority="732" stopIfTrue="1" operator="between">
      <formula>#REF!</formula>
      <formula>#REF!</formula>
    </cfRule>
    <cfRule type="cellIs" dxfId="2504" priority="731" stopIfTrue="1" operator="equal">
      <formula>#REF!</formula>
    </cfRule>
    <cfRule type="cellIs" dxfId="2503" priority="630" stopIfTrue="1" operator="between">
      <formula>#REF!</formula>
      <formula>#REF!</formula>
    </cfRule>
    <cfRule type="cellIs" dxfId="2502" priority="629" stopIfTrue="1" operator="equal">
      <formula>#REF!</formula>
    </cfRule>
    <cfRule type="cellIs" dxfId="2501" priority="627" stopIfTrue="1" operator="between">
      <formula>#REF!</formula>
      <formula>#REF!</formula>
    </cfRule>
    <cfRule type="cellIs" dxfId="2500" priority="626" stopIfTrue="1" operator="equal">
      <formula>#REF!</formula>
    </cfRule>
    <cfRule type="cellIs" dxfId="2499" priority="308" stopIfTrue="1" operator="equal">
      <formula>#REF!</formula>
    </cfRule>
    <cfRule type="cellIs" dxfId="2498" priority="624" stopIfTrue="1" operator="between">
      <formula>#REF!</formula>
      <formula>#REF!</formula>
    </cfRule>
    <cfRule type="cellIs" dxfId="2497" priority="623" stopIfTrue="1" operator="equal">
      <formula>#REF!</formula>
    </cfRule>
    <cfRule type="cellIs" dxfId="2496" priority="531" stopIfTrue="1" operator="between">
      <formula>#REF!</formula>
      <formula>#REF!</formula>
    </cfRule>
    <cfRule type="cellIs" dxfId="2495" priority="530" stopIfTrue="1" operator="equal">
      <formula>#REF!</formula>
    </cfRule>
    <cfRule type="cellIs" dxfId="2494" priority="528" stopIfTrue="1" operator="between">
      <formula>#REF!</formula>
      <formula>#REF!</formula>
    </cfRule>
    <cfRule type="cellIs" dxfId="2493" priority="527" stopIfTrue="1" operator="equal">
      <formula>#REF!</formula>
    </cfRule>
    <cfRule type="cellIs" dxfId="2492" priority="526" stopIfTrue="1" operator="equal">
      <formula>#REF!</formula>
    </cfRule>
    <cfRule type="cellIs" dxfId="2491" priority="525" stopIfTrue="1" operator="between">
      <formula>#REF!</formula>
      <formula>#REF!</formula>
    </cfRule>
    <cfRule type="cellIs" dxfId="2490" priority="524" stopIfTrue="1" operator="equal">
      <formula>#REF!</formula>
    </cfRule>
    <cfRule type="cellIs" dxfId="2489" priority="414" stopIfTrue="1" operator="between">
      <formula>#REF!</formula>
      <formula>#REF!</formula>
    </cfRule>
    <cfRule type="cellIs" dxfId="2488" priority="413" stopIfTrue="1" operator="equal">
      <formula>#REF!</formula>
    </cfRule>
    <cfRule type="cellIs" dxfId="2487" priority="411" stopIfTrue="1" operator="between">
      <formula>#REF!</formula>
      <formula>#REF!</formula>
    </cfRule>
    <cfRule type="cellIs" dxfId="2486" priority="410" stopIfTrue="1" operator="equal">
      <formula>#REF!</formula>
    </cfRule>
    <cfRule type="cellIs" dxfId="2485" priority="409" stopIfTrue="1" operator="equal">
      <formula>#REF!</formula>
    </cfRule>
    <cfRule type="cellIs" dxfId="2484" priority="408" stopIfTrue="1" operator="between">
      <formula>#REF!</formula>
      <formula>#REF!</formula>
    </cfRule>
    <cfRule type="cellIs" dxfId="2483" priority="407" stopIfTrue="1" operator="equal">
      <formula>#REF!</formula>
    </cfRule>
    <cfRule type="cellIs" dxfId="2482" priority="315" stopIfTrue="1" operator="between">
      <formula>#REF!</formula>
      <formula>#REF!</formula>
    </cfRule>
    <cfRule type="cellIs" dxfId="2481" priority="314" stopIfTrue="1" operator="equal">
      <formula>#REF!</formula>
    </cfRule>
    <cfRule type="cellIs" dxfId="2480" priority="312" stopIfTrue="1" operator="between">
      <formula>#REF!</formula>
      <formula>#REF!</formula>
    </cfRule>
    <cfRule type="cellIs" dxfId="2479" priority="311" stopIfTrue="1" operator="equal">
      <formula>#REF!</formula>
    </cfRule>
    <cfRule type="cellIs" dxfId="2478" priority="310" stopIfTrue="1" operator="equal">
      <formula>#REF!</formula>
    </cfRule>
    <cfRule type="cellIs" dxfId="2477" priority="309" stopIfTrue="1" operator="between">
      <formula>#REF!</formula>
      <formula>#REF!</formula>
    </cfRule>
    <cfRule type="cellIs" dxfId="2476" priority="207" stopIfTrue="1" operator="between">
      <formula>#REF!</formula>
      <formula>#REF!</formula>
    </cfRule>
    <cfRule type="cellIs" dxfId="2475" priority="206" stopIfTrue="1" operator="equal">
      <formula>#REF!</formula>
    </cfRule>
    <cfRule type="cellIs" dxfId="2474" priority="204" stopIfTrue="1" operator="between">
      <formula>#REF!</formula>
      <formula>#REF!</formula>
    </cfRule>
    <cfRule type="cellIs" dxfId="2473" priority="203" stopIfTrue="1" operator="equal">
      <formula>#REF!</formula>
    </cfRule>
    <cfRule type="cellIs" dxfId="2472" priority="202" stopIfTrue="1" operator="equal">
      <formula>#REF!</formula>
    </cfRule>
    <cfRule type="cellIs" dxfId="2471" priority="201" stopIfTrue="1" operator="between">
      <formula>#REF!</formula>
      <formula>#REF!</formula>
    </cfRule>
    <cfRule type="cellIs" dxfId="2470" priority="200" stopIfTrue="1" operator="equal">
      <formula>#REF!</formula>
    </cfRule>
    <cfRule type="cellIs" dxfId="2469" priority="108" stopIfTrue="1" operator="between">
      <formula>#REF!</formula>
      <formula>#REF!</formula>
    </cfRule>
    <cfRule type="cellIs" dxfId="2468" priority="107" stopIfTrue="1" operator="equal">
      <formula>#REF!</formula>
    </cfRule>
    <cfRule type="cellIs" dxfId="2467" priority="105" stopIfTrue="1" operator="between">
      <formula>#REF!</formula>
      <formula>#REF!</formula>
    </cfRule>
    <cfRule type="cellIs" dxfId="2466" priority="104" stopIfTrue="1" operator="equal">
      <formula>#REF!</formula>
    </cfRule>
    <cfRule type="cellIs" dxfId="2465" priority="625" stopIfTrue="1" operator="equal">
      <formula>#REF!</formula>
    </cfRule>
    <cfRule type="cellIs" dxfId="2464" priority="103" stopIfTrue="1" operator="equal">
      <formula>#REF!</formula>
    </cfRule>
    <cfRule type="cellIs" dxfId="2463" priority="102" stopIfTrue="1" operator="between">
      <formula>#REF!</formula>
      <formula>#REF!</formula>
    </cfRule>
  </conditionalFormatting>
  <conditionalFormatting sqref="CV112:CW112">
    <cfRule type="cellIs" dxfId="2462" priority="8585" stopIfTrue="1" operator="equal">
      <formula>#REF!</formula>
    </cfRule>
  </conditionalFormatting>
  <conditionalFormatting sqref="CV113:CW113">
    <cfRule type="cellIs" dxfId="2461" priority="8446" stopIfTrue="1" operator="equal">
      <formula>#REF!</formula>
    </cfRule>
    <cfRule type="cellIs" dxfId="2460" priority="8447" stopIfTrue="1" operator="equal">
      <formula>#REF!</formula>
    </cfRule>
  </conditionalFormatting>
  <conditionalFormatting sqref="CV114:CW115">
    <cfRule type="cellIs" dxfId="2459" priority="8306" stopIfTrue="1" operator="equal">
      <formula>#REF!</formula>
    </cfRule>
    <cfRule type="cellIs" dxfId="2458" priority="8305" stopIfTrue="1" operator="equal">
      <formula>#REF!</formula>
    </cfRule>
  </conditionalFormatting>
  <conditionalFormatting sqref="CV116:CW116">
    <cfRule type="cellIs" dxfId="2457" priority="8144" stopIfTrue="1" operator="equal">
      <formula>#REF!</formula>
    </cfRule>
    <cfRule type="cellIs" dxfId="2456" priority="8143" stopIfTrue="1" operator="equal">
      <formula>#REF!</formula>
    </cfRule>
  </conditionalFormatting>
  <conditionalFormatting sqref="CV117:CW129">
    <cfRule type="cellIs" dxfId="2455" priority="8000" stopIfTrue="1" operator="equal">
      <formula>#REF!</formula>
    </cfRule>
    <cfRule type="cellIs" dxfId="2454" priority="7999" stopIfTrue="1" operator="equal">
      <formula>#REF!</formula>
    </cfRule>
  </conditionalFormatting>
  <conditionalFormatting sqref="CV121:CW129">
    <cfRule type="cellIs" dxfId="2453" priority="7900" stopIfTrue="1" operator="equal">
      <formula>#REF!</formula>
    </cfRule>
    <cfRule type="cellIs" dxfId="2452" priority="7901" stopIfTrue="1" operator="equal">
      <formula>#REF!</formula>
    </cfRule>
  </conditionalFormatting>
  <conditionalFormatting sqref="CV125:CW129">
    <cfRule type="cellIs" dxfId="2451" priority="7792" stopIfTrue="1" operator="equal">
      <formula>#REF!</formula>
    </cfRule>
    <cfRule type="cellIs" dxfId="2450" priority="7793" stopIfTrue="1" operator="equal">
      <formula>#REF!</formula>
    </cfRule>
    <cfRule type="cellIs" dxfId="2449" priority="7693" stopIfTrue="1" operator="equal">
      <formula>#REF!</formula>
    </cfRule>
    <cfRule type="cellIs" dxfId="2448" priority="7694" stopIfTrue="1" operator="equal">
      <formula>#REF!</formula>
    </cfRule>
  </conditionalFormatting>
  <conditionalFormatting sqref="CV126:CW129">
    <cfRule type="cellIs" dxfId="2447" priority="7270" stopIfTrue="1" operator="equal">
      <formula>#REF!</formula>
    </cfRule>
    <cfRule type="cellIs" dxfId="2446" priority="7369" stopIfTrue="1" operator="equal">
      <formula>#REF!</formula>
    </cfRule>
    <cfRule type="cellIs" dxfId="2445" priority="7576" stopIfTrue="1" operator="equal">
      <formula>#REF!</formula>
    </cfRule>
    <cfRule type="cellIs" dxfId="2444" priority="7577" stopIfTrue="1" operator="equal">
      <formula>#REF!</formula>
    </cfRule>
    <cfRule type="cellIs" dxfId="2443" priority="7370" stopIfTrue="1" operator="equal">
      <formula>#REF!</formula>
    </cfRule>
    <cfRule type="cellIs" dxfId="2442" priority="7271" stopIfTrue="1" operator="equal">
      <formula>#REF!</formula>
    </cfRule>
    <cfRule type="cellIs" dxfId="2441" priority="7478" stopIfTrue="1" operator="equal">
      <formula>#REF!</formula>
    </cfRule>
    <cfRule type="cellIs" dxfId="2440" priority="7477" stopIfTrue="1" operator="equal">
      <formula>#REF!</formula>
    </cfRule>
  </conditionalFormatting>
  <conditionalFormatting sqref="CV130:CW130">
    <cfRule type="cellIs" dxfId="2439" priority="6568" stopIfTrue="1" operator="equal">
      <formula>#REF!</formula>
    </cfRule>
    <cfRule type="cellIs" dxfId="2438" priority="6569" stopIfTrue="1" operator="equal">
      <formula>#REF!</formula>
    </cfRule>
    <cfRule type="cellIs" dxfId="2437" priority="6361" stopIfTrue="1" operator="equal">
      <formula>#REF!</formula>
    </cfRule>
    <cfRule type="cellIs" dxfId="2436" priority="6667" stopIfTrue="1" operator="equal">
      <formula>#REF!</formula>
    </cfRule>
    <cfRule type="cellIs" dxfId="2435" priority="6461" stopIfTrue="1" operator="equal">
      <formula>#REF!</formula>
    </cfRule>
    <cfRule type="cellIs" dxfId="2434" priority="6460" stopIfTrue="1" operator="equal">
      <formula>#REF!</formula>
    </cfRule>
    <cfRule type="cellIs" dxfId="2433" priority="7091" stopIfTrue="1" operator="equal">
      <formula>#REF!</formula>
    </cfRule>
    <cfRule type="cellIs" dxfId="2432" priority="7090" stopIfTrue="1" operator="equal">
      <formula>#REF!</formula>
    </cfRule>
    <cfRule type="cellIs" dxfId="2431" priority="6668" stopIfTrue="1" operator="equal">
      <formula>#REF!</formula>
    </cfRule>
    <cfRule type="cellIs" dxfId="2430" priority="6362" stopIfTrue="1" operator="equal">
      <formula>#REF!</formula>
    </cfRule>
    <cfRule type="cellIs" dxfId="2429" priority="6991" stopIfTrue="1" operator="equal">
      <formula>#REF!</formula>
    </cfRule>
    <cfRule type="cellIs" dxfId="2428" priority="6992" stopIfTrue="1" operator="equal">
      <formula>#REF!</formula>
    </cfRule>
    <cfRule type="cellIs" dxfId="2427" priority="6884" stopIfTrue="1" operator="equal">
      <formula>#REF!</formula>
    </cfRule>
    <cfRule type="cellIs" dxfId="2426" priority="6784" stopIfTrue="1" operator="equal">
      <formula>#REF!</formula>
    </cfRule>
    <cfRule type="cellIs" dxfId="2425" priority="6883" stopIfTrue="1" operator="equal">
      <formula>#REF!</formula>
    </cfRule>
    <cfRule type="cellIs" dxfId="2424" priority="6785" stopIfTrue="1" operator="equal">
      <formula>#REF!</formula>
    </cfRule>
  </conditionalFormatting>
  <conditionalFormatting sqref="CV131:CW141">
    <cfRule type="cellIs" dxfId="2423" priority="5552" stopIfTrue="1" operator="equal">
      <formula>#REF!</formula>
    </cfRule>
    <cfRule type="cellIs" dxfId="2422" priority="5875" stopIfTrue="1" operator="equal">
      <formula>#REF!</formula>
    </cfRule>
    <cfRule type="cellIs" dxfId="2421" priority="6182" stopIfTrue="1" operator="equal">
      <formula>#REF!</formula>
    </cfRule>
    <cfRule type="cellIs" dxfId="2420" priority="6083" stopIfTrue="1" operator="equal">
      <formula>#REF!</formula>
    </cfRule>
    <cfRule type="cellIs" dxfId="2419" priority="6082" stopIfTrue="1" operator="equal">
      <formula>#REF!</formula>
    </cfRule>
    <cfRule type="cellIs" dxfId="2418" priority="5758" stopIfTrue="1" operator="equal">
      <formula>#REF!</formula>
    </cfRule>
    <cfRule type="cellIs" dxfId="2417" priority="5876" stopIfTrue="1" operator="equal">
      <formula>#REF!</formula>
    </cfRule>
    <cfRule type="cellIs" dxfId="2416" priority="5975" stopIfTrue="1" operator="equal">
      <formula>#REF!</formula>
    </cfRule>
    <cfRule type="cellIs" dxfId="2415" priority="5452" stopIfTrue="1" operator="equal">
      <formula>#REF!</formula>
    </cfRule>
    <cfRule type="cellIs" dxfId="2414" priority="5453" stopIfTrue="1" operator="equal">
      <formula>#REF!</formula>
    </cfRule>
    <cfRule type="cellIs" dxfId="2413" priority="5551" stopIfTrue="1" operator="equal">
      <formula>#REF!</formula>
    </cfRule>
    <cfRule type="cellIs" dxfId="2412" priority="5974" stopIfTrue="1" operator="equal">
      <formula>#REF!</formula>
    </cfRule>
    <cfRule type="cellIs" dxfId="2411" priority="5759" stopIfTrue="1" operator="equal">
      <formula>#REF!</formula>
    </cfRule>
    <cfRule type="cellIs" dxfId="2410" priority="6181" stopIfTrue="1" operator="equal">
      <formula>#REF!</formula>
    </cfRule>
    <cfRule type="cellIs" dxfId="2409" priority="5660" stopIfTrue="1" operator="equal">
      <formula>#REF!</formula>
    </cfRule>
    <cfRule type="cellIs" dxfId="2408" priority="5659" stopIfTrue="1" operator="equal">
      <formula>#REF!</formula>
    </cfRule>
  </conditionalFormatting>
  <conditionalFormatting sqref="CV142:CW143">
    <cfRule type="cellIs" dxfId="2407" priority="4561" stopIfTrue="1" operator="equal">
      <formula>#REF!</formula>
    </cfRule>
    <cfRule type="cellIs" dxfId="2406" priority="4660" stopIfTrue="1" operator="equal">
      <formula>#REF!</formula>
    </cfRule>
    <cfRule type="cellIs" dxfId="2405" priority="5191" stopIfTrue="1" operator="equal">
      <formula>#REF!</formula>
    </cfRule>
    <cfRule type="cellIs" dxfId="2404" priority="5192" stopIfTrue="1" operator="equal">
      <formula>#REF!</formula>
    </cfRule>
    <cfRule type="cellIs" dxfId="2403" priority="4867" stopIfTrue="1" operator="equal">
      <formula>#REF!</formula>
    </cfRule>
    <cfRule type="cellIs" dxfId="2402" priority="4985" stopIfTrue="1" operator="equal">
      <formula>#REF!</formula>
    </cfRule>
    <cfRule type="cellIs" dxfId="2401" priority="5083" stopIfTrue="1" operator="equal">
      <formula>#REF!</formula>
    </cfRule>
    <cfRule type="cellIs" dxfId="2400" priority="4768" stopIfTrue="1" operator="equal">
      <formula>#REF!</formula>
    </cfRule>
    <cfRule type="cellIs" dxfId="2399" priority="5291" stopIfTrue="1" operator="equal">
      <formula>#REF!</formula>
    </cfRule>
    <cfRule type="cellIs" dxfId="2398" priority="4984" stopIfTrue="1" operator="equal">
      <formula>#REF!</formula>
    </cfRule>
    <cfRule type="cellIs" dxfId="2397" priority="5290" stopIfTrue="1" operator="equal">
      <formula>#REF!</formula>
    </cfRule>
    <cfRule type="cellIs" dxfId="2396" priority="5084" stopIfTrue="1" operator="equal">
      <formula>#REF!</formula>
    </cfRule>
  </conditionalFormatting>
  <conditionalFormatting sqref="CV144:CW173">
    <cfRule type="cellIs" dxfId="2395" priority="3877" stopIfTrue="1" operator="equal">
      <formula>#REF!</formula>
    </cfRule>
    <cfRule type="cellIs" dxfId="2394" priority="3670" stopIfTrue="1" operator="equal">
      <formula>#REF!</formula>
    </cfRule>
    <cfRule type="cellIs" dxfId="2393" priority="3769" stopIfTrue="1" operator="equal">
      <formula>#REF!</formula>
    </cfRule>
    <cfRule type="cellIs" dxfId="2392" priority="4192" stopIfTrue="1" operator="equal">
      <formula>#REF!</formula>
    </cfRule>
    <cfRule type="cellIs" dxfId="2391" priority="4300" stopIfTrue="1" operator="equal">
      <formula>#REF!</formula>
    </cfRule>
    <cfRule type="cellIs" dxfId="2390" priority="4093" stopIfTrue="1" operator="equal">
      <formula>#REF!</formula>
    </cfRule>
    <cfRule type="cellIs" dxfId="2389" priority="4399" stopIfTrue="1" operator="equal">
      <formula>#REF!</formula>
    </cfRule>
    <cfRule type="cellIs" dxfId="2388" priority="3976" stopIfTrue="1" operator="equal">
      <formula>#REF!</formula>
    </cfRule>
  </conditionalFormatting>
  <conditionalFormatting sqref="CV174:CW199">
    <cfRule type="cellIs" dxfId="2387" priority="520" stopIfTrue="1" operator="equal">
      <formula>#REF!</formula>
    </cfRule>
    <cfRule type="cellIs" dxfId="2386" priority="826" stopIfTrue="1" operator="equal">
      <formula>#REF!</formula>
    </cfRule>
    <cfRule type="cellIs" dxfId="2385" priority="97" stopIfTrue="1" operator="equal">
      <formula>#REF!</formula>
    </cfRule>
    <cfRule type="cellIs" dxfId="2384" priority="196" stopIfTrue="1" operator="equal">
      <formula>#REF!</formula>
    </cfRule>
    <cfRule type="cellIs" dxfId="2383" priority="727" stopIfTrue="1" operator="equal">
      <formula>#REF!</formula>
    </cfRule>
    <cfRule type="cellIs" dxfId="2382" priority="403" stopIfTrue="1" operator="equal">
      <formula>#REF!</formula>
    </cfRule>
    <cfRule type="cellIs" dxfId="2381" priority="619" stopIfTrue="1" operator="equal">
      <formula>#REF!</formula>
    </cfRule>
    <cfRule type="cellIs" dxfId="2380" priority="304" stopIfTrue="1" operator="equal">
      <formula>#REF!</formula>
    </cfRule>
  </conditionalFormatting>
  <conditionalFormatting sqref="CV112:CX112">
    <cfRule type="cellIs" dxfId="2379" priority="8584" stopIfTrue="1" operator="equal">
      <formula>#REF!</formula>
    </cfRule>
  </conditionalFormatting>
  <conditionalFormatting sqref="CW112">
    <cfRule type="cellIs" dxfId="2378" priority="8583" stopIfTrue="1" operator="between">
      <formula>#REF!</formula>
      <formula>#REF!</formula>
    </cfRule>
    <cfRule type="cellIs" dxfId="2377" priority="8581" stopIfTrue="1" operator="equal">
      <formula>#REF!</formula>
    </cfRule>
    <cfRule type="cellIs" dxfId="2376" priority="8582" stopIfTrue="1" operator="equal">
      <formula>#REF!</formula>
    </cfRule>
    <cfRule type="cellIs" dxfId="2375" priority="8586" stopIfTrue="1" operator="between">
      <formula>#REF!</formula>
      <formula>#REF!</formula>
    </cfRule>
    <cfRule type="cellIs" dxfId="2374" priority="8580" stopIfTrue="1" operator="between">
      <formula>#REF!</formula>
      <formula>#REF!</formula>
    </cfRule>
  </conditionalFormatting>
  <conditionalFormatting sqref="CW112:CW113">
    <cfRule type="cellIs" dxfId="2373" priority="8450" stopIfTrue="1" operator="equal">
      <formula>#REF!</formula>
    </cfRule>
    <cfRule type="cellIs" dxfId="2372" priority="8449" stopIfTrue="1" operator="equal">
      <formula>#REF!</formula>
    </cfRule>
  </conditionalFormatting>
  <conditionalFormatting sqref="CW113">
    <cfRule type="cellIs" dxfId="2371" priority="8451" stopIfTrue="1" operator="between">
      <formula>#REF!</formula>
      <formula>#REF!</formula>
    </cfRule>
    <cfRule type="cellIs" dxfId="2370" priority="8445" stopIfTrue="1" operator="between">
      <formula>#REF!</formula>
      <formula>#REF!</formula>
    </cfRule>
    <cfRule type="cellIs" dxfId="2369" priority="8448" stopIfTrue="1" operator="between">
      <formula>#REF!</formula>
      <formula>#REF!</formula>
    </cfRule>
  </conditionalFormatting>
  <conditionalFormatting sqref="CW114:CW115">
    <cfRule type="cellIs" dxfId="2368" priority="8303" stopIfTrue="1" operator="equal">
      <formula>#REF!</formula>
    </cfRule>
    <cfRule type="cellIs" dxfId="2367" priority="8307" stopIfTrue="1" operator="between">
      <formula>#REF!</formula>
      <formula>#REF!</formula>
    </cfRule>
    <cfRule type="cellIs" dxfId="2366" priority="8301" stopIfTrue="1" operator="between">
      <formula>#REF!</formula>
      <formula>#REF!</formula>
    </cfRule>
    <cfRule type="cellIs" dxfId="2365" priority="8302" stopIfTrue="1" operator="equal">
      <formula>#REF!</formula>
    </cfRule>
    <cfRule type="cellIs" dxfId="2364" priority="8304" stopIfTrue="1" operator="between">
      <formula>#REF!</formula>
      <formula>#REF!</formula>
    </cfRule>
  </conditionalFormatting>
  <conditionalFormatting sqref="CW116">
    <cfRule type="cellIs" dxfId="2363" priority="8145" stopIfTrue="1" operator="between">
      <formula>#REF!</formula>
      <formula>#REF!</formula>
    </cfRule>
    <cfRule type="cellIs" dxfId="2362" priority="8140" stopIfTrue="1" operator="equal">
      <formula>#REF!</formula>
    </cfRule>
    <cfRule type="cellIs" dxfId="2361" priority="8139" stopIfTrue="1" operator="between">
      <formula>#REF!</formula>
      <formula>#REF!</formula>
    </cfRule>
    <cfRule type="cellIs" dxfId="2360" priority="8141" stopIfTrue="1" operator="equal">
      <formula>#REF!</formula>
    </cfRule>
    <cfRule type="cellIs" dxfId="2359" priority="8142" stopIfTrue="1" operator="between">
      <formula>#REF!</formula>
      <formula>#REF!</formula>
    </cfRule>
  </conditionalFormatting>
  <conditionalFormatting sqref="CW117:CW129">
    <cfRule type="cellIs" dxfId="2358" priority="7995" stopIfTrue="1" operator="between">
      <formula>#REF!</formula>
      <formula>#REF!</formula>
    </cfRule>
    <cfRule type="cellIs" dxfId="2357" priority="7996" stopIfTrue="1" operator="equal">
      <formula>#REF!</formula>
    </cfRule>
    <cfRule type="cellIs" dxfId="2356" priority="7998" stopIfTrue="1" operator="between">
      <formula>#REF!</formula>
      <formula>#REF!</formula>
    </cfRule>
    <cfRule type="cellIs" dxfId="2355" priority="7997" stopIfTrue="1" operator="equal">
      <formula>#REF!</formula>
    </cfRule>
    <cfRule type="cellIs" dxfId="2354" priority="8001" stopIfTrue="1" operator="between">
      <formula>#REF!</formula>
      <formula>#REF!</formula>
    </cfRule>
  </conditionalFormatting>
  <conditionalFormatting sqref="CW121:CW129">
    <cfRule type="cellIs" dxfId="2353" priority="7902" stopIfTrue="1" operator="between">
      <formula>#REF!</formula>
      <formula>#REF!</formula>
    </cfRule>
    <cfRule type="cellIs" dxfId="2352" priority="7899" stopIfTrue="1" operator="between">
      <formula>#REF!</formula>
      <formula>#REF!</formula>
    </cfRule>
    <cfRule type="cellIs" dxfId="2351" priority="7896" stopIfTrue="1" operator="between">
      <formula>#REF!</formula>
      <formula>#REF!</formula>
    </cfRule>
    <cfRule type="cellIs" dxfId="2350" priority="7897" stopIfTrue="1" operator="equal">
      <formula>#REF!</formula>
    </cfRule>
    <cfRule type="cellIs" dxfId="2349" priority="7898" stopIfTrue="1" operator="equal">
      <formula>#REF!</formula>
    </cfRule>
  </conditionalFormatting>
  <conditionalFormatting sqref="CW125:CW129">
    <cfRule type="cellIs" dxfId="2348" priority="7692" stopIfTrue="1" operator="between">
      <formula>#REF!</formula>
      <formula>#REF!</formula>
    </cfRule>
    <cfRule type="cellIs" dxfId="2347" priority="7790" stopIfTrue="1" operator="equal">
      <formula>#REF!</formula>
    </cfRule>
    <cfRule type="cellIs" dxfId="2346" priority="7794" stopIfTrue="1" operator="between">
      <formula>#REF!</formula>
      <formula>#REF!</formula>
    </cfRule>
    <cfRule type="cellIs" dxfId="2345" priority="7689" stopIfTrue="1" operator="between">
      <formula>#REF!</formula>
      <formula>#REF!</formula>
    </cfRule>
    <cfRule type="cellIs" dxfId="2344" priority="7690" stopIfTrue="1" operator="equal">
      <formula>#REF!</formula>
    </cfRule>
    <cfRule type="cellIs" dxfId="2343" priority="7695" stopIfTrue="1" operator="between">
      <formula>#REF!</formula>
      <formula>#REF!</formula>
    </cfRule>
    <cfRule type="cellIs" dxfId="2342" priority="7691" stopIfTrue="1" operator="equal">
      <formula>#REF!</formula>
    </cfRule>
    <cfRule type="cellIs" dxfId="2341" priority="7791" stopIfTrue="1" operator="between">
      <formula>#REF!</formula>
      <formula>#REF!</formula>
    </cfRule>
    <cfRule type="cellIs" dxfId="2340" priority="7788" stopIfTrue="1" operator="between">
      <formula>#REF!</formula>
      <formula>#REF!</formula>
    </cfRule>
    <cfRule type="cellIs" dxfId="2339" priority="7789" stopIfTrue="1" operator="equal">
      <formula>#REF!</formula>
    </cfRule>
  </conditionalFormatting>
  <conditionalFormatting sqref="CW126:CW129">
    <cfRule type="cellIs" dxfId="2338" priority="7476" stopIfTrue="1" operator="between">
      <formula>#REF!</formula>
      <formula>#REF!</formula>
    </cfRule>
    <cfRule type="cellIs" dxfId="2337" priority="7266" stopIfTrue="1" operator="between">
      <formula>#REF!</formula>
      <formula>#REF!</formula>
    </cfRule>
    <cfRule type="cellIs" dxfId="2336" priority="7475" stopIfTrue="1" operator="equal">
      <formula>#REF!</formula>
    </cfRule>
    <cfRule type="cellIs" dxfId="2335" priority="7479" stopIfTrue="1" operator="between">
      <formula>#REF!</formula>
      <formula>#REF!</formula>
    </cfRule>
    <cfRule type="cellIs" dxfId="2334" priority="7371" stopIfTrue="1" operator="between">
      <formula>#REF!</formula>
      <formula>#REF!</formula>
    </cfRule>
    <cfRule type="cellIs" dxfId="2333" priority="7473" stopIfTrue="1" operator="between">
      <formula>#REF!</formula>
      <formula>#REF!</formula>
    </cfRule>
    <cfRule type="cellIs" dxfId="2332" priority="7366" stopIfTrue="1" operator="equal">
      <formula>#REF!</formula>
    </cfRule>
    <cfRule type="cellIs" dxfId="2331" priority="7575" stopIfTrue="1" operator="between">
      <formula>#REF!</formula>
      <formula>#REF!</formula>
    </cfRule>
    <cfRule type="cellIs" dxfId="2330" priority="7573" stopIfTrue="1" operator="equal">
      <formula>#REF!</formula>
    </cfRule>
    <cfRule type="cellIs" dxfId="2329" priority="7474" stopIfTrue="1" operator="equal">
      <formula>#REF!</formula>
    </cfRule>
    <cfRule type="cellIs" dxfId="2328" priority="7368" stopIfTrue="1" operator="between">
      <formula>#REF!</formula>
      <formula>#REF!</formula>
    </cfRule>
    <cfRule type="cellIs" dxfId="2327" priority="7367" stopIfTrue="1" operator="equal">
      <formula>#REF!</formula>
    </cfRule>
    <cfRule type="cellIs" dxfId="2326" priority="7268" stopIfTrue="1" operator="equal">
      <formula>#REF!</formula>
    </cfRule>
    <cfRule type="cellIs" dxfId="2325" priority="7578" stopIfTrue="1" operator="between">
      <formula>#REF!</formula>
      <formula>#REF!</formula>
    </cfRule>
    <cfRule type="cellIs" dxfId="2324" priority="7267" stopIfTrue="1" operator="equal">
      <formula>#REF!</formula>
    </cfRule>
    <cfRule type="cellIs" dxfId="2323" priority="7269" stopIfTrue="1" operator="between">
      <formula>#REF!</formula>
      <formula>#REF!</formula>
    </cfRule>
    <cfRule type="cellIs" dxfId="2322" priority="7365" stopIfTrue="1" operator="between">
      <formula>#REF!</formula>
      <formula>#REF!</formula>
    </cfRule>
    <cfRule type="cellIs" dxfId="2321" priority="7272" stopIfTrue="1" operator="between">
      <formula>#REF!</formula>
      <formula>#REF!</formula>
    </cfRule>
    <cfRule type="cellIs" dxfId="2320" priority="7574" stopIfTrue="1" operator="equal">
      <formula>#REF!</formula>
    </cfRule>
    <cfRule type="cellIs" dxfId="2319" priority="7572" stopIfTrue="1" operator="between">
      <formula>#REF!</formula>
      <formula>#REF!</formula>
    </cfRule>
  </conditionalFormatting>
  <conditionalFormatting sqref="CW130">
    <cfRule type="cellIs" dxfId="2318" priority="6669" stopIfTrue="1" operator="between">
      <formula>#REF!</formula>
      <formula>#REF!</formula>
    </cfRule>
    <cfRule type="cellIs" dxfId="2317" priority="6666" stopIfTrue="1" operator="between">
      <formula>#REF!</formula>
      <formula>#REF!</formula>
    </cfRule>
    <cfRule type="cellIs" dxfId="2316" priority="6780" stopIfTrue="1" operator="between">
      <formula>#REF!</formula>
      <formula>#REF!</formula>
    </cfRule>
    <cfRule type="cellIs" dxfId="2315" priority="6665" stopIfTrue="1" operator="equal">
      <formula>#REF!</formula>
    </cfRule>
    <cfRule type="cellIs" dxfId="2314" priority="6989" stopIfTrue="1" operator="equal">
      <formula>#REF!</formula>
    </cfRule>
    <cfRule type="cellIs" dxfId="2313" priority="6664" stopIfTrue="1" operator="equal">
      <formula>#REF!</formula>
    </cfRule>
    <cfRule type="cellIs" dxfId="2312" priority="6993" stopIfTrue="1" operator="between">
      <formula>#REF!</formula>
      <formula>#REF!</formula>
    </cfRule>
    <cfRule type="cellIs" dxfId="2311" priority="6988" stopIfTrue="1" operator="equal">
      <formula>#REF!</formula>
    </cfRule>
    <cfRule type="cellIs" dxfId="2310" priority="6987" stopIfTrue="1" operator="between">
      <formula>#REF!</formula>
      <formula>#REF!</formula>
    </cfRule>
    <cfRule type="cellIs" dxfId="2309" priority="7087" stopIfTrue="1" operator="equal">
      <formula>#REF!</formula>
    </cfRule>
    <cfRule type="cellIs" dxfId="2308" priority="6459" stopIfTrue="1" operator="between">
      <formula>#REF!</formula>
      <formula>#REF!</formula>
    </cfRule>
    <cfRule type="cellIs" dxfId="2307" priority="6458" stopIfTrue="1" operator="equal">
      <formula>#REF!</formula>
    </cfRule>
    <cfRule type="cellIs" dxfId="2306" priority="7089" stopIfTrue="1" operator="between">
      <formula>#REF!</formula>
      <formula>#REF!</formula>
    </cfRule>
    <cfRule type="cellIs" dxfId="2305" priority="6462" stopIfTrue="1" operator="between">
      <formula>#REF!</formula>
      <formula>#REF!</formula>
    </cfRule>
    <cfRule type="cellIs" dxfId="2304" priority="6363" stopIfTrue="1" operator="between">
      <formula>#REF!</formula>
      <formula>#REF!</formula>
    </cfRule>
    <cfRule type="cellIs" dxfId="2303" priority="6358" stopIfTrue="1" operator="equal">
      <formula>#REF!</formula>
    </cfRule>
    <cfRule type="cellIs" dxfId="2302" priority="6786" stopIfTrue="1" operator="between">
      <formula>#REF!</formula>
      <formula>#REF!</formula>
    </cfRule>
    <cfRule type="cellIs" dxfId="2301" priority="6357" stopIfTrue="1" operator="between">
      <formula>#REF!</formula>
      <formula>#REF!</formula>
    </cfRule>
    <cfRule type="cellIs" dxfId="2300" priority="6879" stopIfTrue="1" operator="between">
      <formula>#REF!</formula>
      <formula>#REF!</formula>
    </cfRule>
    <cfRule type="cellIs" dxfId="2299" priority="7086" stopIfTrue="1" operator="between">
      <formula>#REF!</formula>
      <formula>#REF!</formula>
    </cfRule>
    <cfRule type="cellIs" dxfId="2298" priority="6570" stopIfTrue="1" operator="between">
      <formula>#REF!</formula>
      <formula>#REF!</formula>
    </cfRule>
    <cfRule type="cellIs" dxfId="2297" priority="6880" stopIfTrue="1" operator="equal">
      <formula>#REF!</formula>
    </cfRule>
    <cfRule type="cellIs" dxfId="2296" priority="6990" stopIfTrue="1" operator="between">
      <formula>#REF!</formula>
      <formula>#REF!</formula>
    </cfRule>
    <cfRule type="cellIs" dxfId="2295" priority="7092" stopIfTrue="1" operator="between">
      <formula>#REF!</formula>
      <formula>#REF!</formula>
    </cfRule>
    <cfRule type="cellIs" dxfId="2294" priority="6881" stopIfTrue="1" operator="equal">
      <formula>#REF!</formula>
    </cfRule>
    <cfRule type="cellIs" dxfId="2293" priority="6360" stopIfTrue="1" operator="between">
      <formula>#REF!</formula>
      <formula>#REF!</formula>
    </cfRule>
    <cfRule type="cellIs" dxfId="2292" priority="6882" stopIfTrue="1" operator="between">
      <formula>#REF!</formula>
      <formula>#REF!</formula>
    </cfRule>
    <cfRule type="cellIs" dxfId="2291" priority="6567" stopIfTrue="1" operator="between">
      <formula>#REF!</formula>
      <formula>#REF!</formula>
    </cfRule>
    <cfRule type="cellIs" dxfId="2290" priority="6457" stopIfTrue="1" operator="equal">
      <formula>#REF!</formula>
    </cfRule>
    <cfRule type="cellIs" dxfId="2289" priority="6566" stopIfTrue="1" operator="equal">
      <formula>#REF!</formula>
    </cfRule>
    <cfRule type="cellIs" dxfId="2288" priority="6565" stopIfTrue="1" operator="equal">
      <formula>#REF!</formula>
    </cfRule>
    <cfRule type="cellIs" dxfId="2287" priority="6564" stopIfTrue="1" operator="between">
      <formula>#REF!</formula>
      <formula>#REF!</formula>
    </cfRule>
    <cfRule type="cellIs" dxfId="2286" priority="6456" stopIfTrue="1" operator="between">
      <formula>#REF!</formula>
      <formula>#REF!</formula>
    </cfRule>
    <cfRule type="cellIs" dxfId="2285" priority="6885" stopIfTrue="1" operator="between">
      <formula>#REF!</formula>
      <formula>#REF!</formula>
    </cfRule>
    <cfRule type="cellIs" dxfId="2284" priority="6783" stopIfTrue="1" operator="between">
      <formula>#REF!</formula>
      <formula>#REF!</formula>
    </cfRule>
    <cfRule type="cellIs" dxfId="2283" priority="6782" stopIfTrue="1" operator="equal">
      <formula>#REF!</formula>
    </cfRule>
    <cfRule type="cellIs" dxfId="2282" priority="6781" stopIfTrue="1" operator="equal">
      <formula>#REF!</formula>
    </cfRule>
    <cfRule type="cellIs" dxfId="2281" priority="6359" stopIfTrue="1" operator="equal">
      <formula>#REF!</formula>
    </cfRule>
    <cfRule type="cellIs" dxfId="2280" priority="7088" stopIfTrue="1" operator="equal">
      <formula>#REF!</formula>
    </cfRule>
    <cfRule type="cellIs" dxfId="2279" priority="6663" stopIfTrue="1" operator="between">
      <formula>#REF!</formula>
      <formula>#REF!</formula>
    </cfRule>
  </conditionalFormatting>
  <conditionalFormatting sqref="CW131:CW141">
    <cfRule type="cellIs" dxfId="2278" priority="6081" stopIfTrue="1" operator="between">
      <formula>#REF!</formula>
      <formula>#REF!</formula>
    </cfRule>
    <cfRule type="cellIs" dxfId="2277" priority="6080" stopIfTrue="1" operator="equal">
      <formula>#REF!</formula>
    </cfRule>
    <cfRule type="cellIs" dxfId="2276" priority="6079" stopIfTrue="1" operator="equal">
      <formula>#REF!</formula>
    </cfRule>
    <cfRule type="cellIs" dxfId="2275" priority="6078" stopIfTrue="1" operator="between">
      <formula>#REF!</formula>
      <formula>#REF!</formula>
    </cfRule>
    <cfRule type="cellIs" dxfId="2274" priority="5661" stopIfTrue="1" operator="between">
      <formula>#REF!</formula>
      <formula>#REF!</formula>
    </cfRule>
    <cfRule type="cellIs" dxfId="2273" priority="5658" stopIfTrue="1" operator="between">
      <formula>#REF!</formula>
      <formula>#REF!</formula>
    </cfRule>
    <cfRule type="cellIs" dxfId="2272" priority="5657" stopIfTrue="1" operator="equal">
      <formula>#REF!</formula>
    </cfRule>
    <cfRule type="cellIs" dxfId="2271" priority="5656" stopIfTrue="1" operator="equal">
      <formula>#REF!</formula>
    </cfRule>
    <cfRule type="cellIs" dxfId="2270" priority="5655" stopIfTrue="1" operator="between">
      <formula>#REF!</formula>
      <formula>#REF!</formula>
    </cfRule>
    <cfRule type="cellIs" dxfId="2269" priority="5548" stopIfTrue="1" operator="equal">
      <formula>#REF!</formula>
    </cfRule>
    <cfRule type="cellIs" dxfId="2268" priority="5547" stopIfTrue="1" operator="between">
      <formula>#REF!</formula>
      <formula>#REF!</formula>
    </cfRule>
    <cfRule type="cellIs" dxfId="2267" priority="5448" stopIfTrue="1" operator="between">
      <formula>#REF!</formula>
      <formula>#REF!</formula>
    </cfRule>
    <cfRule type="cellIs" dxfId="2266" priority="5449" stopIfTrue="1" operator="equal">
      <formula>#REF!</formula>
    </cfRule>
    <cfRule type="cellIs" dxfId="2265" priority="5450" stopIfTrue="1" operator="equal">
      <formula>#REF!</formula>
    </cfRule>
    <cfRule type="cellIs" dxfId="2264" priority="5451" stopIfTrue="1" operator="between">
      <formula>#REF!</formula>
      <formula>#REF!</formula>
    </cfRule>
    <cfRule type="cellIs" dxfId="2263" priority="5454" stopIfTrue="1" operator="between">
      <formula>#REF!</formula>
      <formula>#REF!</formula>
    </cfRule>
    <cfRule type="cellIs" dxfId="2262" priority="5754" stopIfTrue="1" operator="between">
      <formula>#REF!</formula>
      <formula>#REF!</formula>
    </cfRule>
    <cfRule type="cellIs" dxfId="2261" priority="5756" stopIfTrue="1" operator="equal">
      <formula>#REF!</formula>
    </cfRule>
    <cfRule type="cellIs" dxfId="2260" priority="5757" stopIfTrue="1" operator="between">
      <formula>#REF!</formula>
      <formula>#REF!</formula>
    </cfRule>
    <cfRule type="cellIs" dxfId="2259" priority="5760" stopIfTrue="1" operator="between">
      <formula>#REF!</formula>
      <formula>#REF!</formula>
    </cfRule>
    <cfRule type="cellIs" dxfId="2258" priority="5553" stopIfTrue="1" operator="between">
      <formula>#REF!</formula>
      <formula>#REF!</formula>
    </cfRule>
    <cfRule type="cellIs" dxfId="2257" priority="5550" stopIfTrue="1" operator="between">
      <formula>#REF!</formula>
      <formula>#REF!</formula>
    </cfRule>
    <cfRule type="cellIs" dxfId="2256" priority="5549" stopIfTrue="1" operator="equal">
      <formula>#REF!</formula>
    </cfRule>
    <cfRule type="cellIs" dxfId="2255" priority="5873" stopIfTrue="1" operator="equal">
      <formula>#REF!</formula>
    </cfRule>
    <cfRule type="cellIs" dxfId="2254" priority="5872" stopIfTrue="1" operator="equal">
      <formula>#REF!</formula>
    </cfRule>
    <cfRule type="cellIs" dxfId="2253" priority="5755" stopIfTrue="1" operator="equal">
      <formula>#REF!</formula>
    </cfRule>
    <cfRule type="cellIs" dxfId="2252" priority="6183" stopIfTrue="1" operator="between">
      <formula>#REF!</formula>
      <formula>#REF!</formula>
    </cfRule>
    <cfRule type="cellIs" dxfId="2251" priority="6180" stopIfTrue="1" operator="between">
      <formula>#REF!</formula>
      <formula>#REF!</formula>
    </cfRule>
    <cfRule type="cellIs" dxfId="2250" priority="6179" stopIfTrue="1" operator="equal">
      <formula>#REF!</formula>
    </cfRule>
    <cfRule type="cellIs" dxfId="2249" priority="5871" stopIfTrue="1" operator="between">
      <formula>#REF!</formula>
      <formula>#REF!</formula>
    </cfRule>
    <cfRule type="cellIs" dxfId="2248" priority="6177" stopIfTrue="1" operator="between">
      <formula>#REF!</formula>
      <formula>#REF!</formula>
    </cfRule>
    <cfRule type="cellIs" dxfId="2247" priority="5970" stopIfTrue="1" operator="between">
      <formula>#REF!</formula>
      <formula>#REF!</formula>
    </cfRule>
    <cfRule type="cellIs" dxfId="2246" priority="5971" stopIfTrue="1" operator="equal">
      <formula>#REF!</formula>
    </cfRule>
    <cfRule type="cellIs" dxfId="2245" priority="5874" stopIfTrue="1" operator="between">
      <formula>#REF!</formula>
      <formula>#REF!</formula>
    </cfRule>
    <cfRule type="cellIs" dxfId="2244" priority="5972" stopIfTrue="1" operator="equal">
      <formula>#REF!</formula>
    </cfRule>
    <cfRule type="cellIs" dxfId="2243" priority="5973" stopIfTrue="1" operator="between">
      <formula>#REF!</formula>
      <formula>#REF!</formula>
    </cfRule>
    <cfRule type="cellIs" dxfId="2242" priority="6178" stopIfTrue="1" operator="equal">
      <formula>#REF!</formula>
    </cfRule>
    <cfRule type="cellIs" dxfId="2241" priority="5976" stopIfTrue="1" operator="between">
      <formula>#REF!</formula>
      <formula>#REF!</formula>
    </cfRule>
    <cfRule type="cellIs" dxfId="2240" priority="6084" stopIfTrue="1" operator="between">
      <formula>#REF!</formula>
      <formula>#REF!</formula>
    </cfRule>
    <cfRule type="cellIs" dxfId="2239" priority="5877" stopIfTrue="1" operator="between">
      <formula>#REF!</formula>
      <formula>#REF!</formula>
    </cfRule>
  </conditionalFormatting>
  <conditionalFormatting sqref="CW142:CW143">
    <cfRule type="cellIs" dxfId="2238" priority="4659" stopIfTrue="1" operator="between">
      <formula>#REF!</formula>
      <formula>#REF!</formula>
    </cfRule>
    <cfRule type="cellIs" dxfId="2237" priority="5082" stopIfTrue="1" operator="between">
      <formula>#REF!</formula>
      <formula>#REF!</formula>
    </cfRule>
    <cfRule type="cellIs" dxfId="2236" priority="5081" stopIfTrue="1" operator="equal">
      <formula>#REF!</formula>
    </cfRule>
    <cfRule type="cellIs" dxfId="2235" priority="4980" stopIfTrue="1" operator="between">
      <formula>#REF!</formula>
      <formula>#REF!</formula>
    </cfRule>
    <cfRule type="cellIs" dxfId="2234" priority="4983" stopIfTrue="1" operator="between">
      <formula>#REF!</formula>
      <formula>#REF!</formula>
    </cfRule>
    <cfRule type="cellIs" dxfId="2233" priority="5079" stopIfTrue="1" operator="between">
      <formula>#REF!</formula>
      <formula>#REF!</formula>
    </cfRule>
    <cfRule type="cellIs" dxfId="2232" priority="4769" stopIfTrue="1" operator="equal">
      <formula>#REF!</formula>
    </cfRule>
    <cfRule type="cellIs" dxfId="2231" priority="4981" stopIfTrue="1" operator="equal">
      <formula>#REF!</formula>
    </cfRule>
    <cfRule type="cellIs" dxfId="2230" priority="4558" stopIfTrue="1" operator="equal">
      <formula>#REF!</formula>
    </cfRule>
    <cfRule type="cellIs" dxfId="2229" priority="4982" stopIfTrue="1" operator="equal">
      <formula>#REF!</formula>
    </cfRule>
    <cfRule type="cellIs" dxfId="2228" priority="4986" stopIfTrue="1" operator="between">
      <formula>#REF!</formula>
      <formula>#REF!</formula>
    </cfRule>
    <cfRule type="cellIs" dxfId="2227" priority="4556" stopIfTrue="1" operator="equal">
      <formula>#REF!</formula>
    </cfRule>
    <cfRule type="cellIs" dxfId="2226" priority="5190" stopIfTrue="1" operator="between">
      <formula>#REF!</formula>
      <formula>#REF!</formula>
    </cfRule>
    <cfRule type="cellIs" dxfId="2225" priority="4770" stopIfTrue="1" operator="between">
      <formula>#REF!</formula>
      <formula>#REF!</formula>
    </cfRule>
    <cfRule type="cellIs" dxfId="2224" priority="5080" stopIfTrue="1" operator="equal">
      <formula>#REF!</formula>
    </cfRule>
    <cfRule type="cellIs" dxfId="2223" priority="4767" stopIfTrue="1" operator="between">
      <formula>#REF!</formula>
      <formula>#REF!</formula>
    </cfRule>
    <cfRule type="cellIs" dxfId="2222" priority="4557" stopIfTrue="1" operator="between">
      <formula>#REF!</formula>
      <formula>#REF!</formula>
    </cfRule>
    <cfRule type="cellIs" dxfId="2221" priority="5193" stopIfTrue="1" operator="between">
      <formula>#REF!</formula>
      <formula>#REF!</formula>
    </cfRule>
    <cfRule type="cellIs" dxfId="2220" priority="4766" stopIfTrue="1" operator="equal">
      <formula>#REF!</formula>
    </cfRule>
    <cfRule type="cellIs" dxfId="2219" priority="4765" stopIfTrue="1" operator="equal">
      <formula>#REF!</formula>
    </cfRule>
    <cfRule type="cellIs" dxfId="2218" priority="4655" stopIfTrue="1" operator="equal">
      <formula>#REF!</formula>
    </cfRule>
    <cfRule type="cellIs" dxfId="2217" priority="4656" stopIfTrue="1" operator="between">
      <formula>#REF!</formula>
      <formula>#REF!</formula>
    </cfRule>
    <cfRule type="cellIs" dxfId="2216" priority="4657" stopIfTrue="1" operator="equal">
      <formula>#REF!</formula>
    </cfRule>
    <cfRule type="cellIs" dxfId="2215" priority="4658" stopIfTrue="1" operator="equal">
      <formula>#REF!</formula>
    </cfRule>
    <cfRule type="cellIs" dxfId="2214" priority="5189" stopIfTrue="1" operator="equal">
      <formula>#REF!</formula>
    </cfRule>
    <cfRule type="cellIs" dxfId="2213" priority="5085" stopIfTrue="1" operator="between">
      <formula>#REF!</formula>
      <formula>#REF!</formula>
    </cfRule>
    <cfRule type="cellIs" dxfId="2212" priority="4661" stopIfTrue="1" operator="equal">
      <formula>#REF!</formula>
    </cfRule>
    <cfRule type="cellIs" dxfId="2211" priority="4662" stopIfTrue="1" operator="between">
      <formula>#REF!</formula>
      <formula>#REF!</formula>
    </cfRule>
    <cfRule type="cellIs" dxfId="2210" priority="5286" stopIfTrue="1" operator="between">
      <formula>#REF!</formula>
      <formula>#REF!</formula>
    </cfRule>
    <cfRule type="cellIs" dxfId="2209" priority="4559" stopIfTrue="1" operator="equal">
      <formula>#REF!</formula>
    </cfRule>
    <cfRule type="cellIs" dxfId="2208" priority="4560" stopIfTrue="1" operator="between">
      <formula>#REF!</formula>
      <formula>#REF!</formula>
    </cfRule>
    <cfRule type="cellIs" dxfId="2207" priority="4764" stopIfTrue="1" operator="between">
      <formula>#REF!</formula>
      <formula>#REF!</formula>
    </cfRule>
    <cfRule type="cellIs" dxfId="2206" priority="4562" stopIfTrue="1" operator="equal">
      <formula>#REF!</formula>
    </cfRule>
    <cfRule type="cellIs" dxfId="2205" priority="4763" stopIfTrue="1" operator="equal">
      <formula>#REF!</formula>
    </cfRule>
    <cfRule type="cellIs" dxfId="2204" priority="4563" stopIfTrue="1" operator="between">
      <formula>#REF!</formula>
      <formula>#REF!</formula>
    </cfRule>
    <cfRule type="cellIs" dxfId="2203" priority="5287" stopIfTrue="1" operator="equal">
      <formula>#REF!</formula>
    </cfRule>
    <cfRule type="cellIs" dxfId="2202" priority="5288" stopIfTrue="1" operator="equal">
      <formula>#REF!</formula>
    </cfRule>
    <cfRule type="cellIs" dxfId="2201" priority="5289" stopIfTrue="1" operator="between">
      <formula>#REF!</formula>
      <formula>#REF!</formula>
    </cfRule>
    <cfRule type="cellIs" dxfId="2200" priority="5292" stopIfTrue="1" operator="between">
      <formula>#REF!</formula>
      <formula>#REF!</formula>
    </cfRule>
    <cfRule type="cellIs" dxfId="2199" priority="4869" stopIfTrue="1" operator="between">
      <formula>#REF!</formula>
      <formula>#REF!</formula>
    </cfRule>
    <cfRule type="cellIs" dxfId="2198" priority="5188" stopIfTrue="1" operator="equal">
      <formula>#REF!</formula>
    </cfRule>
    <cfRule type="cellIs" dxfId="2197" priority="4868" stopIfTrue="1" operator="equal">
      <formula>#REF!</formula>
    </cfRule>
    <cfRule type="cellIs" dxfId="2196" priority="4866" stopIfTrue="1" operator="between">
      <formula>#REF!</formula>
      <formula>#REF!</formula>
    </cfRule>
    <cfRule type="cellIs" dxfId="2195" priority="4865" stopIfTrue="1" operator="equal">
      <formula>#REF!</formula>
    </cfRule>
    <cfRule type="cellIs" dxfId="2194" priority="4864" stopIfTrue="1" operator="equal">
      <formula>#REF!</formula>
    </cfRule>
    <cfRule type="cellIs" dxfId="2193" priority="4863" stopIfTrue="1" operator="between">
      <formula>#REF!</formula>
      <formula>#REF!</formula>
    </cfRule>
    <cfRule type="cellIs" dxfId="2192" priority="4862" stopIfTrue="1" operator="equal">
      <formula>#REF!</formula>
    </cfRule>
    <cfRule type="cellIs" dxfId="2191" priority="5187" stopIfTrue="1" operator="between">
      <formula>#REF!</formula>
      <formula>#REF!</formula>
    </cfRule>
  </conditionalFormatting>
  <conditionalFormatting sqref="CW144:CW173">
    <cfRule type="cellIs" dxfId="2190" priority="3666" stopIfTrue="1" operator="between">
      <formula>#REF!</formula>
      <formula>#REF!</formula>
    </cfRule>
    <cfRule type="cellIs" dxfId="2189" priority="4193" stopIfTrue="1" operator="equal">
      <formula>#REF!</formula>
    </cfRule>
    <cfRule type="cellIs" dxfId="2188" priority="4189" stopIfTrue="1" operator="equal">
      <formula>#REF!</formula>
    </cfRule>
    <cfRule type="cellIs" dxfId="2187" priority="4190" stopIfTrue="1" operator="equal">
      <formula>#REF!</formula>
    </cfRule>
    <cfRule type="cellIs" dxfId="2186" priority="3665" stopIfTrue="1" operator="equal">
      <formula>#REF!</formula>
    </cfRule>
    <cfRule type="cellIs" dxfId="2185" priority="4295" stopIfTrue="1" operator="equal">
      <formula>#REF!</formula>
    </cfRule>
    <cfRule type="cellIs" dxfId="2184" priority="4095" stopIfTrue="1" operator="between">
      <formula>#REF!</formula>
      <formula>#REF!</formula>
    </cfRule>
    <cfRule type="cellIs" dxfId="2183" priority="4094" stopIfTrue="1" operator="equal">
      <formula>#REF!</formula>
    </cfRule>
    <cfRule type="cellIs" dxfId="2182" priority="4092" stopIfTrue="1" operator="between">
      <formula>#REF!</formula>
      <formula>#REF!</formula>
    </cfRule>
    <cfRule type="cellIs" dxfId="2181" priority="4091" stopIfTrue="1" operator="equal">
      <formula>#REF!</formula>
    </cfRule>
    <cfRule type="cellIs" dxfId="2180" priority="4191" stopIfTrue="1" operator="between">
      <formula>#REF!</formula>
      <formula>#REF!</formula>
    </cfRule>
    <cfRule type="cellIs" dxfId="2179" priority="4090" stopIfTrue="1" operator="equal">
      <formula>#REF!</formula>
    </cfRule>
    <cfRule type="cellIs" dxfId="2178" priority="3879" stopIfTrue="1" operator="between">
      <formula>#REF!</formula>
      <formula>#REF!</formula>
    </cfRule>
    <cfRule type="cellIs" dxfId="2177" priority="4297" stopIfTrue="1" operator="equal">
      <formula>#REF!</formula>
    </cfRule>
    <cfRule type="cellIs" dxfId="2176" priority="4401" stopIfTrue="1" operator="between">
      <formula>#REF!</formula>
      <formula>#REF!</formula>
    </cfRule>
    <cfRule type="cellIs" dxfId="2175" priority="4400" stopIfTrue="1" operator="equal">
      <formula>#REF!</formula>
    </cfRule>
    <cfRule type="cellIs" dxfId="2174" priority="4398" stopIfTrue="1" operator="between">
      <formula>#REF!</formula>
      <formula>#REF!</formula>
    </cfRule>
    <cfRule type="cellIs" dxfId="2173" priority="4194" stopIfTrue="1" operator="between">
      <formula>#REF!</formula>
      <formula>#REF!</formula>
    </cfRule>
    <cfRule type="cellIs" dxfId="2172" priority="4298" stopIfTrue="1" operator="equal">
      <formula>#REF!</formula>
    </cfRule>
    <cfRule type="cellIs" dxfId="2171" priority="4299" stopIfTrue="1" operator="between">
      <formula>#REF!</formula>
      <formula>#REF!</formula>
    </cfRule>
    <cfRule type="cellIs" dxfId="2170" priority="4301" stopIfTrue="1" operator="equal">
      <formula>#REF!</formula>
    </cfRule>
    <cfRule type="cellIs" dxfId="2169" priority="4302" stopIfTrue="1" operator="between">
      <formula>#REF!</formula>
      <formula>#REF!</formula>
    </cfRule>
    <cfRule type="cellIs" dxfId="2168" priority="3978" stopIfTrue="1" operator="between">
      <formula>#REF!</formula>
      <formula>#REF!</formula>
    </cfRule>
    <cfRule type="cellIs" dxfId="2167" priority="3977" stopIfTrue="1" operator="equal">
      <formula>#REF!</formula>
    </cfRule>
    <cfRule type="cellIs" dxfId="2166" priority="3667" stopIfTrue="1" operator="equal">
      <formula>#REF!</formula>
    </cfRule>
    <cfRule type="cellIs" dxfId="2165" priority="3668" stopIfTrue="1" operator="equal">
      <formula>#REF!</formula>
    </cfRule>
    <cfRule type="cellIs" dxfId="2164" priority="3669" stopIfTrue="1" operator="between">
      <formula>#REF!</formula>
      <formula>#REF!</formula>
    </cfRule>
    <cfRule type="cellIs" dxfId="2163" priority="4397" stopIfTrue="1" operator="equal">
      <formula>#REF!</formula>
    </cfRule>
    <cfRule type="cellIs" dxfId="2162" priority="3671" stopIfTrue="1" operator="equal">
      <formula>#REF!</formula>
    </cfRule>
    <cfRule type="cellIs" dxfId="2161" priority="4396" stopIfTrue="1" operator="equal">
      <formula>#REF!</formula>
    </cfRule>
    <cfRule type="cellIs" dxfId="2160" priority="4395" stopIfTrue="1" operator="between">
      <formula>#REF!</formula>
      <formula>#REF!</formula>
    </cfRule>
    <cfRule type="cellIs" dxfId="2159" priority="4394" stopIfTrue="1" operator="equal">
      <formula>#REF!</formula>
    </cfRule>
    <cfRule type="cellIs" dxfId="2158" priority="4296" stopIfTrue="1" operator="between">
      <formula>#REF!</formula>
      <formula>#REF!</formula>
    </cfRule>
    <cfRule type="cellIs" dxfId="2157" priority="4089" stopIfTrue="1" operator="between">
      <formula>#REF!</formula>
      <formula>#REF!</formula>
    </cfRule>
    <cfRule type="cellIs" dxfId="2156" priority="4187" stopIfTrue="1" operator="equal">
      <formula>#REF!</formula>
    </cfRule>
    <cfRule type="cellIs" dxfId="2155" priority="4188" stopIfTrue="1" operator="between">
      <formula>#REF!</formula>
      <formula>#REF!</formula>
    </cfRule>
    <cfRule type="cellIs" dxfId="2154" priority="3975" stopIfTrue="1" operator="between">
      <formula>#REF!</formula>
      <formula>#REF!</formula>
    </cfRule>
    <cfRule type="cellIs" dxfId="2153" priority="3974" stopIfTrue="1" operator="equal">
      <formula>#REF!</formula>
    </cfRule>
    <cfRule type="cellIs" dxfId="2152" priority="3973" stopIfTrue="1" operator="equal">
      <formula>#REF!</formula>
    </cfRule>
    <cfRule type="cellIs" dxfId="2151" priority="3764" stopIfTrue="1" operator="equal">
      <formula>#REF!</formula>
    </cfRule>
    <cfRule type="cellIs" dxfId="2150" priority="3765" stopIfTrue="1" operator="between">
      <formula>#REF!</formula>
      <formula>#REF!</formula>
    </cfRule>
    <cfRule type="cellIs" dxfId="2149" priority="3766" stopIfTrue="1" operator="equal">
      <formula>#REF!</formula>
    </cfRule>
    <cfRule type="cellIs" dxfId="2148" priority="3672" stopIfTrue="1" operator="between">
      <formula>#REF!</formula>
      <formula>#REF!</formula>
    </cfRule>
    <cfRule type="cellIs" dxfId="2147" priority="3972" stopIfTrue="1" operator="between">
      <formula>#REF!</formula>
      <formula>#REF!</formula>
    </cfRule>
    <cfRule type="cellIs" dxfId="2146" priority="3768" stopIfTrue="1" operator="between">
      <formula>#REF!</formula>
      <formula>#REF!</formula>
    </cfRule>
    <cfRule type="cellIs" dxfId="2145" priority="3971" stopIfTrue="1" operator="equal">
      <formula>#REF!</formula>
    </cfRule>
    <cfRule type="cellIs" dxfId="2144" priority="3770" stopIfTrue="1" operator="equal">
      <formula>#REF!</formula>
    </cfRule>
    <cfRule type="cellIs" dxfId="2143" priority="3771" stopIfTrue="1" operator="between">
      <formula>#REF!</formula>
      <formula>#REF!</formula>
    </cfRule>
    <cfRule type="cellIs" dxfId="2142" priority="3872" stopIfTrue="1" operator="equal">
      <formula>#REF!</formula>
    </cfRule>
    <cfRule type="cellIs" dxfId="2141" priority="3873" stopIfTrue="1" operator="between">
      <formula>#REF!</formula>
      <formula>#REF!</formula>
    </cfRule>
    <cfRule type="cellIs" dxfId="2140" priority="3874" stopIfTrue="1" operator="equal">
      <formula>#REF!</formula>
    </cfRule>
    <cfRule type="cellIs" dxfId="2139" priority="3875" stopIfTrue="1" operator="equal">
      <formula>#REF!</formula>
    </cfRule>
    <cfRule type="cellIs" dxfId="2138" priority="3876" stopIfTrue="1" operator="between">
      <formula>#REF!</formula>
      <formula>#REF!</formula>
    </cfRule>
    <cfRule type="cellIs" dxfId="2137" priority="3878" stopIfTrue="1" operator="equal">
      <formula>#REF!</formula>
    </cfRule>
    <cfRule type="cellIs" dxfId="2136" priority="4088" stopIfTrue="1" operator="equal">
      <formula>#REF!</formula>
    </cfRule>
    <cfRule type="cellIs" dxfId="2135" priority="3767" stopIfTrue="1" operator="equal">
      <formula>#REF!</formula>
    </cfRule>
  </conditionalFormatting>
  <conditionalFormatting sqref="CW174:CW199">
    <cfRule type="cellIs" dxfId="2134" priority="99" stopIfTrue="1" operator="between">
      <formula>#REF!</formula>
      <formula>#REF!</formula>
    </cfRule>
    <cfRule type="cellIs" dxfId="2133" priority="96" stopIfTrue="1" operator="between">
      <formula>#REF!</formula>
      <formula>#REF!</formula>
    </cfRule>
    <cfRule type="cellIs" dxfId="2132" priority="95" stopIfTrue="1" operator="equal">
      <formula>#REF!</formula>
    </cfRule>
    <cfRule type="cellIs" dxfId="2131" priority="94" stopIfTrue="1" operator="equal">
      <formula>#REF!</formula>
    </cfRule>
    <cfRule type="cellIs" dxfId="2130" priority="93" stopIfTrue="1" operator="between">
      <formula>#REF!</formula>
      <formula>#REF!</formula>
    </cfRule>
    <cfRule type="cellIs" dxfId="2129" priority="92" stopIfTrue="1" operator="equal">
      <formula>#REF!</formula>
    </cfRule>
    <cfRule type="cellIs" dxfId="2128" priority="728" stopIfTrue="1" operator="equal">
      <formula>#REF!</formula>
    </cfRule>
    <cfRule type="cellIs" dxfId="2127" priority="729" stopIfTrue="1" operator="between">
      <formula>#REF!</formula>
      <formula>#REF!</formula>
    </cfRule>
    <cfRule type="cellIs" dxfId="2126" priority="515" stopIfTrue="1" operator="equal">
      <formula>#REF!</formula>
    </cfRule>
    <cfRule type="cellIs" dxfId="2125" priority="516" stopIfTrue="1" operator="between">
      <formula>#REF!</formula>
      <formula>#REF!</formula>
    </cfRule>
    <cfRule type="cellIs" dxfId="2124" priority="517" stopIfTrue="1" operator="equal">
      <formula>#REF!</formula>
    </cfRule>
    <cfRule type="cellIs" dxfId="2123" priority="401" stopIfTrue="1" operator="equal">
      <formula>#REF!</formula>
    </cfRule>
    <cfRule type="cellIs" dxfId="2122" priority="518" stopIfTrue="1" operator="equal">
      <formula>#REF!</formula>
    </cfRule>
    <cfRule type="cellIs" dxfId="2121" priority="519" stopIfTrue="1" operator="between">
      <formula>#REF!</formula>
      <formula>#REF!</formula>
    </cfRule>
    <cfRule type="cellIs" dxfId="2120" priority="400" stopIfTrue="1" operator="equal">
      <formula>#REF!</formula>
    </cfRule>
    <cfRule type="cellIs" dxfId="2119" priority="725" stopIfTrue="1" operator="equal">
      <formula>#REF!</formula>
    </cfRule>
    <cfRule type="cellIs" dxfId="2118" priority="521" stopIfTrue="1" operator="equal">
      <formula>#REF!</formula>
    </cfRule>
    <cfRule type="cellIs" dxfId="2117" priority="522" stopIfTrue="1" operator="between">
      <formula>#REF!</formula>
      <formula>#REF!</formula>
    </cfRule>
    <cfRule type="cellIs" dxfId="2116" priority="614" stopIfTrue="1" operator="equal">
      <formula>#REF!</formula>
    </cfRule>
    <cfRule type="cellIs" dxfId="2115" priority="615" stopIfTrue="1" operator="between">
      <formula>#REF!</formula>
      <formula>#REF!</formula>
    </cfRule>
    <cfRule type="cellIs" dxfId="2114" priority="724" stopIfTrue="1" operator="equal">
      <formula>#REF!</formula>
    </cfRule>
    <cfRule type="cellIs" dxfId="2113" priority="616" stopIfTrue="1" operator="equal">
      <formula>#REF!</formula>
    </cfRule>
    <cfRule type="cellIs" dxfId="2112" priority="617" stopIfTrue="1" operator="equal">
      <formula>#REF!</formula>
    </cfRule>
    <cfRule type="cellIs" dxfId="2111" priority="821" stopIfTrue="1" operator="equal">
      <formula>#REF!</formula>
    </cfRule>
    <cfRule type="cellIs" dxfId="2110" priority="822" stopIfTrue="1" operator="between">
      <formula>#REF!</formula>
      <formula>#REF!</formula>
    </cfRule>
    <cfRule type="cellIs" dxfId="2109" priority="823" stopIfTrue="1" operator="equal">
      <formula>#REF!</formula>
    </cfRule>
    <cfRule type="cellIs" dxfId="2108" priority="618" stopIfTrue="1" operator="between">
      <formula>#REF!</formula>
      <formula>#REF!</formula>
    </cfRule>
    <cfRule type="cellIs" dxfId="2107" priority="620" stopIfTrue="1" operator="equal">
      <formula>#REF!</formula>
    </cfRule>
    <cfRule type="cellIs" dxfId="2106" priority="621" stopIfTrue="1" operator="between">
      <formula>#REF!</formula>
      <formula>#REF!</formula>
    </cfRule>
    <cfRule type="cellIs" dxfId="2105" priority="723" stopIfTrue="1" operator="between">
      <formula>#REF!</formula>
      <formula>#REF!</formula>
    </cfRule>
    <cfRule type="cellIs" dxfId="2104" priority="722" stopIfTrue="1" operator="equal">
      <formula>#REF!</formula>
    </cfRule>
    <cfRule type="cellIs" dxfId="2103" priority="726" stopIfTrue="1" operator="between">
      <formula>#REF!</formula>
      <formula>#REF!</formula>
    </cfRule>
    <cfRule type="cellIs" dxfId="2102" priority="306" stopIfTrue="1" operator="between">
      <formula>#REF!</formula>
      <formula>#REF!</formula>
    </cfRule>
    <cfRule type="cellIs" dxfId="2101" priority="305" stopIfTrue="1" operator="equal">
      <formula>#REF!</formula>
    </cfRule>
    <cfRule type="cellIs" dxfId="2100" priority="303" stopIfTrue="1" operator="between">
      <formula>#REF!</formula>
      <formula>#REF!</formula>
    </cfRule>
    <cfRule type="cellIs" dxfId="2099" priority="824" stopIfTrue="1" operator="equal">
      <formula>#REF!</formula>
    </cfRule>
    <cfRule type="cellIs" dxfId="2098" priority="825" stopIfTrue="1" operator="between">
      <formula>#REF!</formula>
      <formula>#REF!</formula>
    </cfRule>
    <cfRule type="cellIs" dxfId="2097" priority="302" stopIfTrue="1" operator="equal">
      <formula>#REF!</formula>
    </cfRule>
    <cfRule type="cellIs" dxfId="2096" priority="301" stopIfTrue="1" operator="equal">
      <formula>#REF!</formula>
    </cfRule>
    <cfRule type="cellIs" dxfId="2095" priority="300" stopIfTrue="1" operator="between">
      <formula>#REF!</formula>
      <formula>#REF!</formula>
    </cfRule>
    <cfRule type="cellIs" dxfId="2094" priority="827" stopIfTrue="1" operator="equal">
      <formula>#REF!</formula>
    </cfRule>
    <cfRule type="cellIs" dxfId="2093" priority="828" stopIfTrue="1" operator="between">
      <formula>#REF!</formula>
      <formula>#REF!</formula>
    </cfRule>
    <cfRule type="cellIs" dxfId="2092" priority="299" stopIfTrue="1" operator="equal">
      <formula>#REF!</formula>
    </cfRule>
    <cfRule type="cellIs" dxfId="2091" priority="405" stopIfTrue="1" operator="between">
      <formula>#REF!</formula>
      <formula>#REF!</formula>
    </cfRule>
    <cfRule type="cellIs" dxfId="2090" priority="404" stopIfTrue="1" operator="equal">
      <formula>#REF!</formula>
    </cfRule>
    <cfRule type="cellIs" dxfId="2089" priority="198" stopIfTrue="1" operator="between">
      <formula>#REF!</formula>
      <formula>#REF!</formula>
    </cfRule>
    <cfRule type="cellIs" dxfId="2088" priority="197" stopIfTrue="1" operator="equal">
      <formula>#REF!</formula>
    </cfRule>
    <cfRule type="cellIs" dxfId="2087" priority="98" stopIfTrue="1" operator="equal">
      <formula>#REF!</formula>
    </cfRule>
    <cfRule type="cellIs" dxfId="2086" priority="195" stopIfTrue="1" operator="between">
      <formula>#REF!</formula>
      <formula>#REF!</formula>
    </cfRule>
    <cfRule type="cellIs" dxfId="2085" priority="194" stopIfTrue="1" operator="equal">
      <formula>#REF!</formula>
    </cfRule>
    <cfRule type="cellIs" dxfId="2084" priority="193" stopIfTrue="1" operator="equal">
      <formula>#REF!</formula>
    </cfRule>
    <cfRule type="cellIs" dxfId="2083" priority="192" stopIfTrue="1" operator="between">
      <formula>#REF!</formula>
      <formula>#REF!</formula>
    </cfRule>
    <cfRule type="cellIs" dxfId="2082" priority="399" stopIfTrue="1" operator="between">
      <formula>#REF!</formula>
      <formula>#REF!</formula>
    </cfRule>
    <cfRule type="cellIs" dxfId="2081" priority="191" stopIfTrue="1" operator="equal">
      <formula>#REF!</formula>
    </cfRule>
    <cfRule type="cellIs" dxfId="2080" priority="402" stopIfTrue="1" operator="between">
      <formula>#REF!</formula>
      <formula>#REF!</formula>
    </cfRule>
    <cfRule type="cellIs" dxfId="2079" priority="398" stopIfTrue="1" operator="equal">
      <formula>#REF!</formula>
    </cfRule>
  </conditionalFormatting>
  <conditionalFormatting sqref="CW113:CX113">
    <cfRule type="cellIs" dxfId="2078" priority="8441" stopIfTrue="1" operator="equal">
      <formula>#REF!</formula>
    </cfRule>
  </conditionalFormatting>
  <conditionalFormatting sqref="CW114:CX115">
    <cfRule type="cellIs" dxfId="2077" priority="8294" stopIfTrue="1" operator="equal">
      <formula>#REF!</formula>
    </cfRule>
    <cfRule type="cellIs" dxfId="2076" priority="8293" stopIfTrue="1" operator="equal">
      <formula>#REF!</formula>
    </cfRule>
  </conditionalFormatting>
  <conditionalFormatting sqref="CW116:CX116">
    <cfRule type="cellIs" dxfId="2075" priority="8134" stopIfTrue="1" operator="equal">
      <formula>#REF!</formula>
    </cfRule>
    <cfRule type="cellIs" dxfId="2074" priority="8135" stopIfTrue="1" operator="equal">
      <formula>#REF!</formula>
    </cfRule>
  </conditionalFormatting>
  <conditionalFormatting sqref="CW117:CX129">
    <cfRule type="cellIs" dxfId="2073" priority="7991" stopIfTrue="1" operator="equal">
      <formula>#REF!</formula>
    </cfRule>
    <cfRule type="cellIs" dxfId="2072" priority="7990" stopIfTrue="1" operator="equal">
      <formula>#REF!</formula>
    </cfRule>
  </conditionalFormatting>
  <conditionalFormatting sqref="CW121:CX129">
    <cfRule type="cellIs" dxfId="2071" priority="7892" stopIfTrue="1" operator="equal">
      <formula>#REF!</formula>
    </cfRule>
    <cfRule type="cellIs" dxfId="2070" priority="7891" stopIfTrue="1" operator="equal">
      <formula>#REF!</formula>
    </cfRule>
  </conditionalFormatting>
  <conditionalFormatting sqref="CW125:CX129">
    <cfRule type="cellIs" dxfId="2069" priority="7684" stopIfTrue="1" operator="equal">
      <formula>#REF!</formula>
    </cfRule>
    <cfRule type="cellIs" dxfId="2068" priority="7685" stopIfTrue="1" operator="equal">
      <formula>#REF!</formula>
    </cfRule>
    <cfRule type="cellIs" dxfId="2067" priority="7783" stopIfTrue="1" operator="equal">
      <formula>#REF!</formula>
    </cfRule>
    <cfRule type="cellIs" dxfId="2066" priority="7784" stopIfTrue="1" operator="equal">
      <formula>#REF!</formula>
    </cfRule>
  </conditionalFormatting>
  <conditionalFormatting sqref="CW126:CX129">
    <cfRule type="cellIs" dxfId="2065" priority="7361" stopIfTrue="1" operator="equal">
      <formula>#REF!</formula>
    </cfRule>
    <cfRule type="cellIs" dxfId="2064" priority="7360" stopIfTrue="1" operator="equal">
      <formula>#REF!</formula>
    </cfRule>
    <cfRule type="cellIs" dxfId="2063" priority="7568" stopIfTrue="1" operator="equal">
      <formula>#REF!</formula>
    </cfRule>
    <cfRule type="cellIs" dxfId="2062" priority="7567" stopIfTrue="1" operator="equal">
      <formula>#REF!</formula>
    </cfRule>
    <cfRule type="cellIs" dxfId="2061" priority="7262" stopIfTrue="1" operator="equal">
      <formula>#REF!</formula>
    </cfRule>
    <cfRule type="cellIs" dxfId="2060" priority="7261" stopIfTrue="1" operator="equal">
      <formula>#REF!</formula>
    </cfRule>
    <cfRule type="cellIs" dxfId="2059" priority="7469" stopIfTrue="1" operator="equal">
      <formula>#REF!</formula>
    </cfRule>
    <cfRule type="cellIs" dxfId="2058" priority="7468" stopIfTrue="1" operator="equal">
      <formula>#REF!</formula>
    </cfRule>
  </conditionalFormatting>
  <conditionalFormatting sqref="CW130:CX130">
    <cfRule type="cellIs" dxfId="2057" priority="6352" stopIfTrue="1" operator="equal">
      <formula>#REF!</formula>
    </cfRule>
    <cfRule type="cellIs" dxfId="2056" priority="6353" stopIfTrue="1" operator="equal">
      <formula>#REF!</formula>
    </cfRule>
    <cfRule type="cellIs" dxfId="2055" priority="6452" stopIfTrue="1" operator="equal">
      <formula>#REF!</formula>
    </cfRule>
    <cfRule type="cellIs" dxfId="2054" priority="6874" stopIfTrue="1" operator="equal">
      <formula>#REF!</formula>
    </cfRule>
    <cfRule type="cellIs" dxfId="2053" priority="7082" stopIfTrue="1" operator="equal">
      <formula>#REF!</formula>
    </cfRule>
    <cfRule type="cellIs" dxfId="2052" priority="7081" stopIfTrue="1" operator="equal">
      <formula>#REF!</formula>
    </cfRule>
    <cfRule type="cellIs" dxfId="2051" priority="6559" stopIfTrue="1" operator="equal">
      <formula>#REF!</formula>
    </cfRule>
    <cfRule type="cellIs" dxfId="2050" priority="6776" stopIfTrue="1" operator="equal">
      <formula>#REF!</formula>
    </cfRule>
    <cfRule type="cellIs" dxfId="2049" priority="6875" stopIfTrue="1" operator="equal">
      <formula>#REF!</formula>
    </cfRule>
    <cfRule type="cellIs" dxfId="2048" priority="6775" stopIfTrue="1" operator="equal">
      <formula>#REF!</formula>
    </cfRule>
    <cfRule type="cellIs" dxfId="2047" priority="6659" stopIfTrue="1" operator="equal">
      <formula>#REF!</formula>
    </cfRule>
    <cfRule type="cellIs" dxfId="2046" priority="6658" stopIfTrue="1" operator="equal">
      <formula>#REF!</formula>
    </cfRule>
    <cfRule type="cellIs" dxfId="2045" priority="6451" stopIfTrue="1" operator="equal">
      <formula>#REF!</formula>
    </cfRule>
    <cfRule type="cellIs" dxfId="2044" priority="6560" stopIfTrue="1" operator="equal">
      <formula>#REF!</formula>
    </cfRule>
  </conditionalFormatting>
  <conditionalFormatting sqref="CW131:CX141">
    <cfRule type="cellIs" dxfId="2043" priority="5966" stopIfTrue="1" operator="equal">
      <formula>#REF!</formula>
    </cfRule>
    <cfRule type="cellIs" dxfId="2042" priority="6172" stopIfTrue="1" operator="equal">
      <formula>#REF!</formula>
    </cfRule>
    <cfRule type="cellIs" dxfId="2041" priority="6173" stopIfTrue="1" operator="equal">
      <formula>#REF!</formula>
    </cfRule>
    <cfRule type="cellIs" dxfId="2040" priority="5443" stopIfTrue="1" operator="equal">
      <formula>#REF!</formula>
    </cfRule>
    <cfRule type="cellIs" dxfId="2039" priority="5444" stopIfTrue="1" operator="equal">
      <formula>#REF!</formula>
    </cfRule>
    <cfRule type="cellIs" dxfId="2038" priority="5542" stopIfTrue="1" operator="equal">
      <formula>#REF!</formula>
    </cfRule>
    <cfRule type="cellIs" dxfId="2037" priority="5543" stopIfTrue="1" operator="equal">
      <formula>#REF!</formula>
    </cfRule>
    <cfRule type="cellIs" dxfId="2036" priority="5650" stopIfTrue="1" operator="equal">
      <formula>#REF!</formula>
    </cfRule>
    <cfRule type="cellIs" dxfId="2035" priority="5651" stopIfTrue="1" operator="equal">
      <formula>#REF!</formula>
    </cfRule>
    <cfRule type="cellIs" dxfId="2034" priority="5749" stopIfTrue="1" operator="equal">
      <formula>#REF!</formula>
    </cfRule>
    <cfRule type="cellIs" dxfId="2033" priority="5750" stopIfTrue="1" operator="equal">
      <formula>#REF!</formula>
    </cfRule>
    <cfRule type="cellIs" dxfId="2032" priority="5866" stopIfTrue="1" operator="equal">
      <formula>#REF!</formula>
    </cfRule>
    <cfRule type="cellIs" dxfId="2031" priority="5867" stopIfTrue="1" operator="equal">
      <formula>#REF!</formula>
    </cfRule>
    <cfRule type="cellIs" dxfId="2030" priority="5965" stopIfTrue="1" operator="equal">
      <formula>#REF!</formula>
    </cfRule>
  </conditionalFormatting>
  <conditionalFormatting sqref="CW142:CX143">
    <cfRule type="cellIs" dxfId="2029" priority="5282" stopIfTrue="1" operator="equal">
      <formula>#REF!</formula>
    </cfRule>
    <cfRule type="cellIs" dxfId="2028" priority="5075" stopIfTrue="1" operator="equal">
      <formula>#REF!</formula>
    </cfRule>
    <cfRule type="cellIs" dxfId="2027" priority="5281" stopIfTrue="1" operator="equal">
      <formula>#REF!</formula>
    </cfRule>
    <cfRule type="cellIs" dxfId="2026" priority="4976" stopIfTrue="1" operator="equal">
      <formula>#REF!</formula>
    </cfRule>
    <cfRule type="cellIs" dxfId="2025" priority="4651" stopIfTrue="1" operator="equal">
      <formula>#REF!</formula>
    </cfRule>
    <cfRule type="cellIs" dxfId="2024" priority="4759" stopIfTrue="1" operator="equal">
      <formula>#REF!</formula>
    </cfRule>
    <cfRule type="cellIs" dxfId="2023" priority="4975" stopIfTrue="1" operator="equal">
      <formula>#REF!</formula>
    </cfRule>
    <cfRule type="cellIs" dxfId="2022" priority="4858" stopIfTrue="1" operator="equal">
      <formula>#REF!</formula>
    </cfRule>
    <cfRule type="cellIs" dxfId="2021" priority="5074" stopIfTrue="1" operator="equal">
      <formula>#REF!</formula>
    </cfRule>
    <cfRule type="cellIs" dxfId="2020" priority="4552" stopIfTrue="1" operator="equal">
      <formula>#REF!</formula>
    </cfRule>
  </conditionalFormatting>
  <conditionalFormatting sqref="CW144:CX173">
    <cfRule type="cellIs" dxfId="2019" priority="3868" stopIfTrue="1" operator="equal">
      <formula>#REF!</formula>
    </cfRule>
    <cfRule type="cellIs" dxfId="2018" priority="4183" stopIfTrue="1" operator="equal">
      <formula>#REF!</formula>
    </cfRule>
    <cfRule type="cellIs" dxfId="2017" priority="3760" stopIfTrue="1" operator="equal">
      <formula>#REF!</formula>
    </cfRule>
    <cfRule type="cellIs" dxfId="2016" priority="3967" stopIfTrue="1" operator="equal">
      <formula>#REF!</formula>
    </cfRule>
    <cfRule type="cellIs" dxfId="2015" priority="3661" stopIfTrue="1" operator="equal">
      <formula>#REF!</formula>
    </cfRule>
    <cfRule type="cellIs" dxfId="2014" priority="4084" stopIfTrue="1" operator="equal">
      <formula>#REF!</formula>
    </cfRule>
    <cfRule type="cellIs" dxfId="2013" priority="4390" stopIfTrue="1" operator="equal">
      <formula>#REF!</formula>
    </cfRule>
  </conditionalFormatting>
  <conditionalFormatting sqref="CW174:CX199">
    <cfRule type="cellIs" dxfId="2012" priority="610" stopIfTrue="1" operator="equal">
      <formula>#REF!</formula>
    </cfRule>
    <cfRule type="cellIs" dxfId="2011" priority="187" stopIfTrue="1" operator="equal">
      <formula>#REF!</formula>
    </cfRule>
    <cfRule type="cellIs" dxfId="2010" priority="817" stopIfTrue="1" operator="equal">
      <formula>#REF!</formula>
    </cfRule>
    <cfRule type="cellIs" dxfId="2009" priority="511" stopIfTrue="1" operator="equal">
      <formula>#REF!</formula>
    </cfRule>
    <cfRule type="cellIs" dxfId="2008" priority="295" stopIfTrue="1" operator="equal">
      <formula>#REF!</formula>
    </cfRule>
    <cfRule type="cellIs" dxfId="2007" priority="394" stopIfTrue="1" operator="equal">
      <formula>#REF!</formula>
    </cfRule>
    <cfRule type="cellIs" dxfId="2006" priority="88" stopIfTrue="1" operator="equal">
      <formula>#REF!</formula>
    </cfRule>
  </conditionalFormatting>
  <conditionalFormatting sqref="CW113:CY113">
    <cfRule type="cellIs" dxfId="2005" priority="8440" stopIfTrue="1" operator="equal">
      <formula>#REF!</formula>
    </cfRule>
  </conditionalFormatting>
  <conditionalFormatting sqref="CW130:CY130">
    <cfRule type="cellIs" dxfId="2004" priority="6983" stopIfTrue="1" operator="equal">
      <formula>#REF!</formula>
    </cfRule>
    <cfRule type="cellIs" dxfId="2003" priority="6982" stopIfTrue="1" operator="equal">
      <formula>#REF!</formula>
    </cfRule>
  </conditionalFormatting>
  <conditionalFormatting sqref="CW131:CY141">
    <cfRule type="cellIs" dxfId="2002" priority="6073" stopIfTrue="1" operator="equal">
      <formula>#REF!</formula>
    </cfRule>
    <cfRule type="cellIs" dxfId="2001" priority="6074" stopIfTrue="1" operator="equal">
      <formula>#REF!</formula>
    </cfRule>
  </conditionalFormatting>
  <conditionalFormatting sqref="CW142:CY143">
    <cfRule type="cellIs" dxfId="2000" priority="5183" stopIfTrue="1" operator="equal">
      <formula>#REF!</formula>
    </cfRule>
    <cfRule type="cellIs" dxfId="1999" priority="5182" stopIfTrue="1" operator="equal">
      <formula>#REF!</formula>
    </cfRule>
  </conditionalFormatting>
  <conditionalFormatting sqref="CW144:CY173">
    <cfRule type="cellIs" dxfId="1998" priority="4291" stopIfTrue="1" operator="equal">
      <formula>#REF!</formula>
    </cfRule>
  </conditionalFormatting>
  <conditionalFormatting sqref="CW174:CY199">
    <cfRule type="cellIs" dxfId="1997" priority="718" stopIfTrue="1" operator="equal">
      <formula>#REF!</formula>
    </cfRule>
  </conditionalFormatting>
  <conditionalFormatting sqref="CX113">
    <cfRule type="cellIs" dxfId="1996" priority="8436" stopIfTrue="1" operator="between">
      <formula>#REF!</formula>
      <formula>#REF!</formula>
    </cfRule>
    <cfRule type="cellIs" dxfId="1995" priority="8439" stopIfTrue="1" operator="between">
      <formula>#REF!</formula>
      <formula>#REF!</formula>
    </cfRule>
    <cfRule type="cellIs" dxfId="1994" priority="8438" stopIfTrue="1" operator="equal">
      <formula>#REF!</formula>
    </cfRule>
    <cfRule type="cellIs" dxfId="1993" priority="8437" stopIfTrue="1" operator="equal">
      <formula>#REF!</formula>
    </cfRule>
    <cfRule type="cellIs" dxfId="1992" priority="8442" stopIfTrue="1" operator="between">
      <formula>#REF!</formula>
      <formula>#REF!</formula>
    </cfRule>
  </conditionalFormatting>
  <conditionalFormatting sqref="CX113:CX115">
    <cfRule type="cellIs" dxfId="1991" priority="8297" stopIfTrue="1" operator="equal">
      <formula>#REF!</formula>
    </cfRule>
    <cfRule type="cellIs" dxfId="1990" priority="8296" stopIfTrue="1" operator="equal">
      <formula>#REF!</formula>
    </cfRule>
  </conditionalFormatting>
  <conditionalFormatting sqref="CX114:CX115">
    <cfRule type="cellIs" dxfId="1989" priority="8295" stopIfTrue="1" operator="between">
      <formula>#REF!</formula>
      <formula>#REF!</formula>
    </cfRule>
    <cfRule type="cellIs" dxfId="1988" priority="8292" stopIfTrue="1" operator="between">
      <formula>#REF!</formula>
      <formula>#REF!</formula>
    </cfRule>
    <cfRule type="cellIs" dxfId="1987" priority="8298" stopIfTrue="1" operator="between">
      <formula>#REF!</formula>
      <formula>#REF!</formula>
    </cfRule>
  </conditionalFormatting>
  <conditionalFormatting sqref="CX116">
    <cfRule type="cellIs" dxfId="1986" priority="8130" stopIfTrue="1" operator="between">
      <formula>#REF!</formula>
      <formula>#REF!</formula>
    </cfRule>
    <cfRule type="cellIs" dxfId="1985" priority="8131" stopIfTrue="1" operator="equal">
      <formula>#REF!</formula>
    </cfRule>
    <cfRule type="cellIs" dxfId="1984" priority="8132" stopIfTrue="1" operator="equal">
      <formula>#REF!</formula>
    </cfRule>
    <cfRule type="cellIs" dxfId="1983" priority="8133" stopIfTrue="1" operator="between">
      <formula>#REF!</formula>
      <formula>#REF!</formula>
    </cfRule>
    <cfRule type="cellIs" dxfId="1982" priority="8136" stopIfTrue="1" operator="between">
      <formula>#REF!</formula>
      <formula>#REF!</formula>
    </cfRule>
  </conditionalFormatting>
  <conditionalFormatting sqref="CX117:CX129">
    <cfRule type="cellIs" dxfId="1981" priority="7986" stopIfTrue="1" operator="between">
      <formula>#REF!</formula>
      <formula>#REF!</formula>
    </cfRule>
    <cfRule type="cellIs" dxfId="1980" priority="7987" stopIfTrue="1" operator="equal">
      <formula>#REF!</formula>
    </cfRule>
    <cfRule type="cellIs" dxfId="1979" priority="7988" stopIfTrue="1" operator="equal">
      <formula>#REF!</formula>
    </cfRule>
    <cfRule type="cellIs" dxfId="1978" priority="7992" stopIfTrue="1" operator="between">
      <formula>#REF!</formula>
      <formula>#REF!</formula>
    </cfRule>
    <cfRule type="cellIs" dxfId="1977" priority="7989" stopIfTrue="1" operator="between">
      <formula>#REF!</formula>
      <formula>#REF!</formula>
    </cfRule>
  </conditionalFormatting>
  <conditionalFormatting sqref="CX121:CX129">
    <cfRule type="cellIs" dxfId="1976" priority="7888" stopIfTrue="1" operator="equal">
      <formula>#REF!</formula>
    </cfRule>
    <cfRule type="cellIs" dxfId="1975" priority="7887" stopIfTrue="1" operator="between">
      <formula>#REF!</formula>
      <formula>#REF!</formula>
    </cfRule>
    <cfRule type="cellIs" dxfId="1974" priority="7889" stopIfTrue="1" operator="equal">
      <formula>#REF!</formula>
    </cfRule>
    <cfRule type="cellIs" dxfId="1973" priority="7890" stopIfTrue="1" operator="between">
      <formula>#REF!</formula>
      <formula>#REF!</formula>
    </cfRule>
    <cfRule type="cellIs" dxfId="1972" priority="7893" stopIfTrue="1" operator="between">
      <formula>#REF!</formula>
      <formula>#REF!</formula>
    </cfRule>
  </conditionalFormatting>
  <conditionalFormatting sqref="CX125:CX129">
    <cfRule type="cellIs" dxfId="1971" priority="7780" stopIfTrue="1" operator="equal">
      <formula>#REF!</formula>
    </cfRule>
    <cfRule type="cellIs" dxfId="1970" priority="7779" stopIfTrue="1" operator="between">
      <formula>#REF!</formula>
      <formula>#REF!</formula>
    </cfRule>
    <cfRule type="cellIs" dxfId="1969" priority="7681" stopIfTrue="1" operator="equal">
      <formula>#REF!</formula>
    </cfRule>
    <cfRule type="cellIs" dxfId="1968" priority="7686" stopIfTrue="1" operator="between">
      <formula>#REF!</formula>
      <formula>#REF!</formula>
    </cfRule>
    <cfRule type="cellIs" dxfId="1967" priority="7683" stopIfTrue="1" operator="between">
      <formula>#REF!</formula>
      <formula>#REF!</formula>
    </cfRule>
    <cfRule type="cellIs" dxfId="1966" priority="7785" stopIfTrue="1" operator="between">
      <formula>#REF!</formula>
      <formula>#REF!</formula>
    </cfRule>
    <cfRule type="cellIs" dxfId="1965" priority="7782" stopIfTrue="1" operator="between">
      <formula>#REF!</formula>
      <formula>#REF!</formula>
    </cfRule>
    <cfRule type="cellIs" dxfId="1964" priority="7680" stopIfTrue="1" operator="between">
      <formula>#REF!</formula>
      <formula>#REF!</formula>
    </cfRule>
    <cfRule type="cellIs" dxfId="1963" priority="7682" stopIfTrue="1" operator="equal">
      <formula>#REF!</formula>
    </cfRule>
    <cfRule type="cellIs" dxfId="1962" priority="7781" stopIfTrue="1" operator="equal">
      <formula>#REF!</formula>
    </cfRule>
  </conditionalFormatting>
  <conditionalFormatting sqref="CX126:CX129">
    <cfRule type="cellIs" dxfId="1961" priority="7359" stopIfTrue="1" operator="between">
      <formula>#REF!</formula>
      <formula>#REF!</formula>
    </cfRule>
    <cfRule type="cellIs" dxfId="1960" priority="7566" stopIfTrue="1" operator="between">
      <formula>#REF!</formula>
      <formula>#REF!</formula>
    </cfRule>
    <cfRule type="cellIs" dxfId="1959" priority="7356" stopIfTrue="1" operator="between">
      <formula>#REF!</formula>
      <formula>#REF!</formula>
    </cfRule>
    <cfRule type="cellIs" dxfId="1958" priority="7358" stopIfTrue="1" operator="equal">
      <formula>#REF!</formula>
    </cfRule>
    <cfRule type="cellIs" dxfId="1957" priority="7565" stopIfTrue="1" operator="equal">
      <formula>#REF!</formula>
    </cfRule>
    <cfRule type="cellIs" dxfId="1956" priority="7362" stopIfTrue="1" operator="between">
      <formula>#REF!</formula>
      <formula>#REF!</formula>
    </cfRule>
    <cfRule type="cellIs" dxfId="1955" priority="7357" stopIfTrue="1" operator="equal">
      <formula>#REF!</formula>
    </cfRule>
    <cfRule type="cellIs" dxfId="1954" priority="7467" stopIfTrue="1" operator="between">
      <formula>#REF!</formula>
      <formula>#REF!</formula>
    </cfRule>
    <cfRule type="cellIs" dxfId="1953" priority="7263" stopIfTrue="1" operator="between">
      <formula>#REF!</formula>
      <formula>#REF!</formula>
    </cfRule>
    <cfRule type="cellIs" dxfId="1952" priority="7260" stopIfTrue="1" operator="between">
      <formula>#REF!</formula>
      <formula>#REF!</formula>
    </cfRule>
    <cfRule type="cellIs" dxfId="1951" priority="7564" stopIfTrue="1" operator="equal">
      <formula>#REF!</formula>
    </cfRule>
    <cfRule type="cellIs" dxfId="1950" priority="7259" stopIfTrue="1" operator="equal">
      <formula>#REF!</formula>
    </cfRule>
    <cfRule type="cellIs" dxfId="1949" priority="7258" stopIfTrue="1" operator="equal">
      <formula>#REF!</formula>
    </cfRule>
    <cfRule type="cellIs" dxfId="1948" priority="7563" stopIfTrue="1" operator="between">
      <formula>#REF!</formula>
      <formula>#REF!</formula>
    </cfRule>
    <cfRule type="cellIs" dxfId="1947" priority="7465" stopIfTrue="1" operator="equal">
      <formula>#REF!</formula>
    </cfRule>
    <cfRule type="cellIs" dxfId="1946" priority="7569" stopIfTrue="1" operator="between">
      <formula>#REF!</formula>
      <formula>#REF!</formula>
    </cfRule>
    <cfRule type="cellIs" dxfId="1945" priority="7464" stopIfTrue="1" operator="between">
      <formula>#REF!</formula>
      <formula>#REF!</formula>
    </cfRule>
    <cfRule type="cellIs" dxfId="1944" priority="7470" stopIfTrue="1" operator="between">
      <formula>#REF!</formula>
      <formula>#REF!</formula>
    </cfRule>
    <cfRule type="cellIs" dxfId="1943" priority="7257" stopIfTrue="1" operator="between">
      <formula>#REF!</formula>
      <formula>#REF!</formula>
    </cfRule>
    <cfRule type="cellIs" dxfId="1942" priority="7466" stopIfTrue="1" operator="equal">
      <formula>#REF!</formula>
    </cfRule>
  </conditionalFormatting>
  <conditionalFormatting sqref="CX130">
    <cfRule type="cellIs" dxfId="1941" priority="6349" stopIfTrue="1" operator="equal">
      <formula>#REF!</formula>
    </cfRule>
    <cfRule type="cellIs" dxfId="1940" priority="6348" stopIfTrue="1" operator="between">
      <formula>#REF!</formula>
      <formula>#REF!</formula>
    </cfRule>
    <cfRule type="cellIs" dxfId="1939" priority="6660" stopIfTrue="1" operator="between">
      <formula>#REF!</formula>
      <formula>#REF!</formula>
    </cfRule>
    <cfRule type="cellIs" dxfId="1938" priority="6654" stopIfTrue="1" operator="between">
      <formula>#REF!</formula>
      <formula>#REF!</formula>
    </cfRule>
    <cfRule type="cellIs" dxfId="1937" priority="6655" stopIfTrue="1" operator="equal">
      <formula>#REF!</formula>
    </cfRule>
    <cfRule type="cellIs" dxfId="1936" priority="6656" stopIfTrue="1" operator="equal">
      <formula>#REF!</formula>
    </cfRule>
    <cfRule type="cellIs" dxfId="1935" priority="6657" stopIfTrue="1" operator="between">
      <formula>#REF!</formula>
      <formula>#REF!</formula>
    </cfRule>
    <cfRule type="cellIs" dxfId="1934" priority="6871" stopIfTrue="1" operator="equal">
      <formula>#REF!</formula>
    </cfRule>
    <cfRule type="cellIs" dxfId="1933" priority="6872" stopIfTrue="1" operator="equal">
      <formula>#REF!</formula>
    </cfRule>
    <cfRule type="cellIs" dxfId="1932" priority="6873" stopIfTrue="1" operator="between">
      <formula>#REF!</formula>
      <formula>#REF!</formula>
    </cfRule>
    <cfRule type="cellIs" dxfId="1931" priority="6876" stopIfTrue="1" operator="between">
      <formula>#REF!</formula>
      <formula>#REF!</formula>
    </cfRule>
    <cfRule type="cellIs" dxfId="1930" priority="6555" stopIfTrue="1" operator="between">
      <formula>#REF!</formula>
      <formula>#REF!</formula>
    </cfRule>
    <cfRule type="cellIs" dxfId="1929" priority="6556" stopIfTrue="1" operator="equal">
      <formula>#REF!</formula>
    </cfRule>
    <cfRule type="cellIs" dxfId="1928" priority="6557" stopIfTrue="1" operator="equal">
      <formula>#REF!</formula>
    </cfRule>
    <cfRule type="cellIs" dxfId="1927" priority="6558" stopIfTrue="1" operator="between">
      <formula>#REF!</formula>
      <formula>#REF!</formula>
    </cfRule>
    <cfRule type="cellIs" dxfId="1926" priority="6453" stopIfTrue="1" operator="between">
      <formula>#REF!</formula>
      <formula>#REF!</formula>
    </cfRule>
    <cfRule type="cellIs" dxfId="1925" priority="6561" stopIfTrue="1" operator="between">
      <formula>#REF!</formula>
      <formula>#REF!</formula>
    </cfRule>
    <cfRule type="cellIs" dxfId="1924" priority="6450" stopIfTrue="1" operator="between">
      <formula>#REF!</formula>
      <formula>#REF!</formula>
    </cfRule>
    <cfRule type="cellIs" dxfId="1923" priority="6449" stopIfTrue="1" operator="equal">
      <formula>#REF!</formula>
    </cfRule>
    <cfRule type="cellIs" dxfId="1922" priority="6448" stopIfTrue="1" operator="equal">
      <formula>#REF!</formula>
    </cfRule>
    <cfRule type="cellIs" dxfId="1921" priority="6870" stopIfTrue="1" operator="between">
      <formula>#REF!</formula>
      <formula>#REF!</formula>
    </cfRule>
    <cfRule type="cellIs" dxfId="1920" priority="6447" stopIfTrue="1" operator="between">
      <formula>#REF!</formula>
      <formula>#REF!</formula>
    </cfRule>
    <cfRule type="cellIs" dxfId="1919" priority="6978" stopIfTrue="1" operator="between">
      <formula>#REF!</formula>
      <formula>#REF!</formula>
    </cfRule>
    <cfRule type="cellIs" dxfId="1918" priority="6979" stopIfTrue="1" operator="equal">
      <formula>#REF!</formula>
    </cfRule>
    <cfRule type="cellIs" dxfId="1917" priority="6980" stopIfTrue="1" operator="equal">
      <formula>#REF!</formula>
    </cfRule>
    <cfRule type="cellIs" dxfId="1916" priority="6981" stopIfTrue="1" operator="between">
      <formula>#REF!</formula>
      <formula>#REF!</formula>
    </cfRule>
    <cfRule type="cellIs" dxfId="1915" priority="6984" stopIfTrue="1" operator="between">
      <formula>#REF!</formula>
      <formula>#REF!</formula>
    </cfRule>
    <cfRule type="cellIs" dxfId="1914" priority="6777" stopIfTrue="1" operator="between">
      <formula>#REF!</formula>
      <formula>#REF!</formula>
    </cfRule>
    <cfRule type="cellIs" dxfId="1913" priority="6774" stopIfTrue="1" operator="between">
      <formula>#REF!</formula>
      <formula>#REF!</formula>
    </cfRule>
    <cfRule type="cellIs" dxfId="1912" priority="6773" stopIfTrue="1" operator="equal">
      <formula>#REF!</formula>
    </cfRule>
    <cfRule type="cellIs" dxfId="1911" priority="6772" stopIfTrue="1" operator="equal">
      <formula>#REF!</formula>
    </cfRule>
    <cfRule type="cellIs" dxfId="1910" priority="6771" stopIfTrue="1" operator="between">
      <formula>#REF!</formula>
      <formula>#REF!</formula>
    </cfRule>
    <cfRule type="cellIs" dxfId="1909" priority="7077" stopIfTrue="1" operator="between">
      <formula>#REF!</formula>
      <formula>#REF!</formula>
    </cfRule>
    <cfRule type="cellIs" dxfId="1908" priority="7078" stopIfTrue="1" operator="equal">
      <formula>#REF!</formula>
    </cfRule>
    <cfRule type="cellIs" dxfId="1907" priority="7079" stopIfTrue="1" operator="equal">
      <formula>#REF!</formula>
    </cfRule>
    <cfRule type="cellIs" dxfId="1906" priority="7080" stopIfTrue="1" operator="between">
      <formula>#REF!</formula>
      <formula>#REF!</formula>
    </cfRule>
    <cfRule type="cellIs" dxfId="1905" priority="7083" stopIfTrue="1" operator="between">
      <formula>#REF!</formula>
      <formula>#REF!</formula>
    </cfRule>
    <cfRule type="cellIs" dxfId="1904" priority="6354" stopIfTrue="1" operator="between">
      <formula>#REF!</formula>
      <formula>#REF!</formula>
    </cfRule>
    <cfRule type="cellIs" dxfId="1903" priority="6351" stopIfTrue="1" operator="between">
      <formula>#REF!</formula>
      <formula>#REF!</formula>
    </cfRule>
    <cfRule type="cellIs" dxfId="1902" priority="6350" stopIfTrue="1" operator="equal">
      <formula>#REF!</formula>
    </cfRule>
  </conditionalFormatting>
  <conditionalFormatting sqref="CX131:CX141">
    <cfRule type="cellIs" dxfId="1901" priority="5868" stopIfTrue="1" operator="between">
      <formula>#REF!</formula>
      <formula>#REF!</formula>
    </cfRule>
    <cfRule type="cellIs" dxfId="1900" priority="6168" stopIfTrue="1" operator="between">
      <formula>#REF!</formula>
      <formula>#REF!</formula>
    </cfRule>
    <cfRule type="cellIs" dxfId="1899" priority="5442" stopIfTrue="1" operator="between">
      <formula>#REF!</formula>
      <formula>#REF!</formula>
    </cfRule>
    <cfRule type="cellIs" dxfId="1898" priority="5441" stopIfTrue="1" operator="equal">
      <formula>#REF!</formula>
    </cfRule>
    <cfRule type="cellIs" dxfId="1897" priority="6075" stopIfTrue="1" operator="between">
      <formula>#REF!</formula>
      <formula>#REF!</formula>
    </cfRule>
    <cfRule type="cellIs" dxfId="1896" priority="5440" stopIfTrue="1" operator="equal">
      <formula>#REF!</formula>
    </cfRule>
    <cfRule type="cellIs" dxfId="1895" priority="5646" stopIfTrue="1" operator="between">
      <formula>#REF!</formula>
      <formula>#REF!</formula>
    </cfRule>
    <cfRule type="cellIs" dxfId="1894" priority="5439" stopIfTrue="1" operator="between">
      <formula>#REF!</formula>
      <formula>#REF!</formula>
    </cfRule>
    <cfRule type="cellIs" dxfId="1893" priority="5652" stopIfTrue="1" operator="between">
      <formula>#REF!</formula>
      <formula>#REF!</formula>
    </cfRule>
    <cfRule type="cellIs" dxfId="1892" priority="5544" stopIfTrue="1" operator="between">
      <formula>#REF!</formula>
      <formula>#REF!</formula>
    </cfRule>
    <cfRule type="cellIs" dxfId="1891" priority="5649" stopIfTrue="1" operator="between">
      <formula>#REF!</formula>
      <formula>#REF!</formula>
    </cfRule>
    <cfRule type="cellIs" dxfId="1890" priority="5747" stopIfTrue="1" operator="equal">
      <formula>#REF!</formula>
    </cfRule>
    <cfRule type="cellIs" dxfId="1889" priority="5648" stopIfTrue="1" operator="equal">
      <formula>#REF!</formula>
    </cfRule>
    <cfRule type="cellIs" dxfId="1888" priority="5647" stopIfTrue="1" operator="equal">
      <formula>#REF!</formula>
    </cfRule>
    <cfRule type="cellIs" dxfId="1887" priority="5445" stopIfTrue="1" operator="between">
      <formula>#REF!</formula>
      <formula>#REF!</formula>
    </cfRule>
    <cfRule type="cellIs" dxfId="1886" priority="6069" stopIfTrue="1" operator="between">
      <formula>#REF!</formula>
      <formula>#REF!</formula>
    </cfRule>
    <cfRule type="cellIs" dxfId="1885" priority="6070" stopIfTrue="1" operator="equal">
      <formula>#REF!</formula>
    </cfRule>
    <cfRule type="cellIs" dxfId="1884" priority="6071" stopIfTrue="1" operator="equal">
      <formula>#REF!</formula>
    </cfRule>
    <cfRule type="cellIs" dxfId="1883" priority="6072" stopIfTrue="1" operator="between">
      <formula>#REF!</formula>
      <formula>#REF!</formula>
    </cfRule>
    <cfRule type="cellIs" dxfId="1882" priority="5745" stopIfTrue="1" operator="between">
      <formula>#REF!</formula>
      <formula>#REF!</formula>
    </cfRule>
    <cfRule type="cellIs" dxfId="1881" priority="5746" stopIfTrue="1" operator="equal">
      <formula>#REF!</formula>
    </cfRule>
    <cfRule type="cellIs" dxfId="1880" priority="5748" stopIfTrue="1" operator="between">
      <formula>#REF!</formula>
      <formula>#REF!</formula>
    </cfRule>
    <cfRule type="cellIs" dxfId="1879" priority="5541" stopIfTrue="1" operator="between">
      <formula>#REF!</formula>
      <formula>#REF!</formula>
    </cfRule>
    <cfRule type="cellIs" dxfId="1878" priority="5751" stopIfTrue="1" operator="between">
      <formula>#REF!</formula>
      <formula>#REF!</formula>
    </cfRule>
    <cfRule type="cellIs" dxfId="1877" priority="5862" stopIfTrue="1" operator="between">
      <formula>#REF!</formula>
      <formula>#REF!</formula>
    </cfRule>
    <cfRule type="cellIs" dxfId="1876" priority="5540" stopIfTrue="1" operator="equal">
      <formula>#REF!</formula>
    </cfRule>
    <cfRule type="cellIs" dxfId="1875" priority="5863" stopIfTrue="1" operator="equal">
      <formula>#REF!</formula>
    </cfRule>
    <cfRule type="cellIs" dxfId="1874" priority="5864" stopIfTrue="1" operator="equal">
      <formula>#REF!</formula>
    </cfRule>
    <cfRule type="cellIs" dxfId="1873" priority="5865" stopIfTrue="1" operator="between">
      <formula>#REF!</formula>
      <formula>#REF!</formula>
    </cfRule>
    <cfRule type="cellIs" dxfId="1872" priority="6174" stopIfTrue="1" operator="between">
      <formula>#REF!</formula>
      <formula>#REF!</formula>
    </cfRule>
    <cfRule type="cellIs" dxfId="1871" priority="5967" stopIfTrue="1" operator="between">
      <formula>#REF!</formula>
      <formula>#REF!</formula>
    </cfRule>
    <cfRule type="cellIs" dxfId="1870" priority="5538" stopIfTrue="1" operator="between">
      <formula>#REF!</formula>
      <formula>#REF!</formula>
    </cfRule>
    <cfRule type="cellIs" dxfId="1869" priority="5964" stopIfTrue="1" operator="between">
      <formula>#REF!</formula>
      <formula>#REF!</formula>
    </cfRule>
    <cfRule type="cellIs" dxfId="1868" priority="5963" stopIfTrue="1" operator="equal">
      <formula>#REF!</formula>
    </cfRule>
    <cfRule type="cellIs" dxfId="1867" priority="5962" stopIfTrue="1" operator="equal">
      <formula>#REF!</formula>
    </cfRule>
    <cfRule type="cellIs" dxfId="1866" priority="5961" stopIfTrue="1" operator="between">
      <formula>#REF!</formula>
      <formula>#REF!</formula>
    </cfRule>
    <cfRule type="cellIs" dxfId="1865" priority="5539" stopIfTrue="1" operator="equal">
      <formula>#REF!</formula>
    </cfRule>
    <cfRule type="cellIs" dxfId="1864" priority="6171" stopIfTrue="1" operator="between">
      <formula>#REF!</formula>
      <formula>#REF!</formula>
    </cfRule>
    <cfRule type="cellIs" dxfId="1863" priority="6170" stopIfTrue="1" operator="equal">
      <formula>#REF!</formula>
    </cfRule>
    <cfRule type="cellIs" dxfId="1862" priority="6169" stopIfTrue="1" operator="equal">
      <formula>#REF!</formula>
    </cfRule>
  </conditionalFormatting>
  <conditionalFormatting sqref="CX142:CX143">
    <cfRule type="cellIs" dxfId="1861" priority="4757" stopIfTrue="1" operator="equal">
      <formula>#REF!</formula>
    </cfRule>
    <cfRule type="cellIs" dxfId="1860" priority="4652" stopIfTrue="1" operator="equal">
      <formula>#REF!</formula>
    </cfRule>
    <cfRule type="cellIs" dxfId="1859" priority="4653" stopIfTrue="1" operator="between">
      <formula>#REF!</formula>
      <formula>#REF!</formula>
    </cfRule>
    <cfRule type="cellIs" dxfId="1858" priority="4756" stopIfTrue="1" operator="equal">
      <formula>#REF!</formula>
    </cfRule>
    <cfRule type="cellIs" dxfId="1857" priority="4551" stopIfTrue="1" operator="between">
      <formula>#REF!</formula>
      <formula>#REF!</formula>
    </cfRule>
    <cfRule type="cellIs" dxfId="1856" priority="5280" stopIfTrue="1" operator="between">
      <formula>#REF!</formula>
      <formula>#REF!</formula>
    </cfRule>
    <cfRule type="cellIs" dxfId="1855" priority="5279" stopIfTrue="1" operator="equal">
      <formula>#REF!</formula>
    </cfRule>
    <cfRule type="cellIs" dxfId="1854" priority="4971" stopIfTrue="1" operator="between">
      <formula>#REF!</formula>
      <formula>#REF!</formula>
    </cfRule>
    <cfRule type="cellIs" dxfId="1853" priority="4553" stopIfTrue="1" operator="equal">
      <formula>#REF!</formula>
    </cfRule>
    <cfRule type="cellIs" dxfId="1852" priority="4548" stopIfTrue="1" operator="between">
      <formula>#REF!</formula>
      <formula>#REF!</formula>
    </cfRule>
    <cfRule type="cellIs" dxfId="1851" priority="4853" stopIfTrue="1" operator="equal">
      <formula>#REF!</formula>
    </cfRule>
    <cfRule type="cellIs" dxfId="1850" priority="4856" stopIfTrue="1" operator="equal">
      <formula>#REF!</formula>
    </cfRule>
    <cfRule type="cellIs" dxfId="1849" priority="4554" stopIfTrue="1" operator="between">
      <formula>#REF!</formula>
      <formula>#REF!</formula>
    </cfRule>
    <cfRule type="cellIs" dxfId="1848" priority="4854" stopIfTrue="1" operator="between">
      <formula>#REF!</formula>
      <formula>#REF!</formula>
    </cfRule>
    <cfRule type="cellIs" dxfId="1847" priority="4550" stopIfTrue="1" operator="equal">
      <formula>#REF!</formula>
    </cfRule>
    <cfRule type="cellIs" dxfId="1846" priority="4972" stopIfTrue="1" operator="equal">
      <formula>#REF!</formula>
    </cfRule>
    <cfRule type="cellIs" dxfId="1845" priority="4973" stopIfTrue="1" operator="equal">
      <formula>#REF!</formula>
    </cfRule>
    <cfRule type="cellIs" dxfId="1844" priority="4974" stopIfTrue="1" operator="between">
      <formula>#REF!</formula>
      <formula>#REF!</formula>
    </cfRule>
    <cfRule type="cellIs" dxfId="1843" priority="4855" stopIfTrue="1" operator="equal">
      <formula>#REF!</formula>
    </cfRule>
    <cfRule type="cellIs" dxfId="1842" priority="4857" stopIfTrue="1" operator="between">
      <formula>#REF!</formula>
      <formula>#REF!</formula>
    </cfRule>
    <cfRule type="cellIs" dxfId="1841" priority="4754" stopIfTrue="1" operator="equal">
      <formula>#REF!</formula>
    </cfRule>
    <cfRule type="cellIs" dxfId="1840" priority="4859" stopIfTrue="1" operator="equal">
      <formula>#REF!</formula>
    </cfRule>
    <cfRule type="cellIs" dxfId="1839" priority="4549" stopIfTrue="1" operator="equal">
      <formula>#REF!</formula>
    </cfRule>
    <cfRule type="cellIs" dxfId="1838" priority="4860" stopIfTrue="1" operator="between">
      <formula>#REF!</formula>
      <formula>#REF!</formula>
    </cfRule>
    <cfRule type="cellIs" dxfId="1837" priority="4646" stopIfTrue="1" operator="equal">
      <formula>#REF!</formula>
    </cfRule>
    <cfRule type="cellIs" dxfId="1836" priority="4647" stopIfTrue="1" operator="between">
      <formula>#REF!</formula>
      <formula>#REF!</formula>
    </cfRule>
    <cfRule type="cellIs" dxfId="1835" priority="4977" stopIfTrue="1" operator="between">
      <formula>#REF!</formula>
      <formula>#REF!</formula>
    </cfRule>
    <cfRule type="cellIs" dxfId="1834" priority="4648" stopIfTrue="1" operator="equal">
      <formula>#REF!</formula>
    </cfRule>
    <cfRule type="cellIs" dxfId="1833" priority="4649" stopIfTrue="1" operator="equal">
      <formula>#REF!</formula>
    </cfRule>
    <cfRule type="cellIs" dxfId="1832" priority="4650" stopIfTrue="1" operator="between">
      <formula>#REF!</formula>
      <formula>#REF!</formula>
    </cfRule>
    <cfRule type="cellIs" dxfId="1831" priority="5283" stopIfTrue="1" operator="between">
      <formula>#REF!</formula>
      <formula>#REF!</formula>
    </cfRule>
    <cfRule type="cellIs" dxfId="1830" priority="5178" stopIfTrue="1" operator="between">
      <formula>#REF!</formula>
      <formula>#REF!</formula>
    </cfRule>
    <cfRule type="cellIs" dxfId="1829" priority="5179" stopIfTrue="1" operator="equal">
      <formula>#REF!</formula>
    </cfRule>
    <cfRule type="cellIs" dxfId="1828" priority="5180" stopIfTrue="1" operator="equal">
      <formula>#REF!</formula>
    </cfRule>
    <cfRule type="cellIs" dxfId="1827" priority="5181" stopIfTrue="1" operator="between">
      <formula>#REF!</formula>
      <formula>#REF!</formula>
    </cfRule>
    <cfRule type="cellIs" dxfId="1826" priority="5278" stopIfTrue="1" operator="equal">
      <formula>#REF!</formula>
    </cfRule>
    <cfRule type="cellIs" dxfId="1825" priority="4755" stopIfTrue="1" operator="between">
      <formula>#REF!</formula>
      <formula>#REF!</formula>
    </cfRule>
    <cfRule type="cellIs" dxfId="1824" priority="5184" stopIfTrue="1" operator="between">
      <formula>#REF!</formula>
      <formula>#REF!</formula>
    </cfRule>
    <cfRule type="cellIs" dxfId="1823" priority="5070" stopIfTrue="1" operator="between">
      <formula>#REF!</formula>
      <formula>#REF!</formula>
    </cfRule>
    <cfRule type="cellIs" dxfId="1822" priority="5071" stopIfTrue="1" operator="equal">
      <formula>#REF!</formula>
    </cfRule>
    <cfRule type="cellIs" dxfId="1821" priority="5072" stopIfTrue="1" operator="equal">
      <formula>#REF!</formula>
    </cfRule>
    <cfRule type="cellIs" dxfId="1820" priority="5073" stopIfTrue="1" operator="between">
      <formula>#REF!</formula>
      <formula>#REF!</formula>
    </cfRule>
    <cfRule type="cellIs" dxfId="1819" priority="5076" stopIfTrue="1" operator="between">
      <formula>#REF!</formula>
      <formula>#REF!</formula>
    </cfRule>
    <cfRule type="cellIs" dxfId="1818" priority="4761" stopIfTrue="1" operator="between">
      <formula>#REF!</formula>
      <formula>#REF!</formula>
    </cfRule>
    <cfRule type="cellIs" dxfId="1817" priority="4760" stopIfTrue="1" operator="equal">
      <formula>#REF!</formula>
    </cfRule>
    <cfRule type="cellIs" dxfId="1816" priority="4547" stopIfTrue="1" operator="equal">
      <formula>#REF!</formula>
    </cfRule>
    <cfRule type="cellIs" dxfId="1815" priority="4758" stopIfTrue="1" operator="between">
      <formula>#REF!</formula>
      <formula>#REF!</formula>
    </cfRule>
    <cfRule type="cellIs" dxfId="1814" priority="5277" stopIfTrue="1" operator="between">
      <formula>#REF!</formula>
      <formula>#REF!</formula>
    </cfRule>
  </conditionalFormatting>
  <conditionalFormatting sqref="CX144:CX173">
    <cfRule type="cellIs" dxfId="1813" priority="4391" stopIfTrue="1" operator="equal">
      <formula>#REF!</formula>
    </cfRule>
    <cfRule type="cellIs" dxfId="1812" priority="3656" stopIfTrue="1" operator="equal">
      <formula>#REF!</formula>
    </cfRule>
    <cfRule type="cellIs" dxfId="1811" priority="3657" stopIfTrue="1" operator="between">
      <formula>#REF!</formula>
      <formula>#REF!</formula>
    </cfRule>
    <cfRule type="cellIs" dxfId="1810" priority="3658" stopIfTrue="1" operator="equal">
      <formula>#REF!</formula>
    </cfRule>
    <cfRule type="cellIs" dxfId="1809" priority="3659" stopIfTrue="1" operator="equal">
      <formula>#REF!</formula>
    </cfRule>
    <cfRule type="cellIs" dxfId="1808" priority="4389" stopIfTrue="1" operator="between">
      <formula>#REF!</formula>
      <formula>#REF!</formula>
    </cfRule>
    <cfRule type="cellIs" dxfId="1807" priority="4388" stopIfTrue="1" operator="equal">
      <formula>#REF!</formula>
    </cfRule>
    <cfRule type="cellIs" dxfId="1806" priority="4387" stopIfTrue="1" operator="equal">
      <formula>#REF!</formula>
    </cfRule>
    <cfRule type="cellIs" dxfId="1805" priority="4386" stopIfTrue="1" operator="between">
      <formula>#REF!</formula>
      <formula>#REF!</formula>
    </cfRule>
    <cfRule type="cellIs" dxfId="1804" priority="4385" stopIfTrue="1" operator="equal">
      <formula>#REF!</formula>
    </cfRule>
    <cfRule type="cellIs" dxfId="1803" priority="4293" stopIfTrue="1" operator="between">
      <formula>#REF!</formula>
      <formula>#REF!</formula>
    </cfRule>
    <cfRule type="cellIs" dxfId="1802" priority="4292" stopIfTrue="1" operator="equal">
      <formula>#REF!</formula>
    </cfRule>
    <cfRule type="cellIs" dxfId="1801" priority="3660" stopIfTrue="1" operator="between">
      <formula>#REF!</formula>
      <formula>#REF!</formula>
    </cfRule>
    <cfRule type="cellIs" dxfId="1800" priority="3662" stopIfTrue="1" operator="equal">
      <formula>#REF!</formula>
    </cfRule>
    <cfRule type="cellIs" dxfId="1799" priority="3663" stopIfTrue="1" operator="between">
      <formula>#REF!</formula>
      <formula>#REF!</formula>
    </cfRule>
    <cfRule type="cellIs" dxfId="1798" priority="4290" stopIfTrue="1" operator="between">
      <formula>#REF!</formula>
      <formula>#REF!</formula>
    </cfRule>
    <cfRule type="cellIs" dxfId="1797" priority="4289" stopIfTrue="1" operator="equal">
      <formula>#REF!</formula>
    </cfRule>
    <cfRule type="cellIs" dxfId="1796" priority="4288" stopIfTrue="1" operator="equal">
      <formula>#REF!</formula>
    </cfRule>
    <cfRule type="cellIs" dxfId="1795" priority="4287" stopIfTrue="1" operator="between">
      <formula>#REF!</formula>
      <formula>#REF!</formula>
    </cfRule>
    <cfRule type="cellIs" dxfId="1794" priority="4286" stopIfTrue="1" operator="equal">
      <formula>#REF!</formula>
    </cfRule>
    <cfRule type="cellIs" dxfId="1793" priority="4185" stopIfTrue="1" operator="between">
      <formula>#REF!</formula>
      <formula>#REF!</formula>
    </cfRule>
    <cfRule type="cellIs" dxfId="1792" priority="4184" stopIfTrue="1" operator="equal">
      <formula>#REF!</formula>
    </cfRule>
    <cfRule type="cellIs" dxfId="1791" priority="4182" stopIfTrue="1" operator="between">
      <formula>#REF!</formula>
      <formula>#REF!</formula>
    </cfRule>
    <cfRule type="cellIs" dxfId="1790" priority="4181" stopIfTrue="1" operator="equal">
      <formula>#REF!</formula>
    </cfRule>
    <cfRule type="cellIs" dxfId="1789" priority="4180" stopIfTrue="1" operator="equal">
      <formula>#REF!</formula>
    </cfRule>
    <cfRule type="cellIs" dxfId="1788" priority="4179" stopIfTrue="1" operator="between">
      <formula>#REF!</formula>
      <formula>#REF!</formula>
    </cfRule>
    <cfRule type="cellIs" dxfId="1787" priority="4178" stopIfTrue="1" operator="equal">
      <formula>#REF!</formula>
    </cfRule>
    <cfRule type="cellIs" dxfId="1786" priority="3755" stopIfTrue="1" operator="equal">
      <formula>#REF!</formula>
    </cfRule>
    <cfRule type="cellIs" dxfId="1785" priority="3756" stopIfTrue="1" operator="between">
      <formula>#REF!</formula>
      <formula>#REF!</formula>
    </cfRule>
    <cfRule type="cellIs" dxfId="1784" priority="3757" stopIfTrue="1" operator="equal">
      <formula>#REF!</formula>
    </cfRule>
    <cfRule type="cellIs" dxfId="1783" priority="3758" stopIfTrue="1" operator="equal">
      <formula>#REF!</formula>
    </cfRule>
    <cfRule type="cellIs" dxfId="1782" priority="3759" stopIfTrue="1" operator="between">
      <formula>#REF!</formula>
      <formula>#REF!</formula>
    </cfRule>
    <cfRule type="cellIs" dxfId="1781" priority="3761" stopIfTrue="1" operator="equal">
      <formula>#REF!</formula>
    </cfRule>
    <cfRule type="cellIs" dxfId="1780" priority="4086" stopIfTrue="1" operator="between">
      <formula>#REF!</formula>
      <formula>#REF!</formula>
    </cfRule>
    <cfRule type="cellIs" dxfId="1779" priority="4085" stopIfTrue="1" operator="equal">
      <formula>#REF!</formula>
    </cfRule>
    <cfRule type="cellIs" dxfId="1778" priority="3762" stopIfTrue="1" operator="between">
      <formula>#REF!</formula>
      <formula>#REF!</formula>
    </cfRule>
    <cfRule type="cellIs" dxfId="1777" priority="4083" stopIfTrue="1" operator="between">
      <formula>#REF!</formula>
      <formula>#REF!</formula>
    </cfRule>
    <cfRule type="cellIs" dxfId="1776" priority="4082" stopIfTrue="1" operator="equal">
      <formula>#REF!</formula>
    </cfRule>
    <cfRule type="cellIs" dxfId="1775" priority="4081" stopIfTrue="1" operator="equal">
      <formula>#REF!</formula>
    </cfRule>
    <cfRule type="cellIs" dxfId="1774" priority="4080" stopIfTrue="1" operator="between">
      <formula>#REF!</formula>
      <formula>#REF!</formula>
    </cfRule>
    <cfRule type="cellIs" dxfId="1773" priority="3863" stopIfTrue="1" operator="equal">
      <formula>#REF!</formula>
    </cfRule>
    <cfRule type="cellIs" dxfId="1772" priority="3864" stopIfTrue="1" operator="between">
      <formula>#REF!</formula>
      <formula>#REF!</formula>
    </cfRule>
    <cfRule type="cellIs" dxfId="1771" priority="3865" stopIfTrue="1" operator="equal">
      <formula>#REF!</formula>
    </cfRule>
    <cfRule type="cellIs" dxfId="1770" priority="3866" stopIfTrue="1" operator="equal">
      <formula>#REF!</formula>
    </cfRule>
    <cfRule type="cellIs" dxfId="1769" priority="3867" stopIfTrue="1" operator="between">
      <formula>#REF!</formula>
      <formula>#REF!</formula>
    </cfRule>
    <cfRule type="cellIs" dxfId="1768" priority="3869" stopIfTrue="1" operator="equal">
      <formula>#REF!</formula>
    </cfRule>
    <cfRule type="cellIs" dxfId="1767" priority="3870" stopIfTrue="1" operator="between">
      <formula>#REF!</formula>
      <formula>#REF!</formula>
    </cfRule>
    <cfRule type="cellIs" dxfId="1766" priority="3969" stopIfTrue="1" operator="between">
      <formula>#REF!</formula>
      <formula>#REF!</formula>
    </cfRule>
    <cfRule type="cellIs" dxfId="1765" priority="3968" stopIfTrue="1" operator="equal">
      <formula>#REF!</formula>
    </cfRule>
    <cfRule type="cellIs" dxfId="1764" priority="3966" stopIfTrue="1" operator="between">
      <formula>#REF!</formula>
      <formula>#REF!</formula>
    </cfRule>
    <cfRule type="cellIs" dxfId="1763" priority="3965" stopIfTrue="1" operator="equal">
      <formula>#REF!</formula>
    </cfRule>
    <cfRule type="cellIs" dxfId="1762" priority="3964" stopIfTrue="1" operator="equal">
      <formula>#REF!</formula>
    </cfRule>
    <cfRule type="cellIs" dxfId="1761" priority="3963" stopIfTrue="1" operator="between">
      <formula>#REF!</formula>
      <formula>#REF!</formula>
    </cfRule>
    <cfRule type="cellIs" dxfId="1760" priority="3962" stopIfTrue="1" operator="equal">
      <formula>#REF!</formula>
    </cfRule>
    <cfRule type="cellIs" dxfId="1759" priority="4079" stopIfTrue="1" operator="equal">
      <formula>#REF!</formula>
    </cfRule>
    <cfRule type="cellIs" dxfId="1758" priority="4392" stopIfTrue="1" operator="between">
      <formula>#REF!</formula>
      <formula>#REF!</formula>
    </cfRule>
  </conditionalFormatting>
  <conditionalFormatting sqref="CX174:CX199">
    <cfRule type="cellIs" dxfId="1757" priority="392" stopIfTrue="1" operator="equal">
      <formula>#REF!</formula>
    </cfRule>
    <cfRule type="cellIs" dxfId="1756" priority="293" stopIfTrue="1" operator="equal">
      <formula>#REF!</formula>
    </cfRule>
    <cfRule type="cellIs" dxfId="1755" priority="294" stopIfTrue="1" operator="between">
      <formula>#REF!</formula>
      <formula>#REF!</formula>
    </cfRule>
    <cfRule type="cellIs" dxfId="1754" priority="719" stopIfTrue="1" operator="equal">
      <formula>#REF!</formula>
    </cfRule>
    <cfRule type="cellIs" dxfId="1753" priority="84" stopIfTrue="1" operator="between">
      <formula>#REF!</formula>
      <formula>#REF!</formula>
    </cfRule>
    <cfRule type="cellIs" dxfId="1752" priority="189" stopIfTrue="1" operator="between">
      <formula>#REF!</formula>
      <formula>#REF!</formula>
    </cfRule>
    <cfRule type="cellIs" dxfId="1751" priority="188" stopIfTrue="1" operator="equal">
      <formula>#REF!</formula>
    </cfRule>
    <cfRule type="cellIs" dxfId="1750" priority="85" stopIfTrue="1" operator="equal">
      <formula>#REF!</formula>
    </cfRule>
    <cfRule type="cellIs" dxfId="1749" priority="86" stopIfTrue="1" operator="equal">
      <formula>#REF!</formula>
    </cfRule>
    <cfRule type="cellIs" dxfId="1748" priority="87" stopIfTrue="1" operator="between">
      <formula>#REF!</formula>
      <formula>#REF!</formula>
    </cfRule>
    <cfRule type="cellIs" dxfId="1747" priority="813" stopIfTrue="1" operator="between">
      <formula>#REF!</formula>
      <formula>#REF!</formula>
    </cfRule>
    <cfRule type="cellIs" dxfId="1746" priority="812" stopIfTrue="1" operator="equal">
      <formula>#REF!</formula>
    </cfRule>
    <cfRule type="cellIs" dxfId="1745" priority="296" stopIfTrue="1" operator="equal">
      <formula>#REF!</formula>
    </cfRule>
    <cfRule type="cellIs" dxfId="1744" priority="186" stopIfTrue="1" operator="between">
      <formula>#REF!</formula>
      <formula>#REF!</formula>
    </cfRule>
    <cfRule type="cellIs" dxfId="1743" priority="605" stopIfTrue="1" operator="equal">
      <formula>#REF!</formula>
    </cfRule>
    <cfRule type="cellIs" dxfId="1742" priority="185" stopIfTrue="1" operator="equal">
      <formula>#REF!</formula>
    </cfRule>
    <cfRule type="cellIs" dxfId="1741" priority="184" stopIfTrue="1" operator="equal">
      <formula>#REF!</formula>
    </cfRule>
    <cfRule type="cellIs" dxfId="1740" priority="183" stopIfTrue="1" operator="between">
      <formula>#REF!</formula>
      <formula>#REF!</formula>
    </cfRule>
    <cfRule type="cellIs" dxfId="1739" priority="89" stopIfTrue="1" operator="equal">
      <formula>#REF!</formula>
    </cfRule>
    <cfRule type="cellIs" dxfId="1738" priority="90" stopIfTrue="1" operator="between">
      <formula>#REF!</formula>
      <formula>#REF!</formula>
    </cfRule>
    <cfRule type="cellIs" dxfId="1737" priority="182" stopIfTrue="1" operator="equal">
      <formula>#REF!</formula>
    </cfRule>
    <cfRule type="cellIs" dxfId="1736" priority="606" stopIfTrue="1" operator="between">
      <formula>#REF!</formula>
      <formula>#REF!</formula>
    </cfRule>
    <cfRule type="cellIs" dxfId="1735" priority="297" stopIfTrue="1" operator="between">
      <formula>#REF!</formula>
      <formula>#REF!</formula>
    </cfRule>
    <cfRule type="cellIs" dxfId="1734" priority="720" stopIfTrue="1" operator="between">
      <formula>#REF!</formula>
      <formula>#REF!</formula>
    </cfRule>
    <cfRule type="cellIs" dxfId="1733" priority="607" stopIfTrue="1" operator="equal">
      <formula>#REF!</formula>
    </cfRule>
    <cfRule type="cellIs" dxfId="1732" priority="389" stopIfTrue="1" operator="equal">
      <formula>#REF!</formula>
    </cfRule>
    <cfRule type="cellIs" dxfId="1731" priority="390" stopIfTrue="1" operator="between">
      <formula>#REF!</formula>
      <formula>#REF!</formula>
    </cfRule>
    <cfRule type="cellIs" dxfId="1730" priority="608" stopIfTrue="1" operator="equal">
      <formula>#REF!</formula>
    </cfRule>
    <cfRule type="cellIs" dxfId="1729" priority="513" stopIfTrue="1" operator="between">
      <formula>#REF!</formula>
      <formula>#REF!</formula>
    </cfRule>
    <cfRule type="cellIs" dxfId="1728" priority="819" stopIfTrue="1" operator="between">
      <formula>#REF!</formula>
      <formula>#REF!</formula>
    </cfRule>
    <cfRule type="cellIs" dxfId="1727" priority="818" stopIfTrue="1" operator="equal">
      <formula>#REF!</formula>
    </cfRule>
    <cfRule type="cellIs" dxfId="1726" priority="609" stopIfTrue="1" operator="between">
      <formula>#REF!</formula>
      <formula>#REF!</formula>
    </cfRule>
    <cfRule type="cellIs" dxfId="1725" priority="612" stopIfTrue="1" operator="between">
      <formula>#REF!</formula>
      <formula>#REF!</formula>
    </cfRule>
    <cfRule type="cellIs" dxfId="1724" priority="713" stopIfTrue="1" operator="equal">
      <formula>#REF!</formula>
    </cfRule>
    <cfRule type="cellIs" dxfId="1723" priority="714" stopIfTrue="1" operator="between">
      <formula>#REF!</formula>
      <formula>#REF!</formula>
    </cfRule>
    <cfRule type="cellIs" dxfId="1722" priority="715" stopIfTrue="1" operator="equal">
      <formula>#REF!</formula>
    </cfRule>
    <cfRule type="cellIs" dxfId="1721" priority="716" stopIfTrue="1" operator="equal">
      <formula>#REF!</formula>
    </cfRule>
    <cfRule type="cellIs" dxfId="1720" priority="717" stopIfTrue="1" operator="between">
      <formula>#REF!</formula>
      <formula>#REF!</formula>
    </cfRule>
    <cfRule type="cellIs" dxfId="1719" priority="391" stopIfTrue="1" operator="equal">
      <formula>#REF!</formula>
    </cfRule>
    <cfRule type="cellIs" dxfId="1718" priority="393" stopIfTrue="1" operator="between">
      <formula>#REF!</formula>
      <formula>#REF!</formula>
    </cfRule>
    <cfRule type="cellIs" dxfId="1717" priority="512" stopIfTrue="1" operator="equal">
      <formula>#REF!</formula>
    </cfRule>
    <cfRule type="cellIs" dxfId="1716" priority="611" stopIfTrue="1" operator="equal">
      <formula>#REF!</formula>
    </cfRule>
    <cfRule type="cellIs" dxfId="1715" priority="292" stopIfTrue="1" operator="equal">
      <formula>#REF!</formula>
    </cfRule>
    <cfRule type="cellIs" dxfId="1714" priority="291" stopIfTrue="1" operator="between">
      <formula>#REF!</formula>
      <formula>#REF!</formula>
    </cfRule>
    <cfRule type="cellIs" dxfId="1713" priority="290" stopIfTrue="1" operator="equal">
      <formula>#REF!</formula>
    </cfRule>
    <cfRule type="cellIs" dxfId="1712" priority="816" stopIfTrue="1" operator="between">
      <formula>#REF!</formula>
      <formula>#REF!</formula>
    </cfRule>
    <cfRule type="cellIs" dxfId="1711" priority="815" stopIfTrue="1" operator="equal">
      <formula>#REF!</formula>
    </cfRule>
    <cfRule type="cellIs" dxfId="1710" priority="506" stopIfTrue="1" operator="equal">
      <formula>#REF!</formula>
    </cfRule>
    <cfRule type="cellIs" dxfId="1709" priority="395" stopIfTrue="1" operator="equal">
      <formula>#REF!</formula>
    </cfRule>
    <cfRule type="cellIs" dxfId="1708" priority="396" stopIfTrue="1" operator="between">
      <formula>#REF!</formula>
      <formula>#REF!</formula>
    </cfRule>
    <cfRule type="cellIs" dxfId="1707" priority="507" stopIfTrue="1" operator="between">
      <formula>#REF!</formula>
      <formula>#REF!</formula>
    </cfRule>
    <cfRule type="cellIs" dxfId="1706" priority="814" stopIfTrue="1" operator="equal">
      <formula>#REF!</formula>
    </cfRule>
    <cfRule type="cellIs" dxfId="1705" priority="83" stopIfTrue="1" operator="equal">
      <formula>#REF!</formula>
    </cfRule>
    <cfRule type="cellIs" dxfId="1704" priority="510" stopIfTrue="1" operator="between">
      <formula>#REF!</formula>
      <formula>#REF!</formula>
    </cfRule>
    <cfRule type="cellIs" dxfId="1703" priority="509" stopIfTrue="1" operator="equal">
      <formula>#REF!</formula>
    </cfRule>
    <cfRule type="cellIs" dxfId="1702" priority="508" stopIfTrue="1" operator="equal">
      <formula>#REF!</formula>
    </cfRule>
  </conditionalFormatting>
  <conditionalFormatting sqref="CX114:CY115">
    <cfRule type="cellIs" dxfId="1701" priority="8278" stopIfTrue="1" operator="equal">
      <formula>#REF!</formula>
    </cfRule>
    <cfRule type="cellIs" dxfId="1700" priority="8279" stopIfTrue="1" operator="equal">
      <formula>#REF!</formula>
    </cfRule>
  </conditionalFormatting>
  <conditionalFormatting sqref="CX116:CY116">
    <cfRule type="cellIs" dxfId="1699" priority="8122" stopIfTrue="1" operator="equal">
      <formula>#REF!</formula>
    </cfRule>
    <cfRule type="cellIs" dxfId="1698" priority="8123" stopIfTrue="1" operator="equal">
      <formula>#REF!</formula>
    </cfRule>
  </conditionalFormatting>
  <conditionalFormatting sqref="CX117:CY129">
    <cfRule type="cellIs" dxfId="1697" priority="7979" stopIfTrue="1" operator="equal">
      <formula>#REF!</formula>
    </cfRule>
    <cfRule type="cellIs" dxfId="1696" priority="7978" stopIfTrue="1" operator="equal">
      <formula>#REF!</formula>
    </cfRule>
  </conditionalFormatting>
  <conditionalFormatting sqref="CX121:CY129">
    <cfRule type="cellIs" dxfId="1695" priority="7882" stopIfTrue="1" operator="equal">
      <formula>#REF!</formula>
    </cfRule>
    <cfRule type="cellIs" dxfId="1694" priority="7883" stopIfTrue="1" operator="equal">
      <formula>#REF!</formula>
    </cfRule>
  </conditionalFormatting>
  <conditionalFormatting sqref="CX125:CY129">
    <cfRule type="cellIs" dxfId="1693" priority="7774" stopIfTrue="1" operator="equal">
      <formula>#REF!</formula>
    </cfRule>
    <cfRule type="cellIs" dxfId="1692" priority="7775" stopIfTrue="1" operator="equal">
      <formula>#REF!</formula>
    </cfRule>
  </conditionalFormatting>
  <conditionalFormatting sqref="CX126:CY129">
    <cfRule type="cellIs" dxfId="1691" priority="7558" stopIfTrue="1" operator="equal">
      <formula>#REF!</formula>
    </cfRule>
    <cfRule type="cellIs" dxfId="1690" priority="7351" stopIfTrue="1" operator="equal">
      <formula>#REF!</formula>
    </cfRule>
    <cfRule type="cellIs" dxfId="1689" priority="7352" stopIfTrue="1" operator="equal">
      <formula>#REF!</formula>
    </cfRule>
    <cfRule type="cellIs" dxfId="1688" priority="7253" stopIfTrue="1" operator="equal">
      <formula>#REF!</formula>
    </cfRule>
    <cfRule type="cellIs" dxfId="1687" priority="7252" stopIfTrue="1" operator="equal">
      <formula>#REF!</formula>
    </cfRule>
    <cfRule type="cellIs" dxfId="1686" priority="7559" stopIfTrue="1" operator="equal">
      <formula>#REF!</formula>
    </cfRule>
  </conditionalFormatting>
  <conditionalFormatting sqref="CX130:CY130">
    <cfRule type="cellIs" dxfId="1685" priority="6973" stopIfTrue="1" operator="equal">
      <formula>#REF!</formula>
    </cfRule>
    <cfRule type="cellIs" dxfId="1684" priority="6974" stopIfTrue="1" operator="equal">
      <formula>#REF!</formula>
    </cfRule>
    <cfRule type="cellIs" dxfId="1683" priority="6442" stopIfTrue="1" operator="equal">
      <formula>#REF!</formula>
    </cfRule>
    <cfRule type="cellIs" dxfId="1682" priority="7072" stopIfTrue="1" operator="equal">
      <formula>#REF!</formula>
    </cfRule>
    <cfRule type="cellIs" dxfId="1681" priority="6443" stopIfTrue="1" operator="equal">
      <formula>#REF!</formula>
    </cfRule>
    <cfRule type="cellIs" dxfId="1680" priority="6649" stopIfTrue="1" operator="equal">
      <formula>#REF!</formula>
    </cfRule>
    <cfRule type="cellIs" dxfId="1679" priority="7073" stopIfTrue="1" operator="equal">
      <formula>#REF!</formula>
    </cfRule>
    <cfRule type="cellIs" dxfId="1678" priority="6650" stopIfTrue="1" operator="equal">
      <formula>#REF!</formula>
    </cfRule>
    <cfRule type="cellIs" dxfId="1677" priority="6344" stopIfTrue="1" operator="equal">
      <formula>#REF!</formula>
    </cfRule>
    <cfRule type="cellIs" dxfId="1676" priority="6343" stopIfTrue="1" operator="equal">
      <formula>#REF!</formula>
    </cfRule>
  </conditionalFormatting>
  <conditionalFormatting sqref="CX131:CY141">
    <cfRule type="cellIs" dxfId="1675" priority="6164" stopIfTrue="1" operator="equal">
      <formula>#REF!</formula>
    </cfRule>
    <cfRule type="cellIs" dxfId="1674" priority="6163" stopIfTrue="1" operator="equal">
      <formula>#REF!</formula>
    </cfRule>
    <cfRule type="cellIs" dxfId="1673" priority="5435" stopIfTrue="1" operator="equal">
      <formula>#REF!</formula>
    </cfRule>
    <cfRule type="cellIs" dxfId="1672" priority="5741" stopIfTrue="1" operator="equal">
      <formula>#REF!</formula>
    </cfRule>
    <cfRule type="cellIs" dxfId="1671" priority="5740" stopIfTrue="1" operator="equal">
      <formula>#REF!</formula>
    </cfRule>
    <cfRule type="cellIs" dxfId="1670" priority="6065" stopIfTrue="1" operator="equal">
      <formula>#REF!</formula>
    </cfRule>
    <cfRule type="cellIs" dxfId="1669" priority="6064" stopIfTrue="1" operator="equal">
      <formula>#REF!</formula>
    </cfRule>
    <cfRule type="cellIs" dxfId="1668" priority="5534" stopIfTrue="1" operator="equal">
      <formula>#REF!</formula>
    </cfRule>
    <cfRule type="cellIs" dxfId="1667" priority="5533" stopIfTrue="1" operator="equal">
      <formula>#REF!</formula>
    </cfRule>
    <cfRule type="cellIs" dxfId="1666" priority="5434" stopIfTrue="1" operator="equal">
      <formula>#REF!</formula>
    </cfRule>
  </conditionalFormatting>
  <conditionalFormatting sqref="CX142:CY143">
    <cfRule type="cellIs" dxfId="1665" priority="4849" stopIfTrue="1" operator="equal">
      <formula>#REF!</formula>
    </cfRule>
    <cfRule type="cellIs" dxfId="1664" priority="4543" stopIfTrue="1" operator="equal">
      <formula>#REF!</formula>
    </cfRule>
    <cfRule type="cellIs" dxfId="1663" priority="5272" stopIfTrue="1" operator="equal">
      <formula>#REF!</formula>
    </cfRule>
    <cfRule type="cellIs" dxfId="1662" priority="5273" stopIfTrue="1" operator="equal">
      <formula>#REF!</formula>
    </cfRule>
    <cfRule type="cellIs" dxfId="1661" priority="4642" stopIfTrue="1" operator="equal">
      <formula>#REF!</formula>
    </cfRule>
    <cfRule type="cellIs" dxfId="1660" priority="5173" stopIfTrue="1" operator="equal">
      <formula>#REF!</formula>
    </cfRule>
    <cfRule type="cellIs" dxfId="1659" priority="5174" stopIfTrue="1" operator="equal">
      <formula>#REF!</formula>
    </cfRule>
  </conditionalFormatting>
  <conditionalFormatting sqref="CX144:CY173">
    <cfRule type="cellIs" dxfId="1658" priority="3652" stopIfTrue="1" operator="equal">
      <formula>#REF!</formula>
    </cfRule>
    <cfRule type="cellIs" dxfId="1657" priority="4381" stopIfTrue="1" operator="equal">
      <formula>#REF!</formula>
    </cfRule>
    <cfRule type="cellIs" dxfId="1656" priority="4282" stopIfTrue="1" operator="equal">
      <formula>#REF!</formula>
    </cfRule>
    <cfRule type="cellIs" dxfId="1655" priority="3958" stopIfTrue="1" operator="equal">
      <formula>#REF!</formula>
    </cfRule>
    <cfRule type="cellIs" dxfId="1654" priority="3751" stopIfTrue="1" operator="equal">
      <formula>#REF!</formula>
    </cfRule>
  </conditionalFormatting>
  <conditionalFormatting sqref="CX174:CY199">
    <cfRule type="cellIs" dxfId="1653" priority="385" stopIfTrue="1" operator="equal">
      <formula>#REF!</formula>
    </cfRule>
    <cfRule type="cellIs" dxfId="1652" priority="808" stopIfTrue="1" operator="equal">
      <formula>#REF!</formula>
    </cfRule>
    <cfRule type="cellIs" dxfId="1651" priority="709" stopIfTrue="1" operator="equal">
      <formula>#REF!</formula>
    </cfRule>
    <cfRule type="cellIs" dxfId="1650" priority="79" stopIfTrue="1" operator="equal">
      <formula>#REF!</formula>
    </cfRule>
    <cfRule type="cellIs" dxfId="1649" priority="178" stopIfTrue="1" operator="equal">
      <formula>#REF!</formula>
    </cfRule>
  </conditionalFormatting>
  <conditionalFormatting sqref="CX125:CZ129">
    <cfRule type="cellIs" dxfId="1648" priority="7675" stopIfTrue="1" operator="equal">
      <formula>#REF!</formula>
    </cfRule>
    <cfRule type="cellIs" dxfId="1647" priority="7676" stopIfTrue="1" operator="equal">
      <formula>#REF!</formula>
    </cfRule>
  </conditionalFormatting>
  <conditionalFormatting sqref="CX126:CZ129">
    <cfRule type="cellIs" dxfId="1646" priority="7460" stopIfTrue="1" operator="equal">
      <formula>#REF!</formula>
    </cfRule>
    <cfRule type="cellIs" dxfId="1645" priority="7459" stopIfTrue="1" operator="equal">
      <formula>#REF!</formula>
    </cfRule>
  </conditionalFormatting>
  <conditionalFormatting sqref="CX130:CZ130">
    <cfRule type="cellIs" dxfId="1644" priority="6550" stopIfTrue="1" operator="equal">
      <formula>#REF!</formula>
    </cfRule>
    <cfRule type="cellIs" dxfId="1643" priority="6551" stopIfTrue="1" operator="equal">
      <formula>#REF!</formula>
    </cfRule>
    <cfRule type="cellIs" dxfId="1642" priority="6866" stopIfTrue="1" operator="equal">
      <formula>#REF!</formula>
    </cfRule>
    <cfRule type="cellIs" dxfId="1641" priority="6766" stopIfTrue="1" operator="equal">
      <formula>#REF!</formula>
    </cfRule>
    <cfRule type="cellIs" dxfId="1640" priority="6865" stopIfTrue="1" operator="equal">
      <formula>#REF!</formula>
    </cfRule>
    <cfRule type="cellIs" dxfId="1639" priority="6767" stopIfTrue="1" operator="equal">
      <formula>#REF!</formula>
    </cfRule>
  </conditionalFormatting>
  <conditionalFormatting sqref="CX131:CZ141">
    <cfRule type="cellIs" dxfId="1638" priority="5956" stopIfTrue="1" operator="equal">
      <formula>#REF!</formula>
    </cfRule>
    <cfRule type="cellIs" dxfId="1637" priority="5957" stopIfTrue="1" operator="equal">
      <formula>#REF!</formula>
    </cfRule>
    <cfRule type="cellIs" dxfId="1636" priority="5641" stopIfTrue="1" operator="equal">
      <formula>#REF!</formula>
    </cfRule>
    <cfRule type="cellIs" dxfId="1635" priority="5858" stopIfTrue="1" operator="equal">
      <formula>#REF!</formula>
    </cfRule>
    <cfRule type="cellIs" dxfId="1634" priority="5857" stopIfTrue="1" operator="equal">
      <formula>#REF!</formula>
    </cfRule>
    <cfRule type="cellIs" dxfId="1633" priority="5642" stopIfTrue="1" operator="equal">
      <formula>#REF!</formula>
    </cfRule>
  </conditionalFormatting>
  <conditionalFormatting sqref="CX142:CZ143">
    <cfRule type="cellIs" dxfId="1632" priority="4966" stopIfTrue="1" operator="equal">
      <formula>#REF!</formula>
    </cfRule>
    <cfRule type="cellIs" dxfId="1631" priority="4750" stopIfTrue="1" operator="equal">
      <formula>#REF!</formula>
    </cfRule>
    <cfRule type="cellIs" dxfId="1630" priority="4967" stopIfTrue="1" operator="equal">
      <formula>#REF!</formula>
    </cfRule>
    <cfRule type="cellIs" dxfId="1629" priority="5066" stopIfTrue="1" operator="equal">
      <formula>#REF!</formula>
    </cfRule>
    <cfRule type="cellIs" dxfId="1628" priority="5065" stopIfTrue="1" operator="equal">
      <formula>#REF!</formula>
    </cfRule>
  </conditionalFormatting>
  <conditionalFormatting sqref="CX144:CZ173">
    <cfRule type="cellIs" dxfId="1627" priority="3859" stopIfTrue="1" operator="equal">
      <formula>#REF!</formula>
    </cfRule>
    <cfRule type="cellIs" dxfId="1626" priority="4075" stopIfTrue="1" operator="equal">
      <formula>#REF!</formula>
    </cfRule>
    <cfRule type="cellIs" dxfId="1625" priority="4174" stopIfTrue="1" operator="equal">
      <formula>#REF!</formula>
    </cfRule>
  </conditionalFormatting>
  <conditionalFormatting sqref="CX174:CZ199">
    <cfRule type="cellIs" dxfId="1624" priority="601" stopIfTrue="1" operator="equal">
      <formula>#REF!</formula>
    </cfRule>
    <cfRule type="cellIs" dxfId="1623" priority="502" stopIfTrue="1" operator="equal">
      <formula>#REF!</formula>
    </cfRule>
    <cfRule type="cellIs" dxfId="1622" priority="286" stopIfTrue="1" operator="equal">
      <formula>#REF!</formula>
    </cfRule>
  </conditionalFormatting>
  <conditionalFormatting sqref="CY114:CY115">
    <cfRule type="cellIs" dxfId="1621" priority="8276" stopIfTrue="1" operator="equal">
      <formula>#REF!</formula>
    </cfRule>
    <cfRule type="cellIs" dxfId="1620" priority="8277" stopIfTrue="1" operator="between">
      <formula>#REF!</formula>
      <formula>#REF!</formula>
    </cfRule>
    <cfRule type="cellIs" dxfId="1619" priority="8274" stopIfTrue="1" operator="between">
      <formula>#REF!</formula>
      <formula>#REF!</formula>
    </cfRule>
    <cfRule type="cellIs" dxfId="1618" priority="8280" stopIfTrue="1" operator="between">
      <formula>#REF!</formula>
      <formula>#REF!</formula>
    </cfRule>
    <cfRule type="cellIs" dxfId="1617" priority="8275" stopIfTrue="1" operator="equal">
      <formula>#REF!</formula>
    </cfRule>
  </conditionalFormatting>
  <conditionalFormatting sqref="CY114:CY116">
    <cfRule type="cellIs" dxfId="1616" priority="8125" stopIfTrue="1" operator="equal">
      <formula>#REF!</formula>
    </cfRule>
    <cfRule type="cellIs" dxfId="1615" priority="8126" stopIfTrue="1" operator="equal">
      <formula>#REF!</formula>
    </cfRule>
  </conditionalFormatting>
  <conditionalFormatting sqref="CY116">
    <cfRule type="cellIs" dxfId="1614" priority="8121" stopIfTrue="1" operator="between">
      <formula>#REF!</formula>
      <formula>#REF!</formula>
    </cfRule>
    <cfRule type="cellIs" dxfId="1613" priority="8127" stopIfTrue="1" operator="between">
      <formula>#REF!</formula>
      <formula>#REF!</formula>
    </cfRule>
    <cfRule type="cellIs" dxfId="1612" priority="8124" stopIfTrue="1" operator="between">
      <formula>#REF!</formula>
      <formula>#REF!</formula>
    </cfRule>
  </conditionalFormatting>
  <conditionalFormatting sqref="CY116:CY129">
    <cfRule type="cellIs" dxfId="1611" priority="7981" stopIfTrue="1" operator="equal">
      <formula>#REF!</formula>
    </cfRule>
    <cfRule type="cellIs" dxfId="1610" priority="7982" stopIfTrue="1" operator="equal">
      <formula>#REF!</formula>
    </cfRule>
  </conditionalFormatting>
  <conditionalFormatting sqref="CY117:CY129">
    <cfRule type="cellIs" dxfId="1609" priority="7975" stopIfTrue="1" operator="equal">
      <formula>#REF!</formula>
    </cfRule>
    <cfRule type="cellIs" dxfId="1608" priority="7977" stopIfTrue="1" operator="between">
      <formula>#REF!</formula>
      <formula>#REF!</formula>
    </cfRule>
    <cfRule type="cellIs" dxfId="1607" priority="7980" stopIfTrue="1" operator="between">
      <formula>#REF!</formula>
      <formula>#REF!</formula>
    </cfRule>
    <cfRule type="cellIs" dxfId="1606" priority="7983" stopIfTrue="1" operator="between">
      <formula>#REF!</formula>
      <formula>#REF!</formula>
    </cfRule>
    <cfRule type="cellIs" dxfId="1605" priority="7976" stopIfTrue="1" operator="equal">
      <formula>#REF!</formula>
    </cfRule>
  </conditionalFormatting>
  <conditionalFormatting sqref="CY121:CY129">
    <cfRule type="cellIs" dxfId="1604" priority="7881" stopIfTrue="1" operator="between">
      <formula>#REF!</formula>
      <formula>#REF!</formula>
    </cfRule>
    <cfRule type="cellIs" dxfId="1603" priority="7880" stopIfTrue="1" operator="equal">
      <formula>#REF!</formula>
    </cfRule>
    <cfRule type="cellIs" dxfId="1602" priority="7878" stopIfTrue="1" operator="between">
      <formula>#REF!</formula>
      <formula>#REF!</formula>
    </cfRule>
    <cfRule type="cellIs" dxfId="1601" priority="7884" stopIfTrue="1" operator="between">
      <formula>#REF!</formula>
      <formula>#REF!</formula>
    </cfRule>
    <cfRule type="cellIs" dxfId="1600" priority="7879" stopIfTrue="1" operator="equal">
      <formula>#REF!</formula>
    </cfRule>
  </conditionalFormatting>
  <conditionalFormatting sqref="CY125:CY129">
    <cfRule type="cellIs" dxfId="1599" priority="7673" stopIfTrue="1" operator="equal">
      <formula>#REF!</formula>
    </cfRule>
    <cfRule type="cellIs" dxfId="1598" priority="7674" stopIfTrue="1" operator="between">
      <formula>#REF!</formula>
      <formula>#REF!</formula>
    </cfRule>
    <cfRule type="cellIs" dxfId="1597" priority="7671" stopIfTrue="1" operator="between">
      <formula>#REF!</formula>
      <formula>#REF!</formula>
    </cfRule>
    <cfRule type="cellIs" dxfId="1596" priority="7776" stopIfTrue="1" operator="between">
      <formula>#REF!</formula>
      <formula>#REF!</formula>
    </cfRule>
    <cfRule type="cellIs" dxfId="1595" priority="7677" stopIfTrue="1" operator="between">
      <formula>#REF!</formula>
      <formula>#REF!</formula>
    </cfRule>
    <cfRule type="cellIs" dxfId="1594" priority="7773" stopIfTrue="1" operator="between">
      <formula>#REF!</formula>
      <formula>#REF!</formula>
    </cfRule>
    <cfRule type="cellIs" dxfId="1593" priority="7771" stopIfTrue="1" operator="equal">
      <formula>#REF!</formula>
    </cfRule>
    <cfRule type="cellIs" dxfId="1592" priority="7772" stopIfTrue="1" operator="equal">
      <formula>#REF!</formula>
    </cfRule>
    <cfRule type="cellIs" dxfId="1591" priority="7770" stopIfTrue="1" operator="between">
      <formula>#REF!</formula>
      <formula>#REF!</formula>
    </cfRule>
    <cfRule type="cellIs" dxfId="1590" priority="7672" stopIfTrue="1" operator="equal">
      <formula>#REF!</formula>
    </cfRule>
  </conditionalFormatting>
  <conditionalFormatting sqref="CY126:CY129">
    <cfRule type="cellIs" dxfId="1589" priority="7458" stopIfTrue="1" operator="between">
      <formula>#REF!</formula>
      <formula>#REF!</formula>
    </cfRule>
    <cfRule type="cellIs" dxfId="1588" priority="7457" stopIfTrue="1" operator="equal">
      <formula>#REF!</formula>
    </cfRule>
    <cfRule type="cellIs" dxfId="1587" priority="7456" stopIfTrue="1" operator="equal">
      <formula>#REF!</formula>
    </cfRule>
    <cfRule type="cellIs" dxfId="1586" priority="7557" stopIfTrue="1" operator="between">
      <formula>#REF!</formula>
      <formula>#REF!</formula>
    </cfRule>
    <cfRule type="cellIs" dxfId="1585" priority="7455" stopIfTrue="1" operator="between">
      <formula>#REF!</formula>
      <formula>#REF!</formula>
    </cfRule>
    <cfRule type="cellIs" dxfId="1584" priority="7254" stopIfTrue="1" operator="between">
      <formula>#REF!</formula>
      <formula>#REF!</formula>
    </cfRule>
    <cfRule type="cellIs" dxfId="1583" priority="7251" stopIfTrue="1" operator="between">
      <formula>#REF!</formula>
      <formula>#REF!</formula>
    </cfRule>
    <cfRule type="cellIs" dxfId="1582" priority="7554" stopIfTrue="1" operator="between">
      <formula>#REF!</formula>
      <formula>#REF!</formula>
    </cfRule>
    <cfRule type="cellIs" dxfId="1581" priority="7555" stopIfTrue="1" operator="equal">
      <formula>#REF!</formula>
    </cfRule>
    <cfRule type="cellIs" dxfId="1580" priority="7461" stopIfTrue="1" operator="between">
      <formula>#REF!</formula>
      <formula>#REF!</formula>
    </cfRule>
    <cfRule type="cellIs" dxfId="1579" priority="7250" stopIfTrue="1" operator="equal">
      <formula>#REF!</formula>
    </cfRule>
    <cfRule type="cellIs" dxfId="1578" priority="7249" stopIfTrue="1" operator="equal">
      <formula>#REF!</formula>
    </cfRule>
    <cfRule type="cellIs" dxfId="1577" priority="7348" stopIfTrue="1" operator="equal">
      <formula>#REF!</formula>
    </cfRule>
    <cfRule type="cellIs" dxfId="1576" priority="7349" stopIfTrue="1" operator="equal">
      <formula>#REF!</formula>
    </cfRule>
    <cfRule type="cellIs" dxfId="1575" priority="7350" stopIfTrue="1" operator="between">
      <formula>#REF!</formula>
      <formula>#REF!</formula>
    </cfRule>
    <cfRule type="cellIs" dxfId="1574" priority="7556" stopIfTrue="1" operator="equal">
      <formula>#REF!</formula>
    </cfRule>
    <cfRule type="cellIs" dxfId="1573" priority="7248" stopIfTrue="1" operator="between">
      <formula>#REF!</formula>
      <formula>#REF!</formula>
    </cfRule>
    <cfRule type="cellIs" dxfId="1572" priority="7353" stopIfTrue="1" operator="between">
      <formula>#REF!</formula>
      <formula>#REF!</formula>
    </cfRule>
    <cfRule type="cellIs" dxfId="1571" priority="7560" stopIfTrue="1" operator="between">
      <formula>#REF!</formula>
      <formula>#REF!</formula>
    </cfRule>
    <cfRule type="cellIs" dxfId="1570" priority="7347" stopIfTrue="1" operator="between">
      <formula>#REF!</formula>
      <formula>#REF!</formula>
    </cfRule>
  </conditionalFormatting>
  <conditionalFormatting sqref="CY130">
    <cfRule type="cellIs" dxfId="1569" priority="6765" stopIfTrue="1" operator="between">
      <formula>#REF!</formula>
      <formula>#REF!</formula>
    </cfRule>
    <cfRule type="cellIs" dxfId="1568" priority="6646" stopIfTrue="1" operator="equal">
      <formula>#REF!</formula>
    </cfRule>
    <cfRule type="cellIs" dxfId="1567" priority="6645" stopIfTrue="1" operator="between">
      <formula>#REF!</formula>
      <formula>#REF!</formula>
    </cfRule>
    <cfRule type="cellIs" dxfId="1566" priority="7071" stopIfTrue="1" operator="between">
      <formula>#REF!</formula>
      <formula>#REF!</formula>
    </cfRule>
    <cfRule type="cellIs" dxfId="1565" priority="7070" stopIfTrue="1" operator="equal">
      <formula>#REF!</formula>
    </cfRule>
    <cfRule type="cellIs" dxfId="1564" priority="6552" stopIfTrue="1" operator="between">
      <formula>#REF!</formula>
      <formula>#REF!</formula>
    </cfRule>
    <cfRule type="cellIs" dxfId="1563" priority="7069" stopIfTrue="1" operator="equal">
      <formula>#REF!</formula>
    </cfRule>
    <cfRule type="cellIs" dxfId="1562" priority="7068" stopIfTrue="1" operator="between">
      <formula>#REF!</formula>
      <formula>#REF!</formula>
    </cfRule>
    <cfRule type="cellIs" dxfId="1561" priority="6339" stopIfTrue="1" operator="between">
      <formula>#REF!</formula>
      <formula>#REF!</formula>
    </cfRule>
    <cfRule type="cellIs" dxfId="1560" priority="6549" stopIfTrue="1" operator="between">
      <formula>#REF!</formula>
      <formula>#REF!</formula>
    </cfRule>
    <cfRule type="cellIs" dxfId="1559" priority="6548" stopIfTrue="1" operator="equal">
      <formula>#REF!</formula>
    </cfRule>
    <cfRule type="cellIs" dxfId="1558" priority="6547" stopIfTrue="1" operator="equal">
      <formula>#REF!</formula>
    </cfRule>
    <cfRule type="cellIs" dxfId="1557" priority="6867" stopIfTrue="1" operator="between">
      <formula>#REF!</formula>
      <formula>#REF!</formula>
    </cfRule>
    <cfRule type="cellIs" dxfId="1556" priority="6768" stopIfTrue="1" operator="between">
      <formula>#REF!</formula>
      <formula>#REF!</formula>
    </cfRule>
    <cfRule type="cellIs" dxfId="1555" priority="6340" stopIfTrue="1" operator="equal">
      <formula>#REF!</formula>
    </cfRule>
    <cfRule type="cellIs" dxfId="1554" priority="6864" stopIfTrue="1" operator="between">
      <formula>#REF!</formula>
      <formula>#REF!</formula>
    </cfRule>
    <cfRule type="cellIs" dxfId="1553" priority="6863" stopIfTrue="1" operator="equal">
      <formula>#REF!</formula>
    </cfRule>
    <cfRule type="cellIs" dxfId="1552" priority="6862" stopIfTrue="1" operator="equal">
      <formula>#REF!</formula>
    </cfRule>
    <cfRule type="cellIs" dxfId="1551" priority="6975" stopIfTrue="1" operator="between">
      <formula>#REF!</formula>
      <formula>#REF!</formula>
    </cfRule>
    <cfRule type="cellIs" dxfId="1550" priority="6341" stopIfTrue="1" operator="equal">
      <formula>#REF!</formula>
    </cfRule>
    <cfRule type="cellIs" dxfId="1549" priority="6342" stopIfTrue="1" operator="between">
      <formula>#REF!</formula>
      <formula>#REF!</formula>
    </cfRule>
    <cfRule type="cellIs" dxfId="1548" priority="6972" stopIfTrue="1" operator="between">
      <formula>#REF!</formula>
      <formula>#REF!</formula>
    </cfRule>
    <cfRule type="cellIs" dxfId="1547" priority="6345" stopIfTrue="1" operator="between">
      <formula>#REF!</formula>
      <formula>#REF!</formula>
    </cfRule>
    <cfRule type="cellIs" dxfId="1546" priority="6970" stopIfTrue="1" operator="equal">
      <formula>#REF!</formula>
    </cfRule>
    <cfRule type="cellIs" dxfId="1545" priority="6969" stopIfTrue="1" operator="between">
      <formula>#REF!</formula>
      <formula>#REF!</formula>
    </cfRule>
    <cfRule type="cellIs" dxfId="1544" priority="6546" stopIfTrue="1" operator="between">
      <formula>#REF!</formula>
      <formula>#REF!</formula>
    </cfRule>
    <cfRule type="cellIs" dxfId="1543" priority="6762" stopIfTrue="1" operator="between">
      <formula>#REF!</formula>
      <formula>#REF!</formula>
    </cfRule>
    <cfRule type="cellIs" dxfId="1542" priority="6438" stopIfTrue="1" operator="between">
      <formula>#REF!</formula>
      <formula>#REF!</formula>
    </cfRule>
    <cfRule type="cellIs" dxfId="1541" priority="6439" stopIfTrue="1" operator="equal">
      <formula>#REF!</formula>
    </cfRule>
    <cfRule type="cellIs" dxfId="1540" priority="6440" stopIfTrue="1" operator="equal">
      <formula>#REF!</formula>
    </cfRule>
    <cfRule type="cellIs" dxfId="1539" priority="6441" stopIfTrue="1" operator="between">
      <formula>#REF!</formula>
      <formula>#REF!</formula>
    </cfRule>
    <cfRule type="cellIs" dxfId="1538" priority="6763" stopIfTrue="1" operator="equal">
      <formula>#REF!</formula>
    </cfRule>
    <cfRule type="cellIs" dxfId="1537" priority="6764" stopIfTrue="1" operator="equal">
      <formula>#REF!</formula>
    </cfRule>
    <cfRule type="cellIs" dxfId="1536" priority="6444" stopIfTrue="1" operator="between">
      <formula>#REF!</formula>
      <formula>#REF!</formula>
    </cfRule>
    <cfRule type="cellIs" dxfId="1535" priority="6648" stopIfTrue="1" operator="between">
      <formula>#REF!</formula>
      <formula>#REF!</formula>
    </cfRule>
    <cfRule type="cellIs" dxfId="1534" priority="6861" stopIfTrue="1" operator="between">
      <formula>#REF!</formula>
      <formula>#REF!</formula>
    </cfRule>
    <cfRule type="cellIs" dxfId="1533" priority="6651" stopIfTrue="1" operator="between">
      <formula>#REF!</formula>
      <formula>#REF!</formula>
    </cfRule>
    <cfRule type="cellIs" dxfId="1532" priority="6647" stopIfTrue="1" operator="equal">
      <formula>#REF!</formula>
    </cfRule>
    <cfRule type="cellIs" dxfId="1531" priority="7074" stopIfTrue="1" operator="between">
      <formula>#REF!</formula>
      <formula>#REF!</formula>
    </cfRule>
    <cfRule type="cellIs" dxfId="1530" priority="6971" stopIfTrue="1" operator="equal">
      <formula>#REF!</formula>
    </cfRule>
  </conditionalFormatting>
  <conditionalFormatting sqref="CY131:CY141">
    <cfRule type="cellIs" dxfId="1529" priority="6061" stopIfTrue="1" operator="equal">
      <formula>#REF!</formula>
    </cfRule>
    <cfRule type="cellIs" dxfId="1528" priority="6060" stopIfTrue="1" operator="between">
      <formula>#REF!</formula>
      <formula>#REF!</formula>
    </cfRule>
    <cfRule type="cellIs" dxfId="1527" priority="5855" stopIfTrue="1" operator="equal">
      <formula>#REF!</formula>
    </cfRule>
    <cfRule type="cellIs" dxfId="1526" priority="5856" stopIfTrue="1" operator="between">
      <formula>#REF!</formula>
      <formula>#REF!</formula>
    </cfRule>
    <cfRule type="cellIs" dxfId="1525" priority="5859" stopIfTrue="1" operator="between">
      <formula>#REF!</formula>
      <formula>#REF!</formula>
    </cfRule>
    <cfRule type="cellIs" dxfId="1524" priority="5431" stopIfTrue="1" operator="equal">
      <formula>#REF!</formula>
    </cfRule>
    <cfRule type="cellIs" dxfId="1523" priority="5742" stopIfTrue="1" operator="between">
      <formula>#REF!</formula>
      <formula>#REF!</formula>
    </cfRule>
    <cfRule type="cellIs" dxfId="1522" priority="5736" stopIfTrue="1" operator="between">
      <formula>#REF!</formula>
      <formula>#REF!</formula>
    </cfRule>
    <cfRule type="cellIs" dxfId="1521" priority="5737" stopIfTrue="1" operator="equal">
      <formula>#REF!</formula>
    </cfRule>
    <cfRule type="cellIs" dxfId="1520" priority="5638" stopIfTrue="1" operator="equal">
      <formula>#REF!</formula>
    </cfRule>
    <cfRule type="cellIs" dxfId="1519" priority="5637" stopIfTrue="1" operator="between">
      <formula>#REF!</formula>
      <formula>#REF!</formula>
    </cfRule>
    <cfRule type="cellIs" dxfId="1518" priority="5958" stopIfTrue="1" operator="between">
      <formula>#REF!</formula>
      <formula>#REF!</formula>
    </cfRule>
    <cfRule type="cellIs" dxfId="1517" priority="5955" stopIfTrue="1" operator="between">
      <formula>#REF!</formula>
      <formula>#REF!</formula>
    </cfRule>
    <cfRule type="cellIs" dxfId="1516" priority="5738" stopIfTrue="1" operator="equal">
      <formula>#REF!</formula>
    </cfRule>
    <cfRule type="cellIs" dxfId="1515" priority="5954" stopIfTrue="1" operator="equal">
      <formula>#REF!</formula>
    </cfRule>
    <cfRule type="cellIs" dxfId="1514" priority="5953" stopIfTrue="1" operator="equal">
      <formula>#REF!</formula>
    </cfRule>
    <cfRule type="cellIs" dxfId="1513" priority="5952" stopIfTrue="1" operator="between">
      <formula>#REF!</formula>
      <formula>#REF!</formula>
    </cfRule>
    <cfRule type="cellIs" dxfId="1512" priority="5739" stopIfTrue="1" operator="between">
      <formula>#REF!</formula>
      <formula>#REF!</formula>
    </cfRule>
    <cfRule type="cellIs" dxfId="1511" priority="6159" stopIfTrue="1" operator="between">
      <formula>#REF!</formula>
      <formula>#REF!</formula>
    </cfRule>
    <cfRule type="cellIs" dxfId="1510" priority="5643" stopIfTrue="1" operator="between">
      <formula>#REF!</formula>
      <formula>#REF!</formula>
    </cfRule>
    <cfRule type="cellIs" dxfId="1509" priority="5532" stopIfTrue="1" operator="between">
      <formula>#REF!</formula>
      <formula>#REF!</formula>
    </cfRule>
    <cfRule type="cellIs" dxfId="1508" priority="6160" stopIfTrue="1" operator="equal">
      <formula>#REF!</formula>
    </cfRule>
    <cfRule type="cellIs" dxfId="1507" priority="6161" stopIfTrue="1" operator="equal">
      <formula>#REF!</formula>
    </cfRule>
    <cfRule type="cellIs" dxfId="1506" priority="6162" stopIfTrue="1" operator="between">
      <formula>#REF!</formula>
      <formula>#REF!</formula>
    </cfRule>
    <cfRule type="cellIs" dxfId="1505" priority="6165" stopIfTrue="1" operator="between">
      <formula>#REF!</formula>
      <formula>#REF!</formula>
    </cfRule>
    <cfRule type="cellIs" dxfId="1504" priority="5535" stopIfTrue="1" operator="between">
      <formula>#REF!</formula>
      <formula>#REF!</formula>
    </cfRule>
    <cfRule type="cellIs" dxfId="1503" priority="5531" stopIfTrue="1" operator="equal">
      <formula>#REF!</formula>
    </cfRule>
    <cfRule type="cellIs" dxfId="1502" priority="5530" stopIfTrue="1" operator="equal">
      <formula>#REF!</formula>
    </cfRule>
    <cfRule type="cellIs" dxfId="1501" priority="6066" stopIfTrue="1" operator="between">
      <formula>#REF!</formula>
      <formula>#REF!</formula>
    </cfRule>
    <cfRule type="cellIs" dxfId="1500" priority="5640" stopIfTrue="1" operator="between">
      <formula>#REF!</formula>
      <formula>#REF!</formula>
    </cfRule>
    <cfRule type="cellIs" dxfId="1499" priority="5639" stopIfTrue="1" operator="equal">
      <formula>#REF!</formula>
    </cfRule>
    <cfRule type="cellIs" dxfId="1498" priority="5854" stopIfTrue="1" operator="equal">
      <formula>#REF!</formula>
    </cfRule>
    <cfRule type="cellIs" dxfId="1497" priority="5430" stopIfTrue="1" operator="between">
      <formula>#REF!</formula>
      <formula>#REF!</formula>
    </cfRule>
    <cfRule type="cellIs" dxfId="1496" priority="5529" stopIfTrue="1" operator="between">
      <formula>#REF!</formula>
      <formula>#REF!</formula>
    </cfRule>
    <cfRule type="cellIs" dxfId="1495" priority="6063" stopIfTrue="1" operator="between">
      <formula>#REF!</formula>
      <formula>#REF!</formula>
    </cfRule>
    <cfRule type="cellIs" dxfId="1494" priority="5432" stopIfTrue="1" operator="equal">
      <formula>#REF!</formula>
    </cfRule>
    <cfRule type="cellIs" dxfId="1493" priority="5436" stopIfTrue="1" operator="between">
      <formula>#REF!</formula>
      <formula>#REF!</formula>
    </cfRule>
    <cfRule type="cellIs" dxfId="1492" priority="5433" stopIfTrue="1" operator="between">
      <formula>#REF!</formula>
      <formula>#REF!</formula>
    </cfRule>
    <cfRule type="cellIs" dxfId="1491" priority="5853" stopIfTrue="1" operator="between">
      <formula>#REF!</formula>
      <formula>#REF!</formula>
    </cfRule>
    <cfRule type="cellIs" dxfId="1490" priority="6062" stopIfTrue="1" operator="equal">
      <formula>#REF!</formula>
    </cfRule>
  </conditionalFormatting>
  <conditionalFormatting sqref="CY142:CY143">
    <cfRule type="cellIs" dxfId="1489" priority="4749" stopIfTrue="1" operator="between">
      <formula>#REF!</formula>
      <formula>#REF!</formula>
    </cfRule>
    <cfRule type="cellIs" dxfId="1488" priority="4748" stopIfTrue="1" operator="equal">
      <formula>#REF!</formula>
    </cfRule>
    <cfRule type="cellIs" dxfId="1487" priority="4747" stopIfTrue="1" operator="equal">
      <formula>#REF!</formula>
    </cfRule>
    <cfRule type="cellIs" dxfId="1486" priority="4746" stopIfTrue="1" operator="between">
      <formula>#REF!</formula>
      <formula>#REF!</formula>
    </cfRule>
    <cfRule type="cellIs" dxfId="1485" priority="4745" stopIfTrue="1" operator="equal">
      <formula>#REF!</formula>
    </cfRule>
    <cfRule type="cellIs" dxfId="1484" priority="4641" stopIfTrue="1" operator="between">
      <formula>#REF!</formula>
      <formula>#REF!</formula>
    </cfRule>
    <cfRule type="cellIs" dxfId="1483" priority="4640" stopIfTrue="1" operator="equal">
      <formula>#REF!</formula>
    </cfRule>
    <cfRule type="cellIs" dxfId="1482" priority="4639" stopIfTrue="1" operator="equal">
      <formula>#REF!</formula>
    </cfRule>
    <cfRule type="cellIs" dxfId="1481" priority="4638" stopIfTrue="1" operator="between">
      <formula>#REF!</formula>
      <formula>#REF!</formula>
    </cfRule>
    <cfRule type="cellIs" dxfId="1480" priority="4637" stopIfTrue="1" operator="equal">
      <formula>#REF!</formula>
    </cfRule>
    <cfRule type="cellIs" dxfId="1479" priority="4851" stopIfTrue="1" operator="between">
      <formula>#REF!</formula>
      <formula>#REF!</formula>
    </cfRule>
    <cfRule type="cellIs" dxfId="1478" priority="4850" stopIfTrue="1" operator="equal">
      <formula>#REF!</formula>
    </cfRule>
    <cfRule type="cellIs" dxfId="1477" priority="4545" stopIfTrue="1" operator="between">
      <formula>#REF!</formula>
      <formula>#REF!</formula>
    </cfRule>
    <cfRule type="cellIs" dxfId="1476" priority="4544" stopIfTrue="1" operator="equal">
      <formula>#REF!</formula>
    </cfRule>
    <cfRule type="cellIs" dxfId="1475" priority="4542" stopIfTrue="1" operator="between">
      <formula>#REF!</formula>
      <formula>#REF!</formula>
    </cfRule>
    <cfRule type="cellIs" dxfId="1474" priority="4541" stopIfTrue="1" operator="equal">
      <formula>#REF!</formula>
    </cfRule>
    <cfRule type="cellIs" dxfId="1473" priority="4540" stopIfTrue="1" operator="equal">
      <formula>#REF!</formula>
    </cfRule>
    <cfRule type="cellIs" dxfId="1472" priority="4539" stopIfTrue="1" operator="between">
      <formula>#REF!</formula>
      <formula>#REF!</formula>
    </cfRule>
    <cfRule type="cellIs" dxfId="1471" priority="4538" stopIfTrue="1" operator="equal">
      <formula>#REF!</formula>
    </cfRule>
    <cfRule type="cellIs" dxfId="1470" priority="5061" stopIfTrue="1" operator="between">
      <formula>#REF!</formula>
      <formula>#REF!</formula>
    </cfRule>
    <cfRule type="cellIs" dxfId="1469" priority="4848" stopIfTrue="1" operator="between">
      <formula>#REF!</formula>
      <formula>#REF!</formula>
    </cfRule>
    <cfRule type="cellIs" dxfId="1468" priority="4968" stopIfTrue="1" operator="between">
      <formula>#REF!</formula>
      <formula>#REF!</formula>
    </cfRule>
    <cfRule type="cellIs" dxfId="1467" priority="4965" stopIfTrue="1" operator="between">
      <formula>#REF!</formula>
      <formula>#REF!</formula>
    </cfRule>
    <cfRule type="cellIs" dxfId="1466" priority="4964" stopIfTrue="1" operator="equal">
      <formula>#REF!</formula>
    </cfRule>
    <cfRule type="cellIs" dxfId="1465" priority="4963" stopIfTrue="1" operator="equal">
      <formula>#REF!</formula>
    </cfRule>
    <cfRule type="cellIs" dxfId="1464" priority="4962" stopIfTrue="1" operator="between">
      <formula>#REF!</formula>
      <formula>#REF!</formula>
    </cfRule>
    <cfRule type="cellIs" dxfId="1463" priority="4961" stopIfTrue="1" operator="equal">
      <formula>#REF!</formula>
    </cfRule>
    <cfRule type="cellIs" dxfId="1462" priority="4847" stopIfTrue="1" operator="equal">
      <formula>#REF!</formula>
    </cfRule>
    <cfRule type="cellIs" dxfId="1461" priority="4846" stopIfTrue="1" operator="equal">
      <formula>#REF!</formula>
    </cfRule>
    <cfRule type="cellIs" dxfId="1460" priority="4845" stopIfTrue="1" operator="between">
      <formula>#REF!</formula>
      <formula>#REF!</formula>
    </cfRule>
    <cfRule type="cellIs" dxfId="1459" priority="4844" stopIfTrue="1" operator="equal">
      <formula>#REF!</formula>
    </cfRule>
    <cfRule type="cellIs" dxfId="1458" priority="5062" stopIfTrue="1" operator="equal">
      <formula>#REF!</formula>
    </cfRule>
    <cfRule type="cellIs" dxfId="1457" priority="5063" stopIfTrue="1" operator="equal">
      <formula>#REF!</formula>
    </cfRule>
    <cfRule type="cellIs" dxfId="1456" priority="5064" stopIfTrue="1" operator="between">
      <formula>#REF!</formula>
      <formula>#REF!</formula>
    </cfRule>
    <cfRule type="cellIs" dxfId="1455" priority="5169" stopIfTrue="1" operator="between">
      <formula>#REF!</formula>
      <formula>#REF!</formula>
    </cfRule>
    <cfRule type="cellIs" dxfId="1454" priority="5170" stopIfTrue="1" operator="equal">
      <formula>#REF!</formula>
    </cfRule>
    <cfRule type="cellIs" dxfId="1453" priority="5171" stopIfTrue="1" operator="equal">
      <formula>#REF!</formula>
    </cfRule>
    <cfRule type="cellIs" dxfId="1452" priority="5172" stopIfTrue="1" operator="between">
      <formula>#REF!</formula>
      <formula>#REF!</formula>
    </cfRule>
    <cfRule type="cellIs" dxfId="1451" priority="5175" stopIfTrue="1" operator="between">
      <formula>#REF!</formula>
      <formula>#REF!</formula>
    </cfRule>
    <cfRule type="cellIs" dxfId="1450" priority="5268" stopIfTrue="1" operator="between">
      <formula>#REF!</formula>
      <formula>#REF!</formula>
    </cfRule>
    <cfRule type="cellIs" dxfId="1449" priority="5269" stopIfTrue="1" operator="equal">
      <formula>#REF!</formula>
    </cfRule>
    <cfRule type="cellIs" dxfId="1448" priority="5270" stopIfTrue="1" operator="equal">
      <formula>#REF!</formula>
    </cfRule>
    <cfRule type="cellIs" dxfId="1447" priority="5271" stopIfTrue="1" operator="between">
      <formula>#REF!</formula>
      <formula>#REF!</formula>
    </cfRule>
    <cfRule type="cellIs" dxfId="1446" priority="5274" stopIfTrue="1" operator="between">
      <formula>#REF!</formula>
      <formula>#REF!</formula>
    </cfRule>
    <cfRule type="cellIs" dxfId="1445" priority="5067" stopIfTrue="1" operator="between">
      <formula>#REF!</formula>
      <formula>#REF!</formula>
    </cfRule>
    <cfRule type="cellIs" dxfId="1444" priority="4752" stopIfTrue="1" operator="between">
      <formula>#REF!</formula>
      <formula>#REF!</formula>
    </cfRule>
    <cfRule type="cellIs" dxfId="1443" priority="4751" stopIfTrue="1" operator="equal">
      <formula>#REF!</formula>
    </cfRule>
    <cfRule type="cellIs" dxfId="1442" priority="4644" stopIfTrue="1" operator="between">
      <formula>#REF!</formula>
      <formula>#REF!</formula>
    </cfRule>
    <cfRule type="cellIs" dxfId="1441" priority="4643" stopIfTrue="1" operator="equal">
      <formula>#REF!</formula>
    </cfRule>
  </conditionalFormatting>
  <conditionalFormatting sqref="CY144:CY173">
    <cfRule type="cellIs" dxfId="1440" priority="4071" stopIfTrue="1" operator="between">
      <formula>#REF!</formula>
      <formula>#REF!</formula>
    </cfRule>
    <cfRule type="cellIs" dxfId="1439" priority="3746" stopIfTrue="1" operator="equal">
      <formula>#REF!</formula>
    </cfRule>
    <cfRule type="cellIs" dxfId="1438" priority="3650" stopIfTrue="1" operator="equal">
      <formula>#REF!</formula>
    </cfRule>
    <cfRule type="cellIs" dxfId="1437" priority="4172" stopIfTrue="1" operator="equal">
      <formula>#REF!</formula>
    </cfRule>
    <cfRule type="cellIs" dxfId="1436" priority="3753" stopIfTrue="1" operator="between">
      <formula>#REF!</formula>
      <formula>#REF!</formula>
    </cfRule>
    <cfRule type="cellIs" dxfId="1435" priority="3648" stopIfTrue="1" operator="between">
      <formula>#REF!</formula>
      <formula>#REF!</formula>
    </cfRule>
    <cfRule type="cellIs" dxfId="1434" priority="3649" stopIfTrue="1" operator="equal">
      <formula>#REF!</formula>
    </cfRule>
    <cfRule type="cellIs" dxfId="1433" priority="4277" stopIfTrue="1" operator="equal">
      <formula>#REF!</formula>
    </cfRule>
    <cfRule type="cellIs" dxfId="1432" priority="3653" stopIfTrue="1" operator="equal">
      <formula>#REF!</formula>
    </cfRule>
    <cfRule type="cellIs" dxfId="1431" priority="3752" stopIfTrue="1" operator="equal">
      <formula>#REF!</formula>
    </cfRule>
    <cfRule type="cellIs" dxfId="1430" priority="4170" stopIfTrue="1" operator="between">
      <formula>#REF!</formula>
      <formula>#REF!</formula>
    </cfRule>
    <cfRule type="cellIs" dxfId="1429" priority="4280" stopIfTrue="1" operator="equal">
      <formula>#REF!</formula>
    </cfRule>
    <cfRule type="cellIs" dxfId="1428" priority="3854" stopIfTrue="1" operator="equal">
      <formula>#REF!</formula>
    </cfRule>
    <cfRule type="cellIs" dxfId="1427" priority="4070" stopIfTrue="1" operator="equal">
      <formula>#REF!</formula>
    </cfRule>
    <cfRule type="cellIs" dxfId="1426" priority="4278" stopIfTrue="1" operator="between">
      <formula>#REF!</formula>
      <formula>#REF!</formula>
    </cfRule>
    <cfRule type="cellIs" dxfId="1425" priority="4279" stopIfTrue="1" operator="equal">
      <formula>#REF!</formula>
    </cfRule>
    <cfRule type="cellIs" dxfId="1424" priority="4176" stopIfTrue="1" operator="between">
      <formula>#REF!</formula>
      <formula>#REF!</formula>
    </cfRule>
    <cfRule type="cellIs" dxfId="1423" priority="4283" stopIfTrue="1" operator="equal">
      <formula>#REF!</formula>
    </cfRule>
    <cfRule type="cellIs" dxfId="1422" priority="3750" stopIfTrue="1" operator="between">
      <formula>#REF!</formula>
      <formula>#REF!</formula>
    </cfRule>
    <cfRule type="cellIs" dxfId="1421" priority="3749" stopIfTrue="1" operator="equal">
      <formula>#REF!</formula>
    </cfRule>
    <cfRule type="cellIs" dxfId="1420" priority="3748" stopIfTrue="1" operator="equal">
      <formula>#REF!</formula>
    </cfRule>
    <cfRule type="cellIs" dxfId="1419" priority="4175" stopIfTrue="1" operator="equal">
      <formula>#REF!</formula>
    </cfRule>
    <cfRule type="cellIs" dxfId="1418" priority="3855" stopIfTrue="1" operator="between">
      <formula>#REF!</formula>
      <formula>#REF!</formula>
    </cfRule>
    <cfRule type="cellIs" dxfId="1417" priority="3856" stopIfTrue="1" operator="equal">
      <formula>#REF!</formula>
    </cfRule>
    <cfRule type="cellIs" dxfId="1416" priority="3857" stopIfTrue="1" operator="equal">
      <formula>#REF!</formula>
    </cfRule>
    <cfRule type="cellIs" dxfId="1415" priority="3960" stopIfTrue="1" operator="between">
      <formula>#REF!</formula>
      <formula>#REF!</formula>
    </cfRule>
    <cfRule type="cellIs" dxfId="1414" priority="4072" stopIfTrue="1" operator="equal">
      <formula>#REF!</formula>
    </cfRule>
    <cfRule type="cellIs" dxfId="1413" priority="4073" stopIfTrue="1" operator="equal">
      <formula>#REF!</formula>
    </cfRule>
    <cfRule type="cellIs" dxfId="1412" priority="3858" stopIfTrue="1" operator="between">
      <formula>#REF!</formula>
      <formula>#REF!</formula>
    </cfRule>
    <cfRule type="cellIs" dxfId="1411" priority="4074" stopIfTrue="1" operator="between">
      <formula>#REF!</formula>
      <formula>#REF!</formula>
    </cfRule>
    <cfRule type="cellIs" dxfId="1410" priority="4076" stopIfTrue="1" operator="equal">
      <formula>#REF!</formula>
    </cfRule>
    <cfRule type="cellIs" dxfId="1409" priority="4077" stopIfTrue="1" operator="between">
      <formula>#REF!</formula>
      <formula>#REF!</formula>
    </cfRule>
    <cfRule type="cellIs" dxfId="1408" priority="3957" stopIfTrue="1" operator="between">
      <formula>#REF!</formula>
      <formula>#REF!</formula>
    </cfRule>
    <cfRule type="cellIs" dxfId="1407" priority="3953" stopIfTrue="1" operator="equal">
      <formula>#REF!</formula>
    </cfRule>
    <cfRule type="cellIs" dxfId="1406" priority="3954" stopIfTrue="1" operator="between">
      <formula>#REF!</formula>
      <formula>#REF!</formula>
    </cfRule>
    <cfRule type="cellIs" dxfId="1405" priority="3860" stopIfTrue="1" operator="equal">
      <formula>#REF!</formula>
    </cfRule>
    <cfRule type="cellIs" dxfId="1404" priority="3861" stopIfTrue="1" operator="between">
      <formula>#REF!</formula>
      <formula>#REF!</formula>
    </cfRule>
    <cfRule type="cellIs" dxfId="1403" priority="3647" stopIfTrue="1" operator="equal">
      <formula>#REF!</formula>
    </cfRule>
    <cfRule type="cellIs" dxfId="1402" priority="4383" stopIfTrue="1" operator="between">
      <formula>#REF!</formula>
      <formula>#REF!</formula>
    </cfRule>
    <cfRule type="cellIs" dxfId="1401" priority="4382" stopIfTrue="1" operator="equal">
      <formula>#REF!</formula>
    </cfRule>
    <cfRule type="cellIs" dxfId="1400" priority="4380" stopIfTrue="1" operator="between">
      <formula>#REF!</formula>
      <formula>#REF!</formula>
    </cfRule>
    <cfRule type="cellIs" dxfId="1399" priority="4379" stopIfTrue="1" operator="equal">
      <formula>#REF!</formula>
    </cfRule>
    <cfRule type="cellIs" dxfId="1398" priority="4171" stopIfTrue="1" operator="equal">
      <formula>#REF!</formula>
    </cfRule>
    <cfRule type="cellIs" dxfId="1397" priority="3651" stopIfTrue="1" operator="between">
      <formula>#REF!</formula>
      <formula>#REF!</formula>
    </cfRule>
    <cfRule type="cellIs" dxfId="1396" priority="4169" stopIfTrue="1" operator="equal">
      <formula>#REF!</formula>
    </cfRule>
    <cfRule type="cellIs" dxfId="1395" priority="3959" stopIfTrue="1" operator="equal">
      <formula>#REF!</formula>
    </cfRule>
    <cfRule type="cellIs" dxfId="1394" priority="4281" stopIfTrue="1" operator="between">
      <formula>#REF!</formula>
      <formula>#REF!</formula>
    </cfRule>
    <cfRule type="cellIs" dxfId="1393" priority="3654" stopIfTrue="1" operator="between">
      <formula>#REF!</formula>
      <formula>#REF!</formula>
    </cfRule>
    <cfRule type="cellIs" dxfId="1392" priority="4378" stopIfTrue="1" operator="equal">
      <formula>#REF!</formula>
    </cfRule>
    <cfRule type="cellIs" dxfId="1391" priority="4284" stopIfTrue="1" operator="between">
      <formula>#REF!</formula>
      <formula>#REF!</formula>
    </cfRule>
    <cfRule type="cellIs" dxfId="1390" priority="3956" stopIfTrue="1" operator="equal">
      <formula>#REF!</formula>
    </cfRule>
    <cfRule type="cellIs" dxfId="1389" priority="4173" stopIfTrue="1" operator="between">
      <formula>#REF!</formula>
      <formula>#REF!</formula>
    </cfRule>
    <cfRule type="cellIs" dxfId="1388" priority="3747" stopIfTrue="1" operator="between">
      <formula>#REF!</formula>
      <formula>#REF!</formula>
    </cfRule>
    <cfRule type="cellIs" dxfId="1387" priority="4377" stopIfTrue="1" operator="between">
      <formula>#REF!</formula>
      <formula>#REF!</formula>
    </cfRule>
    <cfRule type="cellIs" dxfId="1386" priority="4376" stopIfTrue="1" operator="equal">
      <formula>#REF!</formula>
    </cfRule>
    <cfRule type="cellIs" dxfId="1385" priority="3955" stopIfTrue="1" operator="equal">
      <formula>#REF!</formula>
    </cfRule>
  </conditionalFormatting>
  <conditionalFormatting sqref="CY174:CY199">
    <cfRule type="cellIs" dxfId="1384" priority="179" stopIfTrue="1" operator="equal">
      <formula>#REF!</formula>
    </cfRule>
    <cfRule type="cellIs" dxfId="1383" priority="177" stopIfTrue="1" operator="between">
      <formula>#REF!</formula>
      <formula>#REF!</formula>
    </cfRule>
    <cfRule type="cellIs" dxfId="1382" priority="176" stopIfTrue="1" operator="equal">
      <formula>#REF!</formula>
    </cfRule>
    <cfRule type="cellIs" dxfId="1381" priority="175" stopIfTrue="1" operator="equal">
      <formula>#REF!</formula>
    </cfRule>
    <cfRule type="cellIs" dxfId="1380" priority="174" stopIfTrue="1" operator="between">
      <formula>#REF!</formula>
      <formula>#REF!</formula>
    </cfRule>
    <cfRule type="cellIs" dxfId="1379" priority="173" stopIfTrue="1" operator="equal">
      <formula>#REF!</formula>
    </cfRule>
    <cfRule type="cellIs" dxfId="1378" priority="283" stopIfTrue="1" operator="equal">
      <formula>#REF!</formula>
    </cfRule>
    <cfRule type="cellIs" dxfId="1377" priority="596" stopIfTrue="1" operator="equal">
      <formula>#REF!</formula>
    </cfRule>
    <cfRule type="cellIs" dxfId="1376" priority="597" stopIfTrue="1" operator="between">
      <formula>#REF!</formula>
      <formula>#REF!</formula>
    </cfRule>
    <cfRule type="cellIs" dxfId="1375" priority="598" stopIfTrue="1" operator="equal">
      <formula>#REF!</formula>
    </cfRule>
    <cfRule type="cellIs" dxfId="1374" priority="599" stopIfTrue="1" operator="equal">
      <formula>#REF!</formula>
    </cfRule>
    <cfRule type="cellIs" dxfId="1373" priority="600" stopIfTrue="1" operator="between">
      <formula>#REF!</formula>
      <formula>#REF!</formula>
    </cfRule>
    <cfRule type="cellIs" dxfId="1372" priority="602" stopIfTrue="1" operator="equal">
      <formula>#REF!</formula>
    </cfRule>
    <cfRule type="cellIs" dxfId="1371" priority="603" stopIfTrue="1" operator="between">
      <formula>#REF!</formula>
      <formula>#REF!</formula>
    </cfRule>
    <cfRule type="cellIs" dxfId="1370" priority="809" stopIfTrue="1" operator="equal">
      <formula>#REF!</formula>
    </cfRule>
    <cfRule type="cellIs" dxfId="1369" priority="704" stopIfTrue="1" operator="equal">
      <formula>#REF!</formula>
    </cfRule>
    <cfRule type="cellIs" dxfId="1368" priority="705" stopIfTrue="1" operator="between">
      <formula>#REF!</formula>
      <formula>#REF!</formula>
    </cfRule>
    <cfRule type="cellIs" dxfId="1367" priority="706" stopIfTrue="1" operator="equal">
      <formula>#REF!</formula>
    </cfRule>
    <cfRule type="cellIs" dxfId="1366" priority="707" stopIfTrue="1" operator="equal">
      <formula>#REF!</formula>
    </cfRule>
    <cfRule type="cellIs" dxfId="1365" priority="708" stopIfTrue="1" operator="between">
      <formula>#REF!</formula>
      <formula>#REF!</formula>
    </cfRule>
    <cfRule type="cellIs" dxfId="1364" priority="710" stopIfTrue="1" operator="equal">
      <formula>#REF!</formula>
    </cfRule>
    <cfRule type="cellIs" dxfId="1363" priority="711" stopIfTrue="1" operator="between">
      <formula>#REF!</formula>
      <formula>#REF!</formula>
    </cfRule>
    <cfRule type="cellIs" dxfId="1362" priority="81" stopIfTrue="1" operator="between">
      <formula>#REF!</formula>
      <formula>#REF!</formula>
    </cfRule>
    <cfRule type="cellIs" dxfId="1361" priority="803" stopIfTrue="1" operator="equal">
      <formula>#REF!</formula>
    </cfRule>
    <cfRule type="cellIs" dxfId="1360" priority="804" stopIfTrue="1" operator="between">
      <formula>#REF!</formula>
      <formula>#REF!</formula>
    </cfRule>
    <cfRule type="cellIs" dxfId="1359" priority="805" stopIfTrue="1" operator="equal">
      <formula>#REF!</formula>
    </cfRule>
    <cfRule type="cellIs" dxfId="1358" priority="806" stopIfTrue="1" operator="equal">
      <formula>#REF!</formula>
    </cfRule>
    <cfRule type="cellIs" dxfId="1357" priority="807" stopIfTrue="1" operator="between">
      <formula>#REF!</formula>
      <formula>#REF!</formula>
    </cfRule>
    <cfRule type="cellIs" dxfId="1356" priority="810" stopIfTrue="1" operator="between">
      <formula>#REF!</formula>
      <formula>#REF!</formula>
    </cfRule>
    <cfRule type="cellIs" dxfId="1355" priority="80" stopIfTrue="1" operator="equal">
      <formula>#REF!</formula>
    </cfRule>
    <cfRule type="cellIs" dxfId="1354" priority="74" stopIfTrue="1" operator="equal">
      <formula>#REF!</formula>
    </cfRule>
    <cfRule type="cellIs" dxfId="1353" priority="381" stopIfTrue="1" operator="between">
      <formula>#REF!</formula>
      <formula>#REF!</formula>
    </cfRule>
    <cfRule type="cellIs" dxfId="1352" priority="504" stopIfTrue="1" operator="between">
      <formula>#REF!</formula>
      <formula>#REF!</formula>
    </cfRule>
    <cfRule type="cellIs" dxfId="1351" priority="503" stopIfTrue="1" operator="equal">
      <formula>#REF!</formula>
    </cfRule>
    <cfRule type="cellIs" dxfId="1350" priority="501" stopIfTrue="1" operator="between">
      <formula>#REF!</formula>
      <formula>#REF!</formula>
    </cfRule>
    <cfRule type="cellIs" dxfId="1349" priority="500" stopIfTrue="1" operator="equal">
      <formula>#REF!</formula>
    </cfRule>
    <cfRule type="cellIs" dxfId="1348" priority="499" stopIfTrue="1" operator="equal">
      <formula>#REF!</formula>
    </cfRule>
    <cfRule type="cellIs" dxfId="1347" priority="498" stopIfTrue="1" operator="between">
      <formula>#REF!</formula>
      <formula>#REF!</formula>
    </cfRule>
    <cfRule type="cellIs" dxfId="1346" priority="497" stopIfTrue="1" operator="equal">
      <formula>#REF!</formula>
    </cfRule>
    <cfRule type="cellIs" dxfId="1345" priority="387" stopIfTrue="1" operator="between">
      <formula>#REF!</formula>
      <formula>#REF!</formula>
    </cfRule>
    <cfRule type="cellIs" dxfId="1344" priority="386" stopIfTrue="1" operator="equal">
      <formula>#REF!</formula>
    </cfRule>
    <cfRule type="cellIs" dxfId="1343" priority="384" stopIfTrue="1" operator="between">
      <formula>#REF!</formula>
      <formula>#REF!</formula>
    </cfRule>
    <cfRule type="cellIs" dxfId="1342" priority="383" stopIfTrue="1" operator="equal">
      <formula>#REF!</formula>
    </cfRule>
    <cfRule type="cellIs" dxfId="1341" priority="382" stopIfTrue="1" operator="equal">
      <formula>#REF!</formula>
    </cfRule>
    <cfRule type="cellIs" dxfId="1340" priority="380" stopIfTrue="1" operator="equal">
      <formula>#REF!</formula>
    </cfRule>
    <cfRule type="cellIs" dxfId="1339" priority="288" stopIfTrue="1" operator="between">
      <formula>#REF!</formula>
      <formula>#REF!</formula>
    </cfRule>
    <cfRule type="cellIs" dxfId="1338" priority="287" stopIfTrue="1" operator="equal">
      <formula>#REF!</formula>
    </cfRule>
    <cfRule type="cellIs" dxfId="1337" priority="285" stopIfTrue="1" operator="between">
      <formula>#REF!</formula>
      <formula>#REF!</formula>
    </cfRule>
    <cfRule type="cellIs" dxfId="1336" priority="284" stopIfTrue="1" operator="equal">
      <formula>#REF!</formula>
    </cfRule>
    <cfRule type="cellIs" dxfId="1335" priority="78" stopIfTrue="1" operator="between">
      <formula>#REF!</formula>
      <formula>#REF!</formula>
    </cfRule>
    <cfRule type="cellIs" dxfId="1334" priority="77" stopIfTrue="1" operator="equal">
      <formula>#REF!</formula>
    </cfRule>
    <cfRule type="cellIs" dxfId="1333" priority="76" stopIfTrue="1" operator="equal">
      <formula>#REF!</formula>
    </cfRule>
    <cfRule type="cellIs" dxfId="1332" priority="75" stopIfTrue="1" operator="between">
      <formula>#REF!</formula>
      <formula>#REF!</formula>
    </cfRule>
    <cfRule type="cellIs" dxfId="1331" priority="282" stopIfTrue="1" operator="between">
      <formula>#REF!</formula>
      <formula>#REF!</formula>
    </cfRule>
    <cfRule type="cellIs" dxfId="1330" priority="281" stopIfTrue="1" operator="equal">
      <formula>#REF!</formula>
    </cfRule>
    <cfRule type="cellIs" dxfId="1329" priority="180" stopIfTrue="1" operator="between">
      <formula>#REF!</formula>
      <formula>#REF!</formula>
    </cfRule>
  </conditionalFormatting>
  <conditionalFormatting sqref="CY121:CZ129">
    <cfRule type="cellIs" dxfId="1328" priority="7873" stopIfTrue="1" operator="equal">
      <formula>#REF!</formula>
    </cfRule>
    <cfRule type="cellIs" dxfId="1327" priority="7874" stopIfTrue="1" operator="equal">
      <formula>#REF!</formula>
    </cfRule>
  </conditionalFormatting>
  <conditionalFormatting sqref="CY125:CZ129">
    <cfRule type="cellIs" dxfId="1326" priority="7667" stopIfTrue="1" operator="equal">
      <formula>#REF!</formula>
    </cfRule>
    <cfRule type="cellIs" dxfId="1325" priority="7765" stopIfTrue="1" operator="equal">
      <formula>#REF!</formula>
    </cfRule>
    <cfRule type="cellIs" dxfId="1324" priority="7666" stopIfTrue="1" operator="equal">
      <formula>#REF!</formula>
    </cfRule>
    <cfRule type="cellIs" dxfId="1323" priority="7766" stopIfTrue="1" operator="equal">
      <formula>#REF!</formula>
    </cfRule>
  </conditionalFormatting>
  <conditionalFormatting sqref="CY126:CZ129">
    <cfRule type="cellIs" dxfId="1322" priority="7450" stopIfTrue="1" operator="equal">
      <formula>#REF!</formula>
    </cfRule>
    <cfRule type="cellIs" dxfId="1321" priority="7451" stopIfTrue="1" operator="equal">
      <formula>#REF!</formula>
    </cfRule>
    <cfRule type="cellIs" dxfId="1320" priority="7550" stopIfTrue="1" operator="equal">
      <formula>#REF!</formula>
    </cfRule>
    <cfRule type="cellIs" dxfId="1319" priority="7549" stopIfTrue="1" operator="equal">
      <formula>#REF!</formula>
    </cfRule>
  </conditionalFormatting>
  <conditionalFormatting sqref="CY130:CZ130">
    <cfRule type="cellIs" dxfId="1318" priority="6857" stopIfTrue="1" operator="equal">
      <formula>#REF!</formula>
    </cfRule>
    <cfRule type="cellIs" dxfId="1317" priority="6757" stopIfTrue="1" operator="equal">
      <formula>#REF!</formula>
    </cfRule>
    <cfRule type="cellIs" dxfId="1316" priority="6758" stopIfTrue="1" operator="equal">
      <formula>#REF!</formula>
    </cfRule>
    <cfRule type="cellIs" dxfId="1315" priority="6964" stopIfTrue="1" operator="equal">
      <formula>#REF!</formula>
    </cfRule>
    <cfRule type="cellIs" dxfId="1314" priority="6965" stopIfTrue="1" operator="equal">
      <formula>#REF!</formula>
    </cfRule>
    <cfRule type="cellIs" dxfId="1313" priority="6856" stopIfTrue="1" operator="equal">
      <formula>#REF!</formula>
    </cfRule>
    <cfRule type="cellIs" dxfId="1312" priority="6541" stopIfTrue="1" operator="equal">
      <formula>#REF!</formula>
    </cfRule>
    <cfRule type="cellIs" dxfId="1311" priority="6542" stopIfTrue="1" operator="equal">
      <formula>#REF!</formula>
    </cfRule>
  </conditionalFormatting>
  <conditionalFormatting sqref="CY131:CZ141">
    <cfRule type="cellIs" dxfId="1310" priority="5947" stopIfTrue="1" operator="equal">
      <formula>#REF!</formula>
    </cfRule>
    <cfRule type="cellIs" dxfId="1309" priority="5948" stopIfTrue="1" operator="equal">
      <formula>#REF!</formula>
    </cfRule>
    <cfRule type="cellIs" dxfId="1308" priority="5848" stopIfTrue="1" operator="equal">
      <formula>#REF!</formula>
    </cfRule>
    <cfRule type="cellIs" dxfId="1307" priority="5633" stopIfTrue="1" operator="equal">
      <formula>#REF!</formula>
    </cfRule>
    <cfRule type="cellIs" dxfId="1306" priority="5632" stopIfTrue="1" operator="equal">
      <formula>#REF!</formula>
    </cfRule>
    <cfRule type="cellIs" dxfId="1305" priority="5849" stopIfTrue="1" operator="equal">
      <formula>#REF!</formula>
    </cfRule>
    <cfRule type="cellIs" dxfId="1304" priority="6056" stopIfTrue="1" operator="equal">
      <formula>#REF!</formula>
    </cfRule>
    <cfRule type="cellIs" dxfId="1303" priority="6055" stopIfTrue="1" operator="equal">
      <formula>#REF!</formula>
    </cfRule>
  </conditionalFormatting>
  <conditionalFormatting sqref="CY142:CZ143">
    <cfRule type="cellIs" dxfId="1302" priority="5164" stopIfTrue="1" operator="equal">
      <formula>#REF!</formula>
    </cfRule>
    <cfRule type="cellIs" dxfId="1301" priority="5057" stopIfTrue="1" operator="equal">
      <formula>#REF!</formula>
    </cfRule>
    <cfRule type="cellIs" dxfId="1300" priority="5056" stopIfTrue="1" operator="equal">
      <formula>#REF!</formula>
    </cfRule>
    <cfRule type="cellIs" dxfId="1299" priority="4957" stopIfTrue="1" operator="equal">
      <formula>#REF!</formula>
    </cfRule>
    <cfRule type="cellIs" dxfId="1298" priority="4741" stopIfTrue="1" operator="equal">
      <formula>#REF!</formula>
    </cfRule>
    <cfRule type="cellIs" dxfId="1297" priority="5165" stopIfTrue="1" operator="equal">
      <formula>#REF!</formula>
    </cfRule>
  </conditionalFormatting>
  <conditionalFormatting sqref="CY144:CZ173">
    <cfRule type="cellIs" dxfId="1296" priority="4066" stopIfTrue="1" operator="equal">
      <formula>#REF!</formula>
    </cfRule>
    <cfRule type="cellIs" dxfId="1295" priority="4273" stopIfTrue="1" operator="equal">
      <formula>#REF!</formula>
    </cfRule>
    <cfRule type="cellIs" dxfId="1294" priority="3850" stopIfTrue="1" operator="equal">
      <formula>#REF!</formula>
    </cfRule>
    <cfRule type="cellIs" dxfId="1293" priority="4165" stopIfTrue="1" operator="equal">
      <formula>#REF!</formula>
    </cfRule>
  </conditionalFormatting>
  <conditionalFormatting sqref="CY174:CZ199">
    <cfRule type="cellIs" dxfId="1292" priority="592" stopIfTrue="1" operator="equal">
      <formula>#REF!</formula>
    </cfRule>
    <cfRule type="cellIs" dxfId="1291" priority="277" stopIfTrue="1" operator="equal">
      <formula>#REF!</formula>
    </cfRule>
    <cfRule type="cellIs" dxfId="1290" priority="493" stopIfTrue="1" operator="equal">
      <formula>#REF!</formula>
    </cfRule>
    <cfRule type="cellIs" dxfId="1289" priority="700" stopIfTrue="1" operator="equal">
      <formula>#REF!</formula>
    </cfRule>
  </conditionalFormatting>
  <conditionalFormatting sqref="CY126:DA129">
    <cfRule type="cellIs" dxfId="1288" priority="7342" stopIfTrue="1" operator="equal">
      <formula>#REF!</formula>
    </cfRule>
    <cfRule type="cellIs" dxfId="1287" priority="7343" stopIfTrue="1" operator="equal">
      <formula>#REF!</formula>
    </cfRule>
    <cfRule type="cellIs" dxfId="1286" priority="7244" stopIfTrue="1" operator="equal">
      <formula>#REF!</formula>
    </cfRule>
    <cfRule type="cellIs" dxfId="1285" priority="7243" stopIfTrue="1" operator="equal">
      <formula>#REF!</formula>
    </cfRule>
  </conditionalFormatting>
  <conditionalFormatting sqref="CY130:DA130">
    <cfRule type="cellIs" dxfId="1284" priority="6334" stopIfTrue="1" operator="equal">
      <formula>#REF!</formula>
    </cfRule>
    <cfRule type="cellIs" dxfId="1283" priority="6434" stopIfTrue="1" operator="equal">
      <formula>#REF!</formula>
    </cfRule>
    <cfRule type="cellIs" dxfId="1282" priority="6640" stopIfTrue="1" operator="equal">
      <formula>#REF!</formula>
    </cfRule>
    <cfRule type="cellIs" dxfId="1281" priority="6433" stopIfTrue="1" operator="equal">
      <formula>#REF!</formula>
    </cfRule>
    <cfRule type="cellIs" dxfId="1280" priority="6641" stopIfTrue="1" operator="equal">
      <formula>#REF!</formula>
    </cfRule>
    <cfRule type="cellIs" dxfId="1279" priority="6335" stopIfTrue="1" operator="equal">
      <formula>#REF!</formula>
    </cfRule>
  </conditionalFormatting>
  <conditionalFormatting sqref="CY131:DA141">
    <cfRule type="cellIs" dxfId="1278" priority="5525" stopIfTrue="1" operator="equal">
      <formula>#REF!</formula>
    </cfRule>
    <cfRule type="cellIs" dxfId="1277" priority="5731" stopIfTrue="1" operator="equal">
      <formula>#REF!</formula>
    </cfRule>
    <cfRule type="cellIs" dxfId="1276" priority="5732" stopIfTrue="1" operator="equal">
      <formula>#REF!</formula>
    </cfRule>
    <cfRule type="cellIs" dxfId="1275" priority="5524" stopIfTrue="1" operator="equal">
      <formula>#REF!</formula>
    </cfRule>
    <cfRule type="cellIs" dxfId="1274" priority="5425" stopIfTrue="1" operator="equal">
      <formula>#REF!</formula>
    </cfRule>
    <cfRule type="cellIs" dxfId="1273" priority="5426" stopIfTrue="1" operator="equal">
      <formula>#REF!</formula>
    </cfRule>
  </conditionalFormatting>
  <conditionalFormatting sqref="CY142:DA143">
    <cfRule type="cellIs" dxfId="1272" priority="4633" stopIfTrue="1" operator="equal">
      <formula>#REF!</formula>
    </cfRule>
    <cfRule type="cellIs" dxfId="1271" priority="4840" stopIfTrue="1" operator="equal">
      <formula>#REF!</formula>
    </cfRule>
    <cfRule type="cellIs" dxfId="1270" priority="4534" stopIfTrue="1" operator="equal">
      <formula>#REF!</formula>
    </cfRule>
  </conditionalFormatting>
  <conditionalFormatting sqref="CY144:DA173">
    <cfRule type="cellIs" dxfId="1269" priority="3742" stopIfTrue="1" operator="equal">
      <formula>#REF!</formula>
    </cfRule>
    <cfRule type="cellIs" dxfId="1268" priority="3949" stopIfTrue="1" operator="equal">
      <formula>#REF!</formula>
    </cfRule>
    <cfRule type="cellIs" dxfId="1267" priority="3643" stopIfTrue="1" operator="equal">
      <formula>#REF!</formula>
    </cfRule>
  </conditionalFormatting>
  <conditionalFormatting sqref="CY174:DA199">
    <cfRule type="cellIs" dxfId="1266" priority="70" stopIfTrue="1" operator="equal">
      <formula>#REF!</formula>
    </cfRule>
    <cfRule type="cellIs" dxfId="1265" priority="376" stopIfTrue="1" operator="equal">
      <formula>#REF!</formula>
    </cfRule>
    <cfRule type="cellIs" dxfId="1264" priority="169" stopIfTrue="1" operator="equal">
      <formula>#REF!</formula>
    </cfRule>
  </conditionalFormatting>
  <conditionalFormatting sqref="CZ114">
    <cfRule type="cellIs" dxfId="1263" priority="8270" stopIfTrue="1" operator="equal">
      <formula>#REF!</formula>
    </cfRule>
    <cfRule type="cellIs" dxfId="1262" priority="8267" stopIfTrue="1" operator="equal">
      <formula>#REF!</formula>
    </cfRule>
    <cfRule type="cellIs" dxfId="1261" priority="8266" stopIfTrue="1" operator="equal">
      <formula>#REF!</formula>
    </cfRule>
    <cfRule type="cellIs" dxfId="1260" priority="8265" stopIfTrue="1" operator="between">
      <formula>#REF!</formula>
      <formula>#REF!</formula>
    </cfRule>
    <cfRule type="cellIs" dxfId="1259" priority="8264" stopIfTrue="1" operator="equal">
      <formula>#REF!</formula>
    </cfRule>
    <cfRule type="cellIs" dxfId="1258" priority="8271" stopIfTrue="1" operator="between">
      <formula>#REF!</formula>
      <formula>#REF!</formula>
    </cfRule>
    <cfRule type="cellIs" dxfId="1257" priority="8263" stopIfTrue="1" operator="equal">
      <formula>#REF!</formula>
    </cfRule>
    <cfRule type="cellIs" dxfId="1256" priority="8268" stopIfTrue="1" operator="between">
      <formula>#REF!</formula>
      <formula>#REF!</formula>
    </cfRule>
    <cfRule type="cellIs" dxfId="1255" priority="8269" stopIfTrue="1" operator="equal">
      <formula>#REF!</formula>
    </cfRule>
  </conditionalFormatting>
  <conditionalFormatting sqref="CZ121:CZ129">
    <cfRule type="cellIs" dxfId="1254" priority="7867" stopIfTrue="1" operator="equal">
      <formula>#REF!</formula>
    </cfRule>
    <cfRule type="cellIs" dxfId="1253" priority="7868" stopIfTrue="1" operator="equal">
      <formula>#REF!</formula>
    </cfRule>
    <cfRule type="cellIs" dxfId="1252" priority="7869" stopIfTrue="1" operator="between">
      <formula>#REF!</formula>
      <formula>#REF!</formula>
    </cfRule>
    <cfRule type="cellIs" dxfId="1251" priority="7870" stopIfTrue="1" operator="equal">
      <formula>#REF!</formula>
    </cfRule>
    <cfRule type="cellIs" dxfId="1250" priority="7871" stopIfTrue="1" operator="equal">
      <formula>#REF!</formula>
    </cfRule>
    <cfRule type="cellIs" dxfId="1249" priority="7872" stopIfTrue="1" operator="between">
      <formula>#REF!</formula>
      <formula>#REF!</formula>
    </cfRule>
    <cfRule type="cellIs" dxfId="1248" priority="7875" stopIfTrue="1" operator="between">
      <formula>#REF!</formula>
      <formula>#REF!</formula>
    </cfRule>
  </conditionalFormatting>
  <conditionalFormatting sqref="CZ125:CZ129">
    <cfRule type="cellIs" dxfId="1247" priority="7761" stopIfTrue="1" operator="between">
      <formula>#REF!</formula>
      <formula>#REF!</formula>
    </cfRule>
    <cfRule type="cellIs" dxfId="1246" priority="7762" stopIfTrue="1" operator="equal">
      <formula>#REF!</formula>
    </cfRule>
    <cfRule type="cellIs" dxfId="1245" priority="7763" stopIfTrue="1" operator="equal">
      <formula>#REF!</formula>
    </cfRule>
    <cfRule type="cellIs" dxfId="1244" priority="7764" stopIfTrue="1" operator="between">
      <formula>#REF!</formula>
      <formula>#REF!</formula>
    </cfRule>
    <cfRule type="cellIs" dxfId="1243" priority="7767" stopIfTrue="1" operator="between">
      <formula>#REF!</formula>
      <formula>#REF!</formula>
    </cfRule>
    <cfRule type="cellIs" dxfId="1242" priority="7668" stopIfTrue="1" operator="between">
      <formula>#REF!</formula>
      <formula>#REF!</formula>
    </cfRule>
    <cfRule type="cellIs" dxfId="1241" priority="7662" stopIfTrue="1" operator="between">
      <formula>#REF!</formula>
      <formula>#REF!</formula>
    </cfRule>
    <cfRule type="cellIs" dxfId="1240" priority="7663" stopIfTrue="1" operator="equal">
      <formula>#REF!</formula>
    </cfRule>
    <cfRule type="cellIs" dxfId="1239" priority="7664" stopIfTrue="1" operator="equal">
      <formula>#REF!</formula>
    </cfRule>
    <cfRule type="cellIs" dxfId="1238" priority="7665" stopIfTrue="1" operator="between">
      <formula>#REF!</formula>
      <formula>#REF!</formula>
    </cfRule>
  </conditionalFormatting>
  <conditionalFormatting sqref="CZ126:CZ129">
    <cfRule type="cellIs" dxfId="1237" priority="7241" stopIfTrue="1" operator="equal">
      <formula>#REF!</formula>
    </cfRule>
    <cfRule type="cellIs" dxfId="1236" priority="7242" stopIfTrue="1" operator="between">
      <formula>#REF!</formula>
      <formula>#REF!</formula>
    </cfRule>
    <cfRule type="cellIs" dxfId="1235" priority="7245" stopIfTrue="1" operator="between">
      <formula>#REF!</formula>
      <formula>#REF!</formula>
    </cfRule>
    <cfRule type="cellIs" dxfId="1234" priority="7338" stopIfTrue="1" operator="between">
      <formula>#REF!</formula>
      <formula>#REF!</formula>
    </cfRule>
    <cfRule type="cellIs" dxfId="1233" priority="7339" stopIfTrue="1" operator="equal">
      <formula>#REF!</formula>
    </cfRule>
    <cfRule type="cellIs" dxfId="1232" priority="7340" stopIfTrue="1" operator="equal">
      <formula>#REF!</formula>
    </cfRule>
    <cfRule type="cellIs" dxfId="1231" priority="7341" stopIfTrue="1" operator="between">
      <formula>#REF!</formula>
      <formula>#REF!</formula>
    </cfRule>
    <cfRule type="cellIs" dxfId="1230" priority="7446" stopIfTrue="1" operator="between">
      <formula>#REF!</formula>
      <formula>#REF!</formula>
    </cfRule>
    <cfRule type="cellIs" dxfId="1229" priority="7447" stopIfTrue="1" operator="equal">
      <formula>#REF!</formula>
    </cfRule>
    <cfRule type="cellIs" dxfId="1228" priority="7344" stopIfTrue="1" operator="between">
      <formula>#REF!</formula>
      <formula>#REF!</formula>
    </cfRule>
    <cfRule type="cellIs" dxfId="1227" priority="7452" stopIfTrue="1" operator="between">
      <formula>#REF!</formula>
      <formula>#REF!</formula>
    </cfRule>
    <cfRule type="cellIs" dxfId="1226" priority="7449" stopIfTrue="1" operator="between">
      <formula>#REF!</formula>
      <formula>#REF!</formula>
    </cfRule>
    <cfRule type="cellIs" dxfId="1225" priority="7545" stopIfTrue="1" operator="between">
      <formula>#REF!</formula>
      <formula>#REF!</formula>
    </cfRule>
    <cfRule type="cellIs" dxfId="1224" priority="7546" stopIfTrue="1" operator="equal">
      <formula>#REF!</formula>
    </cfRule>
    <cfRule type="cellIs" dxfId="1223" priority="7448" stopIfTrue="1" operator="equal">
      <formula>#REF!</formula>
    </cfRule>
    <cfRule type="cellIs" dxfId="1222" priority="7547" stopIfTrue="1" operator="equal">
      <formula>#REF!</formula>
    </cfRule>
    <cfRule type="cellIs" dxfId="1221" priority="7548" stopIfTrue="1" operator="between">
      <formula>#REF!</formula>
      <formula>#REF!</formula>
    </cfRule>
    <cfRule type="cellIs" dxfId="1220" priority="7551" stopIfTrue="1" operator="between">
      <formula>#REF!</formula>
      <formula>#REF!</formula>
    </cfRule>
    <cfRule type="cellIs" dxfId="1219" priority="7239" stopIfTrue="1" operator="between">
      <formula>#REF!</formula>
      <formula>#REF!</formula>
    </cfRule>
    <cfRule type="cellIs" dxfId="1218" priority="7240" stopIfTrue="1" operator="equal">
      <formula>#REF!</formula>
    </cfRule>
  </conditionalFormatting>
  <conditionalFormatting sqref="CZ130">
    <cfRule type="cellIs" dxfId="1217" priority="6430" stopIfTrue="1" operator="equal">
      <formula>#REF!</formula>
    </cfRule>
    <cfRule type="cellIs" dxfId="1216" priority="6754" stopIfTrue="1" operator="equal">
      <formula>#REF!</formula>
    </cfRule>
    <cfRule type="cellIs" dxfId="1215" priority="6755" stopIfTrue="1" operator="equal">
      <formula>#REF!</formula>
    </cfRule>
    <cfRule type="cellIs" dxfId="1214" priority="6637" stopIfTrue="1" operator="equal">
      <formula>#REF!</formula>
    </cfRule>
    <cfRule type="cellIs" dxfId="1213" priority="6636" stopIfTrue="1" operator="between">
      <formula>#REF!</formula>
      <formula>#REF!</formula>
    </cfRule>
    <cfRule type="cellIs" dxfId="1212" priority="6756" stopIfTrue="1" operator="between">
      <formula>#REF!</formula>
      <formula>#REF!</formula>
    </cfRule>
    <cfRule type="cellIs" dxfId="1211" priority="6333" stopIfTrue="1" operator="between">
      <formula>#REF!</formula>
      <formula>#REF!</formula>
    </cfRule>
    <cfRule type="cellIs" dxfId="1210" priority="6431" stopIfTrue="1" operator="equal">
      <formula>#REF!</formula>
    </cfRule>
    <cfRule type="cellIs" dxfId="1209" priority="6759" stopIfTrue="1" operator="between">
      <formula>#REF!</formula>
      <formula>#REF!</formula>
    </cfRule>
    <cfRule type="cellIs" dxfId="1208" priority="6429" stopIfTrue="1" operator="between">
      <formula>#REF!</formula>
      <formula>#REF!</formula>
    </cfRule>
    <cfRule type="cellIs" dxfId="1207" priority="6855" stopIfTrue="1" operator="between">
      <formula>#REF!</formula>
      <formula>#REF!</formula>
    </cfRule>
    <cfRule type="cellIs" dxfId="1206" priority="6336" stopIfTrue="1" operator="between">
      <formula>#REF!</formula>
      <formula>#REF!</formula>
    </cfRule>
    <cfRule type="cellIs" dxfId="1205" priority="6852" stopIfTrue="1" operator="between">
      <formula>#REF!</formula>
      <formula>#REF!</formula>
    </cfRule>
    <cfRule type="cellIs" dxfId="1204" priority="6854" stopIfTrue="1" operator="equal">
      <formula>#REF!</formula>
    </cfRule>
    <cfRule type="cellIs" dxfId="1203" priority="6858" stopIfTrue="1" operator="between">
      <formula>#REF!</formula>
      <formula>#REF!</formula>
    </cfRule>
    <cfRule type="cellIs" dxfId="1202" priority="6537" stopIfTrue="1" operator="between">
      <formula>#REF!</formula>
      <formula>#REF!</formula>
    </cfRule>
    <cfRule type="cellIs" dxfId="1201" priority="6753" stopIfTrue="1" operator="between">
      <formula>#REF!</formula>
      <formula>#REF!</formula>
    </cfRule>
    <cfRule type="cellIs" dxfId="1200" priority="6332" stopIfTrue="1" operator="equal">
      <formula>#REF!</formula>
    </cfRule>
    <cfRule type="cellIs" dxfId="1199" priority="6960" stopIfTrue="1" operator="between">
      <formula>#REF!</formula>
      <formula>#REF!</formula>
    </cfRule>
    <cfRule type="cellIs" dxfId="1198" priority="6961" stopIfTrue="1" operator="equal">
      <formula>#REF!</formula>
    </cfRule>
    <cfRule type="cellIs" dxfId="1197" priority="6331" stopIfTrue="1" operator="equal">
      <formula>#REF!</formula>
    </cfRule>
    <cfRule type="cellIs" dxfId="1196" priority="6330" stopIfTrue="1" operator="between">
      <formula>#REF!</formula>
      <formula>#REF!</formula>
    </cfRule>
    <cfRule type="cellIs" dxfId="1195" priority="6638" stopIfTrue="1" operator="equal">
      <formula>#REF!</formula>
    </cfRule>
    <cfRule type="cellIs" dxfId="1194" priority="6962" stopIfTrue="1" operator="equal">
      <formula>#REF!</formula>
    </cfRule>
    <cfRule type="cellIs" dxfId="1193" priority="6963" stopIfTrue="1" operator="between">
      <formula>#REF!</formula>
      <formula>#REF!</formula>
    </cfRule>
    <cfRule type="cellIs" dxfId="1192" priority="6538" stopIfTrue="1" operator="equal">
      <formula>#REF!</formula>
    </cfRule>
    <cfRule type="cellIs" dxfId="1191" priority="6539" stopIfTrue="1" operator="equal">
      <formula>#REF!</formula>
    </cfRule>
    <cfRule type="cellIs" dxfId="1190" priority="6540" stopIfTrue="1" operator="between">
      <formula>#REF!</formula>
      <formula>#REF!</formula>
    </cfRule>
    <cfRule type="cellIs" dxfId="1189" priority="6543" stopIfTrue="1" operator="between">
      <formula>#REF!</formula>
      <formula>#REF!</formula>
    </cfRule>
    <cfRule type="cellIs" dxfId="1188" priority="6966" stopIfTrue="1" operator="between">
      <formula>#REF!</formula>
      <formula>#REF!</formula>
    </cfRule>
    <cfRule type="cellIs" dxfId="1187" priority="6435" stopIfTrue="1" operator="between">
      <formula>#REF!</formula>
      <formula>#REF!</formula>
    </cfRule>
    <cfRule type="cellIs" dxfId="1186" priority="6432" stopIfTrue="1" operator="between">
      <formula>#REF!</formula>
      <formula>#REF!</formula>
    </cfRule>
    <cfRule type="cellIs" dxfId="1185" priority="6853" stopIfTrue="1" operator="equal">
      <formula>#REF!</formula>
    </cfRule>
    <cfRule type="cellIs" dxfId="1184" priority="6642" stopIfTrue="1" operator="between">
      <formula>#REF!</formula>
      <formula>#REF!</formula>
    </cfRule>
    <cfRule type="cellIs" dxfId="1183" priority="6639" stopIfTrue="1" operator="between">
      <formula>#REF!</formula>
      <formula>#REF!</formula>
    </cfRule>
  </conditionalFormatting>
  <conditionalFormatting sqref="CZ131:CZ141">
    <cfRule type="cellIs" dxfId="1182" priority="6053" stopIfTrue="1" operator="equal">
      <formula>#REF!</formula>
    </cfRule>
    <cfRule type="cellIs" dxfId="1181" priority="6054" stopIfTrue="1" operator="between">
      <formula>#REF!</formula>
      <formula>#REF!</formula>
    </cfRule>
    <cfRule type="cellIs" dxfId="1180" priority="6057" stopIfTrue="1" operator="between">
      <formula>#REF!</formula>
      <formula>#REF!</formula>
    </cfRule>
    <cfRule type="cellIs" dxfId="1179" priority="5421" stopIfTrue="1" operator="between">
      <formula>#REF!</formula>
      <formula>#REF!</formula>
    </cfRule>
    <cfRule type="cellIs" dxfId="1178" priority="5628" stopIfTrue="1" operator="between">
      <formula>#REF!</formula>
      <formula>#REF!</formula>
    </cfRule>
    <cfRule type="cellIs" dxfId="1177" priority="5634" stopIfTrue="1" operator="between">
      <formula>#REF!</formula>
      <formula>#REF!</formula>
    </cfRule>
    <cfRule type="cellIs" dxfId="1176" priority="5946" stopIfTrue="1" operator="between">
      <formula>#REF!</formula>
      <formula>#REF!</formula>
    </cfRule>
    <cfRule type="cellIs" dxfId="1175" priority="5949" stopIfTrue="1" operator="between">
      <formula>#REF!</formula>
      <formula>#REF!</formula>
    </cfRule>
    <cfRule type="cellIs" dxfId="1174" priority="5521" stopIfTrue="1" operator="equal">
      <formula>#REF!</formula>
    </cfRule>
    <cfRule type="cellIs" dxfId="1173" priority="5423" stopIfTrue="1" operator="equal">
      <formula>#REF!</formula>
    </cfRule>
    <cfRule type="cellIs" dxfId="1172" priority="5844" stopIfTrue="1" operator="between">
      <formula>#REF!</formula>
      <formula>#REF!</formula>
    </cfRule>
    <cfRule type="cellIs" dxfId="1171" priority="5520" stopIfTrue="1" operator="between">
      <formula>#REF!</formula>
      <formula>#REF!</formula>
    </cfRule>
    <cfRule type="cellIs" dxfId="1170" priority="5943" stopIfTrue="1" operator="between">
      <formula>#REF!</formula>
      <formula>#REF!</formula>
    </cfRule>
    <cfRule type="cellIs" dxfId="1169" priority="5944" stopIfTrue="1" operator="equal">
      <formula>#REF!</formula>
    </cfRule>
    <cfRule type="cellIs" dxfId="1168" priority="5422" stopIfTrue="1" operator="equal">
      <formula>#REF!</formula>
    </cfRule>
    <cfRule type="cellIs" dxfId="1167" priority="5427" stopIfTrue="1" operator="between">
      <formula>#REF!</formula>
      <formula>#REF!</formula>
    </cfRule>
    <cfRule type="cellIs" dxfId="1166" priority="5526" stopIfTrue="1" operator="between">
      <formula>#REF!</formula>
      <formula>#REF!</formula>
    </cfRule>
    <cfRule type="cellIs" dxfId="1165" priority="5629" stopIfTrue="1" operator="equal">
      <formula>#REF!</formula>
    </cfRule>
    <cfRule type="cellIs" dxfId="1164" priority="5850" stopIfTrue="1" operator="between">
      <formula>#REF!</formula>
      <formula>#REF!</formula>
    </cfRule>
    <cfRule type="cellIs" dxfId="1163" priority="5424" stopIfTrue="1" operator="between">
      <formula>#REF!</formula>
      <formula>#REF!</formula>
    </cfRule>
    <cfRule type="cellIs" dxfId="1162" priority="5945" stopIfTrue="1" operator="equal">
      <formula>#REF!</formula>
    </cfRule>
    <cfRule type="cellIs" dxfId="1161" priority="5523" stopIfTrue="1" operator="between">
      <formula>#REF!</formula>
      <formula>#REF!</formula>
    </cfRule>
    <cfRule type="cellIs" dxfId="1160" priority="5522" stopIfTrue="1" operator="equal">
      <formula>#REF!</formula>
    </cfRule>
    <cfRule type="cellIs" dxfId="1159" priority="5733" stopIfTrue="1" operator="between">
      <formula>#REF!</formula>
      <formula>#REF!</formula>
    </cfRule>
    <cfRule type="cellIs" dxfId="1158" priority="5729" stopIfTrue="1" operator="equal">
      <formula>#REF!</formula>
    </cfRule>
    <cfRule type="cellIs" dxfId="1157" priority="5730" stopIfTrue="1" operator="between">
      <formula>#REF!</formula>
      <formula>#REF!</formula>
    </cfRule>
    <cfRule type="cellIs" dxfId="1156" priority="5630" stopIfTrue="1" operator="equal">
      <formula>#REF!</formula>
    </cfRule>
    <cfRule type="cellIs" dxfId="1155" priority="5728" stopIfTrue="1" operator="equal">
      <formula>#REF!</formula>
    </cfRule>
    <cfRule type="cellIs" dxfId="1154" priority="5846" stopIfTrue="1" operator="equal">
      <formula>#REF!</formula>
    </cfRule>
    <cfRule type="cellIs" dxfId="1153" priority="5845" stopIfTrue="1" operator="equal">
      <formula>#REF!</formula>
    </cfRule>
    <cfRule type="cellIs" dxfId="1152" priority="5727" stopIfTrue="1" operator="between">
      <formula>#REF!</formula>
      <formula>#REF!</formula>
    </cfRule>
    <cfRule type="cellIs" dxfId="1151" priority="5847" stopIfTrue="1" operator="between">
      <formula>#REF!</formula>
      <formula>#REF!</formula>
    </cfRule>
    <cfRule type="cellIs" dxfId="1150" priority="6051" stopIfTrue="1" operator="between">
      <formula>#REF!</formula>
      <formula>#REF!</formula>
    </cfRule>
    <cfRule type="cellIs" dxfId="1149" priority="6052" stopIfTrue="1" operator="equal">
      <formula>#REF!</formula>
    </cfRule>
    <cfRule type="cellIs" dxfId="1148" priority="5631" stopIfTrue="1" operator="between">
      <formula>#REF!</formula>
      <formula>#REF!</formula>
    </cfRule>
  </conditionalFormatting>
  <conditionalFormatting sqref="CZ142:CZ143">
    <cfRule type="cellIs" dxfId="1147" priority="4628" stopIfTrue="1" operator="equal">
      <formula>#REF!</formula>
    </cfRule>
    <cfRule type="cellIs" dxfId="1146" priority="4629" stopIfTrue="1" operator="between">
      <formula>#REF!</formula>
      <formula>#REF!</formula>
    </cfRule>
    <cfRule type="cellIs" dxfId="1145" priority="4630" stopIfTrue="1" operator="equal">
      <formula>#REF!</formula>
    </cfRule>
    <cfRule type="cellIs" dxfId="1144" priority="4631" stopIfTrue="1" operator="equal">
      <formula>#REF!</formula>
    </cfRule>
    <cfRule type="cellIs" dxfId="1143" priority="4632" stopIfTrue="1" operator="between">
      <formula>#REF!</formula>
      <formula>#REF!</formula>
    </cfRule>
    <cfRule type="cellIs" dxfId="1142" priority="4634" stopIfTrue="1" operator="equal">
      <formula>#REF!</formula>
    </cfRule>
    <cfRule type="cellIs" dxfId="1141" priority="4635" stopIfTrue="1" operator="between">
      <formula>#REF!</formula>
      <formula>#REF!</formula>
    </cfRule>
    <cfRule type="cellIs" dxfId="1140" priority="4959" stopIfTrue="1" operator="between">
      <formula>#REF!</formula>
      <formula>#REF!</formula>
    </cfRule>
    <cfRule type="cellIs" dxfId="1139" priority="4958" stopIfTrue="1" operator="equal">
      <formula>#REF!</formula>
    </cfRule>
    <cfRule type="cellIs" dxfId="1138" priority="4956" stopIfTrue="1" operator="between">
      <formula>#REF!</formula>
      <formula>#REF!</formula>
    </cfRule>
    <cfRule type="cellIs" dxfId="1137" priority="4955" stopIfTrue="1" operator="equal">
      <formula>#REF!</formula>
    </cfRule>
    <cfRule type="cellIs" dxfId="1136" priority="4954" stopIfTrue="1" operator="equal">
      <formula>#REF!</formula>
    </cfRule>
    <cfRule type="cellIs" dxfId="1135" priority="4953" stopIfTrue="1" operator="between">
      <formula>#REF!</formula>
      <formula>#REF!</formula>
    </cfRule>
    <cfRule type="cellIs" dxfId="1134" priority="4952" stopIfTrue="1" operator="equal">
      <formula>#REF!</formula>
    </cfRule>
    <cfRule type="cellIs" dxfId="1133" priority="5162" stopIfTrue="1" operator="equal">
      <formula>#REF!</formula>
    </cfRule>
    <cfRule type="cellIs" dxfId="1132" priority="4533" stopIfTrue="1" operator="between">
      <formula>#REF!</formula>
      <formula>#REF!</formula>
    </cfRule>
    <cfRule type="cellIs" dxfId="1131" priority="5163" stopIfTrue="1" operator="between">
      <formula>#REF!</formula>
      <formula>#REF!</formula>
    </cfRule>
    <cfRule type="cellIs" dxfId="1130" priority="4532" stopIfTrue="1" operator="equal">
      <formula>#REF!</formula>
    </cfRule>
    <cfRule type="cellIs" dxfId="1129" priority="4531" stopIfTrue="1" operator="equal">
      <formula>#REF!</formula>
    </cfRule>
    <cfRule type="cellIs" dxfId="1128" priority="4530" stopIfTrue="1" operator="between">
      <formula>#REF!</formula>
      <formula>#REF!</formula>
    </cfRule>
    <cfRule type="cellIs" dxfId="1127" priority="4842" stopIfTrue="1" operator="between">
      <formula>#REF!</formula>
      <formula>#REF!</formula>
    </cfRule>
    <cfRule type="cellIs" dxfId="1126" priority="4841" stopIfTrue="1" operator="equal">
      <formula>#REF!</formula>
    </cfRule>
    <cfRule type="cellIs" dxfId="1125" priority="4839" stopIfTrue="1" operator="between">
      <formula>#REF!</formula>
      <formula>#REF!</formula>
    </cfRule>
    <cfRule type="cellIs" dxfId="1124" priority="4838" stopIfTrue="1" operator="equal">
      <formula>#REF!</formula>
    </cfRule>
    <cfRule type="cellIs" dxfId="1123" priority="4837" stopIfTrue="1" operator="equal">
      <formula>#REF!</formula>
    </cfRule>
    <cfRule type="cellIs" dxfId="1122" priority="4836" stopIfTrue="1" operator="between">
      <formula>#REF!</formula>
      <formula>#REF!</formula>
    </cfRule>
    <cfRule type="cellIs" dxfId="1121" priority="4835" stopIfTrue="1" operator="equal">
      <formula>#REF!</formula>
    </cfRule>
    <cfRule type="cellIs" dxfId="1120" priority="4743" stopIfTrue="1" operator="between">
      <formula>#REF!</formula>
      <formula>#REF!</formula>
    </cfRule>
    <cfRule type="cellIs" dxfId="1119" priority="4742" stopIfTrue="1" operator="equal">
      <formula>#REF!</formula>
    </cfRule>
    <cfRule type="cellIs" dxfId="1118" priority="4740" stopIfTrue="1" operator="between">
      <formula>#REF!</formula>
      <formula>#REF!</formula>
    </cfRule>
    <cfRule type="cellIs" dxfId="1117" priority="4739" stopIfTrue="1" operator="equal">
      <formula>#REF!</formula>
    </cfRule>
    <cfRule type="cellIs" dxfId="1116" priority="4738" stopIfTrue="1" operator="equal">
      <formula>#REF!</formula>
    </cfRule>
    <cfRule type="cellIs" dxfId="1115" priority="4737" stopIfTrue="1" operator="between">
      <formula>#REF!</formula>
      <formula>#REF!</formula>
    </cfRule>
    <cfRule type="cellIs" dxfId="1114" priority="4529" stopIfTrue="1" operator="equal">
      <formula>#REF!</formula>
    </cfRule>
    <cfRule type="cellIs" dxfId="1113" priority="5166" stopIfTrue="1" operator="between">
      <formula>#REF!</formula>
      <formula>#REF!</formula>
    </cfRule>
    <cfRule type="cellIs" dxfId="1112" priority="5058" stopIfTrue="1" operator="between">
      <formula>#REF!</formula>
      <formula>#REF!</formula>
    </cfRule>
    <cfRule type="cellIs" dxfId="1111" priority="5055" stopIfTrue="1" operator="between">
      <formula>#REF!</formula>
      <formula>#REF!</formula>
    </cfRule>
    <cfRule type="cellIs" dxfId="1110" priority="5054" stopIfTrue="1" operator="equal">
      <formula>#REF!</formula>
    </cfRule>
    <cfRule type="cellIs" dxfId="1109" priority="5053" stopIfTrue="1" operator="equal">
      <formula>#REF!</formula>
    </cfRule>
    <cfRule type="cellIs" dxfId="1108" priority="5052" stopIfTrue="1" operator="between">
      <formula>#REF!</formula>
      <formula>#REF!</formula>
    </cfRule>
    <cfRule type="cellIs" dxfId="1107" priority="4736" stopIfTrue="1" operator="equal">
      <formula>#REF!</formula>
    </cfRule>
    <cfRule type="cellIs" dxfId="1106" priority="5160" stopIfTrue="1" operator="between">
      <formula>#REF!</formula>
      <formula>#REF!</formula>
    </cfRule>
    <cfRule type="cellIs" dxfId="1105" priority="4535" stopIfTrue="1" operator="equal">
      <formula>#REF!</formula>
    </cfRule>
    <cfRule type="cellIs" dxfId="1104" priority="4536" stopIfTrue="1" operator="between">
      <formula>#REF!</formula>
      <formula>#REF!</formula>
    </cfRule>
    <cfRule type="cellIs" dxfId="1103" priority="5161" stopIfTrue="1" operator="equal">
      <formula>#REF!</formula>
    </cfRule>
  </conditionalFormatting>
  <conditionalFormatting sqref="CZ144:CZ173">
    <cfRule type="cellIs" dxfId="1102" priority="4272" stopIfTrue="1" operator="between">
      <formula>#REF!</formula>
      <formula>#REF!</formula>
    </cfRule>
    <cfRule type="cellIs" dxfId="1101" priority="3948" stopIfTrue="1" operator="between">
      <formula>#REF!</formula>
      <formula>#REF!</formula>
    </cfRule>
    <cfRule type="cellIs" dxfId="1100" priority="3739" stopIfTrue="1" operator="equal">
      <formula>#REF!</formula>
    </cfRule>
    <cfRule type="cellIs" dxfId="1099" priority="3950" stopIfTrue="1" operator="equal">
      <formula>#REF!</formula>
    </cfRule>
    <cfRule type="cellIs" dxfId="1098" priority="3738" stopIfTrue="1" operator="between">
      <formula>#REF!</formula>
      <formula>#REF!</formula>
    </cfRule>
    <cfRule type="cellIs" dxfId="1097" priority="3951" stopIfTrue="1" operator="between">
      <formula>#REF!</formula>
      <formula>#REF!</formula>
    </cfRule>
    <cfRule type="cellIs" dxfId="1096" priority="4161" stopIfTrue="1" operator="between">
      <formula>#REF!</formula>
      <formula>#REF!</formula>
    </cfRule>
    <cfRule type="cellIs" dxfId="1095" priority="3848" stopIfTrue="1" operator="equal">
      <formula>#REF!</formula>
    </cfRule>
    <cfRule type="cellIs" dxfId="1094" priority="3737" stopIfTrue="1" operator="equal">
      <formula>#REF!</formula>
    </cfRule>
    <cfRule type="cellIs" dxfId="1093" priority="3743" stopIfTrue="1" operator="equal">
      <formula>#REF!</formula>
    </cfRule>
    <cfRule type="cellIs" dxfId="1092" priority="4167" stopIfTrue="1" operator="between">
      <formula>#REF!</formula>
      <formula>#REF!</formula>
    </cfRule>
    <cfRule type="cellIs" dxfId="1091" priority="4275" stopIfTrue="1" operator="between">
      <formula>#REF!</formula>
      <formula>#REF!</formula>
    </cfRule>
    <cfRule type="cellIs" dxfId="1090" priority="4274" stopIfTrue="1" operator="equal">
      <formula>#REF!</formula>
    </cfRule>
    <cfRule type="cellIs" dxfId="1089" priority="4061" stopIfTrue="1" operator="equal">
      <formula>#REF!</formula>
    </cfRule>
    <cfRule type="cellIs" dxfId="1088" priority="4271" stopIfTrue="1" operator="equal">
      <formula>#REF!</formula>
    </cfRule>
    <cfRule type="cellIs" dxfId="1087" priority="4160" stopIfTrue="1" operator="equal">
      <formula>#REF!</formula>
    </cfRule>
    <cfRule type="cellIs" dxfId="1086" priority="4270" stopIfTrue="1" operator="equal">
      <formula>#REF!</formula>
    </cfRule>
    <cfRule type="cellIs" dxfId="1085" priority="4269" stopIfTrue="1" operator="between">
      <formula>#REF!</formula>
      <formula>#REF!</formula>
    </cfRule>
    <cfRule type="cellIs" dxfId="1084" priority="4166" stopIfTrue="1" operator="equal">
      <formula>#REF!</formula>
    </cfRule>
    <cfRule type="cellIs" dxfId="1083" priority="3744" stopIfTrue="1" operator="between">
      <formula>#REF!</formula>
      <formula>#REF!</formula>
    </cfRule>
    <cfRule type="cellIs" dxfId="1082" priority="4268" stopIfTrue="1" operator="equal">
      <formula>#REF!</formula>
    </cfRule>
    <cfRule type="cellIs" dxfId="1081" priority="3944" stopIfTrue="1" operator="equal">
      <formula>#REF!</formula>
    </cfRule>
    <cfRule type="cellIs" dxfId="1080" priority="3642" stopIfTrue="1" operator="between">
      <formula>#REF!</formula>
      <formula>#REF!</formula>
    </cfRule>
    <cfRule type="cellIs" dxfId="1079" priority="3945" stopIfTrue="1" operator="between">
      <formula>#REF!</formula>
      <formula>#REF!</formula>
    </cfRule>
    <cfRule type="cellIs" dxfId="1078" priority="3946" stopIfTrue="1" operator="equal">
      <formula>#REF!</formula>
    </cfRule>
    <cfRule type="cellIs" dxfId="1077" priority="3947" stopIfTrue="1" operator="equal">
      <formula>#REF!</formula>
    </cfRule>
    <cfRule type="cellIs" dxfId="1076" priority="3740" stopIfTrue="1" operator="equal">
      <formula>#REF!</formula>
    </cfRule>
    <cfRule type="cellIs" dxfId="1075" priority="3741" stopIfTrue="1" operator="between">
      <formula>#REF!</formula>
      <formula>#REF!</formula>
    </cfRule>
    <cfRule type="cellIs" dxfId="1074" priority="3641" stopIfTrue="1" operator="equal">
      <formula>#REF!</formula>
    </cfRule>
    <cfRule type="cellIs" dxfId="1073" priority="3849" stopIfTrue="1" operator="between">
      <formula>#REF!</formula>
      <formula>#REF!</formula>
    </cfRule>
    <cfRule type="cellIs" dxfId="1072" priority="3851" stopIfTrue="1" operator="equal">
      <formula>#REF!</formula>
    </cfRule>
    <cfRule type="cellIs" dxfId="1071" priority="3852" stopIfTrue="1" operator="between">
      <formula>#REF!</formula>
      <formula>#REF!</formula>
    </cfRule>
    <cfRule type="cellIs" dxfId="1070" priority="3639" stopIfTrue="1" operator="between">
      <formula>#REF!</formula>
      <formula>#REF!</formula>
    </cfRule>
    <cfRule type="cellIs" dxfId="1069" priority="3845" stopIfTrue="1" operator="equal">
      <formula>#REF!</formula>
    </cfRule>
    <cfRule type="cellIs" dxfId="1068" priority="4164" stopIfTrue="1" operator="between">
      <formula>#REF!</formula>
      <formula>#REF!</formula>
    </cfRule>
    <cfRule type="cellIs" dxfId="1067" priority="4163" stopIfTrue="1" operator="equal">
      <formula>#REF!</formula>
    </cfRule>
    <cfRule type="cellIs" dxfId="1066" priority="3846" stopIfTrue="1" operator="between">
      <formula>#REF!</formula>
      <formula>#REF!</formula>
    </cfRule>
    <cfRule type="cellIs" dxfId="1065" priority="4068" stopIfTrue="1" operator="between">
      <formula>#REF!</formula>
      <formula>#REF!</formula>
    </cfRule>
    <cfRule type="cellIs" dxfId="1064" priority="3847" stopIfTrue="1" operator="equal">
      <formula>#REF!</formula>
    </cfRule>
    <cfRule type="cellIs" dxfId="1063" priority="3640" stopIfTrue="1" operator="equal">
      <formula>#REF!</formula>
    </cfRule>
    <cfRule type="cellIs" dxfId="1062" priority="4067" stopIfTrue="1" operator="equal">
      <formula>#REF!</formula>
    </cfRule>
    <cfRule type="cellIs" dxfId="1061" priority="3638" stopIfTrue="1" operator="equal">
      <formula>#REF!</formula>
    </cfRule>
    <cfRule type="cellIs" dxfId="1060" priority="4065" stopIfTrue="1" operator="between">
      <formula>#REF!</formula>
      <formula>#REF!</formula>
    </cfRule>
    <cfRule type="cellIs" dxfId="1059" priority="3644" stopIfTrue="1" operator="equal">
      <formula>#REF!</formula>
    </cfRule>
    <cfRule type="cellIs" dxfId="1058" priority="4064" stopIfTrue="1" operator="equal">
      <formula>#REF!</formula>
    </cfRule>
    <cfRule type="cellIs" dxfId="1057" priority="3645" stopIfTrue="1" operator="between">
      <formula>#REF!</formula>
      <formula>#REF!</formula>
    </cfRule>
    <cfRule type="cellIs" dxfId="1056" priority="4063" stopIfTrue="1" operator="equal">
      <formula>#REF!</formula>
    </cfRule>
    <cfRule type="cellIs" dxfId="1055" priority="4162" stopIfTrue="1" operator="equal">
      <formula>#REF!</formula>
    </cfRule>
    <cfRule type="cellIs" dxfId="1054" priority="4062" stopIfTrue="1" operator="between">
      <formula>#REF!</formula>
      <formula>#REF!</formula>
    </cfRule>
  </conditionalFormatting>
  <conditionalFormatting sqref="CZ174:CZ199">
    <cfRule type="cellIs" dxfId="1053" priority="495" stopIfTrue="1" operator="between">
      <formula>#REF!</formula>
      <formula>#REF!</formula>
    </cfRule>
    <cfRule type="cellIs" dxfId="1052" priority="371" stopIfTrue="1" operator="equal">
      <formula>#REF!</formula>
    </cfRule>
    <cfRule type="cellIs" dxfId="1051" priority="372" stopIfTrue="1" operator="between">
      <formula>#REF!</formula>
      <formula>#REF!</formula>
    </cfRule>
    <cfRule type="cellIs" dxfId="1050" priority="373" stopIfTrue="1" operator="equal">
      <formula>#REF!</formula>
    </cfRule>
    <cfRule type="cellIs" dxfId="1049" priority="587" stopIfTrue="1" operator="equal">
      <formula>#REF!</formula>
    </cfRule>
    <cfRule type="cellIs" dxfId="1048" priority="374" stopIfTrue="1" operator="equal">
      <formula>#REF!</formula>
    </cfRule>
    <cfRule type="cellIs" dxfId="1047" priority="697" stopIfTrue="1" operator="equal">
      <formula>#REF!</formula>
    </cfRule>
    <cfRule type="cellIs" dxfId="1046" priority="377" stopIfTrue="1" operator="equal">
      <formula>#REF!</formula>
    </cfRule>
    <cfRule type="cellIs" dxfId="1045" priority="375" stopIfTrue="1" operator="between">
      <formula>#REF!</formula>
      <formula>#REF!</formula>
    </cfRule>
    <cfRule type="cellIs" dxfId="1044" priority="588" stopIfTrue="1" operator="between">
      <formula>#REF!</formula>
      <formula>#REF!</formula>
    </cfRule>
    <cfRule type="cellIs" dxfId="1043" priority="378" stopIfTrue="1" operator="between">
      <formula>#REF!</formula>
      <formula>#REF!</formula>
    </cfRule>
    <cfRule type="cellIs" dxfId="1042" priority="702" stopIfTrue="1" operator="between">
      <formula>#REF!</formula>
      <formula>#REF!</formula>
    </cfRule>
    <cfRule type="cellIs" dxfId="1041" priority="589" stopIfTrue="1" operator="equal">
      <formula>#REF!</formula>
    </cfRule>
    <cfRule type="cellIs" dxfId="1040" priority="590" stopIfTrue="1" operator="equal">
      <formula>#REF!</formula>
    </cfRule>
    <cfRule type="cellIs" dxfId="1039" priority="488" stopIfTrue="1" operator="equal">
      <formula>#REF!</formula>
    </cfRule>
    <cfRule type="cellIs" dxfId="1038" priority="489" stopIfTrue="1" operator="between">
      <formula>#REF!</formula>
      <formula>#REF!</formula>
    </cfRule>
    <cfRule type="cellIs" dxfId="1037" priority="490" stopIfTrue="1" operator="equal">
      <formula>#REF!</formula>
    </cfRule>
    <cfRule type="cellIs" dxfId="1036" priority="491" stopIfTrue="1" operator="equal">
      <formula>#REF!</formula>
    </cfRule>
    <cfRule type="cellIs" dxfId="1035" priority="492" stopIfTrue="1" operator="between">
      <formula>#REF!</formula>
      <formula>#REF!</formula>
    </cfRule>
    <cfRule type="cellIs" dxfId="1034" priority="701" stopIfTrue="1" operator="equal">
      <formula>#REF!</formula>
    </cfRule>
    <cfRule type="cellIs" dxfId="1033" priority="494" stopIfTrue="1" operator="equal">
      <formula>#REF!</formula>
    </cfRule>
    <cfRule type="cellIs" dxfId="1032" priority="591" stopIfTrue="1" operator="between">
      <formula>#REF!</formula>
      <formula>#REF!</formula>
    </cfRule>
    <cfRule type="cellIs" dxfId="1031" priority="593" stopIfTrue="1" operator="equal">
      <formula>#REF!</formula>
    </cfRule>
    <cfRule type="cellIs" dxfId="1030" priority="594" stopIfTrue="1" operator="between">
      <formula>#REF!</formula>
      <formula>#REF!</formula>
    </cfRule>
    <cfRule type="cellIs" dxfId="1029" priority="699" stopIfTrue="1" operator="between">
      <formula>#REF!</formula>
      <formula>#REF!</formula>
    </cfRule>
    <cfRule type="cellIs" dxfId="1028" priority="274" stopIfTrue="1" operator="equal">
      <formula>#REF!</formula>
    </cfRule>
    <cfRule type="cellIs" dxfId="1027" priority="695" stopIfTrue="1" operator="equal">
      <formula>#REF!</formula>
    </cfRule>
    <cfRule type="cellIs" dxfId="1026" priority="696" stopIfTrue="1" operator="between">
      <formula>#REF!</formula>
      <formula>#REF!</formula>
    </cfRule>
    <cfRule type="cellIs" dxfId="1025" priority="166" stopIfTrue="1" operator="equal">
      <formula>#REF!</formula>
    </cfRule>
    <cfRule type="cellIs" dxfId="1024" priority="165" stopIfTrue="1" operator="between">
      <formula>#REF!</formula>
      <formula>#REF!</formula>
    </cfRule>
    <cfRule type="cellIs" dxfId="1023" priority="72" stopIfTrue="1" operator="between">
      <formula>#REF!</formula>
      <formula>#REF!</formula>
    </cfRule>
    <cfRule type="cellIs" dxfId="1022" priority="71" stopIfTrue="1" operator="equal">
      <formula>#REF!</formula>
    </cfRule>
    <cfRule type="cellIs" dxfId="1021" priority="69" stopIfTrue="1" operator="between">
      <formula>#REF!</formula>
      <formula>#REF!</formula>
    </cfRule>
    <cfRule type="cellIs" dxfId="1020" priority="68" stopIfTrue="1" operator="equal">
      <formula>#REF!</formula>
    </cfRule>
    <cfRule type="cellIs" dxfId="1019" priority="67" stopIfTrue="1" operator="equal">
      <formula>#REF!</formula>
    </cfRule>
    <cfRule type="cellIs" dxfId="1018" priority="66" stopIfTrue="1" operator="between">
      <formula>#REF!</formula>
      <formula>#REF!</formula>
    </cfRule>
    <cfRule type="cellIs" dxfId="1017" priority="170" stopIfTrue="1" operator="equal">
      <formula>#REF!</formula>
    </cfRule>
    <cfRule type="cellIs" dxfId="1016" priority="272" stopIfTrue="1" operator="equal">
      <formula>#REF!</formula>
    </cfRule>
    <cfRule type="cellIs" dxfId="1015" priority="168" stopIfTrue="1" operator="between">
      <formula>#REF!</formula>
      <formula>#REF!</formula>
    </cfRule>
    <cfRule type="cellIs" dxfId="1014" priority="167" stopIfTrue="1" operator="equal">
      <formula>#REF!</formula>
    </cfRule>
    <cfRule type="cellIs" dxfId="1013" priority="273" stopIfTrue="1" operator="between">
      <formula>#REF!</formula>
      <formula>#REF!</formula>
    </cfRule>
    <cfRule type="cellIs" dxfId="1012" priority="65" stopIfTrue="1" operator="equal">
      <formula>#REF!</formula>
    </cfRule>
    <cfRule type="cellIs" dxfId="1011" priority="164" stopIfTrue="1" operator="equal">
      <formula>#REF!</formula>
    </cfRule>
    <cfRule type="cellIs" dxfId="1010" priority="275" stopIfTrue="1" operator="equal">
      <formula>#REF!</formula>
    </cfRule>
    <cfRule type="cellIs" dxfId="1009" priority="171" stopIfTrue="1" operator="between">
      <formula>#REF!</formula>
      <formula>#REF!</formula>
    </cfRule>
    <cfRule type="cellIs" dxfId="1008" priority="276" stopIfTrue="1" operator="between">
      <formula>#REF!</formula>
      <formula>#REF!</formula>
    </cfRule>
    <cfRule type="cellIs" dxfId="1007" priority="278" stopIfTrue="1" operator="equal">
      <formula>#REF!</formula>
    </cfRule>
    <cfRule type="cellIs" dxfId="1006" priority="279" stopIfTrue="1" operator="between">
      <formula>#REF!</formula>
      <formula>#REF!</formula>
    </cfRule>
    <cfRule type="cellIs" dxfId="1005" priority="698" stopIfTrue="1" operator="equal">
      <formula>#REF!</formula>
    </cfRule>
  </conditionalFormatting>
  <conditionalFormatting sqref="CZ125:DA129">
    <cfRule type="cellIs" dxfId="1004" priority="7657" stopIfTrue="1" operator="equal">
      <formula>#REF!</formula>
    </cfRule>
    <cfRule type="cellIs" dxfId="1003" priority="7658" stopIfTrue="1" operator="equal">
      <formula>#REF!</formula>
    </cfRule>
  </conditionalFormatting>
  <conditionalFormatting sqref="CZ126:DA129">
    <cfRule type="cellIs" dxfId="1002" priority="7442" stopIfTrue="1" operator="equal">
      <formula>#REF!</formula>
    </cfRule>
    <cfRule type="cellIs" dxfId="1001" priority="7235" stopIfTrue="1" operator="equal">
      <formula>#REF!</formula>
    </cfRule>
    <cfRule type="cellIs" dxfId="1000" priority="7441" stopIfTrue="1" operator="equal">
      <formula>#REF!</formula>
    </cfRule>
    <cfRule type="cellIs" dxfId="999" priority="7234" stopIfTrue="1" operator="equal">
      <formula>#REF!</formula>
    </cfRule>
    <cfRule type="cellIs" dxfId="998" priority="7333" stopIfTrue="1" operator="equal">
      <formula>#REF!</formula>
    </cfRule>
    <cfRule type="cellIs" dxfId="997" priority="7334" stopIfTrue="1" operator="equal">
      <formula>#REF!</formula>
    </cfRule>
  </conditionalFormatting>
  <conditionalFormatting sqref="CZ130:DA130">
    <cfRule type="cellIs" dxfId="996" priority="6425" stopIfTrue="1" operator="equal">
      <formula>#REF!</formula>
    </cfRule>
    <cfRule type="cellIs" dxfId="995" priority="6532" stopIfTrue="1" operator="equal">
      <formula>#REF!</formula>
    </cfRule>
    <cfRule type="cellIs" dxfId="994" priority="6533" stopIfTrue="1" operator="equal">
      <formula>#REF!</formula>
    </cfRule>
    <cfRule type="cellIs" dxfId="993" priority="6746" stopIfTrue="1" operator="equal">
      <formula>#REF!</formula>
    </cfRule>
    <cfRule type="cellIs" dxfId="992" priority="6745" stopIfTrue="1" operator="equal">
      <formula>#REF!</formula>
    </cfRule>
    <cfRule type="cellIs" dxfId="991" priority="6326" stopIfTrue="1" operator="equal">
      <formula>#REF!</formula>
    </cfRule>
    <cfRule type="cellIs" dxfId="990" priority="6325" stopIfTrue="1" operator="equal">
      <formula>#REF!</formula>
    </cfRule>
    <cfRule type="cellIs" dxfId="989" priority="6424" stopIfTrue="1" operator="equal">
      <formula>#REF!</formula>
    </cfRule>
  </conditionalFormatting>
  <conditionalFormatting sqref="CZ131:DA141">
    <cfRule type="cellIs" dxfId="988" priority="5623" stopIfTrue="1" operator="equal">
      <formula>#REF!</formula>
    </cfRule>
    <cfRule type="cellIs" dxfId="987" priority="5624" stopIfTrue="1" operator="equal">
      <formula>#REF!</formula>
    </cfRule>
    <cfRule type="cellIs" dxfId="986" priority="5416" stopIfTrue="1" operator="equal">
      <formula>#REF!</formula>
    </cfRule>
    <cfRule type="cellIs" dxfId="985" priority="5516" stopIfTrue="1" operator="equal">
      <formula>#REF!</formula>
    </cfRule>
    <cfRule type="cellIs" dxfId="984" priority="5515" stopIfTrue="1" operator="equal">
      <formula>#REF!</formula>
    </cfRule>
    <cfRule type="cellIs" dxfId="983" priority="5840" stopIfTrue="1" operator="equal">
      <formula>#REF!</formula>
    </cfRule>
    <cfRule type="cellIs" dxfId="982" priority="5417" stopIfTrue="1" operator="equal">
      <formula>#REF!</formula>
    </cfRule>
    <cfRule type="cellIs" dxfId="981" priority="5839" stopIfTrue="1" operator="equal">
      <formula>#REF!</formula>
    </cfRule>
  </conditionalFormatting>
  <conditionalFormatting sqref="CZ142:DA143">
    <cfRule type="cellIs" dxfId="980" priority="4948" stopIfTrue="1" operator="equal">
      <formula>#REF!</formula>
    </cfRule>
    <cfRule type="cellIs" dxfId="979" priority="4732" stopIfTrue="1" operator="equal">
      <formula>#REF!</formula>
    </cfRule>
    <cfRule type="cellIs" dxfId="978" priority="4624" stopIfTrue="1" operator="equal">
      <formula>#REF!</formula>
    </cfRule>
    <cfRule type="cellIs" dxfId="977" priority="4525" stopIfTrue="1" operator="equal">
      <formula>#REF!</formula>
    </cfRule>
  </conditionalFormatting>
  <conditionalFormatting sqref="CZ144:DA173">
    <cfRule type="cellIs" dxfId="976" priority="3841" stopIfTrue="1" operator="equal">
      <formula>#REF!</formula>
    </cfRule>
    <cfRule type="cellIs" dxfId="975" priority="3733" stopIfTrue="1" operator="equal">
      <formula>#REF!</formula>
    </cfRule>
    <cfRule type="cellIs" dxfId="974" priority="3634" stopIfTrue="1" operator="equal">
      <formula>#REF!</formula>
    </cfRule>
    <cfRule type="cellIs" dxfId="973" priority="4057" stopIfTrue="1" operator="equal">
      <formula>#REF!</formula>
    </cfRule>
  </conditionalFormatting>
  <conditionalFormatting sqref="CZ174:DA199">
    <cfRule type="cellIs" dxfId="972" priority="268" stopIfTrue="1" operator="equal">
      <formula>#REF!</formula>
    </cfRule>
    <cfRule type="cellIs" dxfId="971" priority="61" stopIfTrue="1" operator="equal">
      <formula>#REF!</formula>
    </cfRule>
    <cfRule type="cellIs" dxfId="970" priority="484" stopIfTrue="1" operator="equal">
      <formula>#REF!</formula>
    </cfRule>
    <cfRule type="cellIs" dxfId="969" priority="160" stopIfTrue="1" operator="equal">
      <formula>#REF!</formula>
    </cfRule>
  </conditionalFormatting>
  <conditionalFormatting sqref="DA125:DA129">
    <cfRule type="cellIs" dxfId="968" priority="7655" stopIfTrue="1" operator="equal">
      <formula>#REF!</formula>
    </cfRule>
    <cfRule type="cellIs" dxfId="967" priority="7651" stopIfTrue="1" operator="equal">
      <formula>#REF!</formula>
    </cfRule>
    <cfRule type="cellIs" dxfId="966" priority="7654" stopIfTrue="1" operator="equal">
      <formula>#REF!</formula>
    </cfRule>
    <cfRule type="cellIs" dxfId="965" priority="7653" stopIfTrue="1" operator="between">
      <formula>#REF!</formula>
      <formula>#REF!</formula>
    </cfRule>
    <cfRule type="cellIs" dxfId="964" priority="7652" stopIfTrue="1" operator="equal">
      <formula>#REF!</formula>
    </cfRule>
    <cfRule type="cellIs" dxfId="963" priority="7659" stopIfTrue="1" operator="between">
      <formula>#REF!</formula>
      <formula>#REF!</formula>
    </cfRule>
    <cfRule type="cellIs" dxfId="962" priority="7656" stopIfTrue="1" operator="between">
      <formula>#REF!</formula>
      <formula>#REF!</formula>
    </cfRule>
  </conditionalFormatting>
  <conditionalFormatting sqref="DA126:DA129">
    <cfRule type="cellIs" dxfId="961" priority="7335" stopIfTrue="1" operator="between">
      <formula>#REF!</formula>
      <formula>#REF!</formula>
    </cfRule>
    <cfRule type="cellIs" dxfId="960" priority="7231" stopIfTrue="1" operator="equal">
      <formula>#REF!</formula>
    </cfRule>
    <cfRule type="cellIs" dxfId="959" priority="7438" stopIfTrue="1" operator="equal">
      <formula>#REF!</formula>
    </cfRule>
    <cfRule type="cellIs" dxfId="958" priority="7443" stopIfTrue="1" operator="between">
      <formula>#REF!</formula>
      <formula>#REF!</formula>
    </cfRule>
    <cfRule type="cellIs" dxfId="957" priority="7233" stopIfTrue="1" operator="between">
      <formula>#REF!</formula>
      <formula>#REF!</formula>
    </cfRule>
    <cfRule type="cellIs" dxfId="956" priority="7232" stopIfTrue="1" operator="equal">
      <formula>#REF!</formula>
    </cfRule>
    <cfRule type="cellIs" dxfId="955" priority="7439" stopIfTrue="1" operator="equal">
      <formula>#REF!</formula>
    </cfRule>
    <cfRule type="cellIs" dxfId="954" priority="7230" stopIfTrue="1" operator="between">
      <formula>#REF!</formula>
      <formula>#REF!</formula>
    </cfRule>
    <cfRule type="cellIs" dxfId="953" priority="7332" stopIfTrue="1" operator="between">
      <formula>#REF!</formula>
      <formula>#REF!</formula>
    </cfRule>
    <cfRule type="cellIs" dxfId="952" priority="7331" stopIfTrue="1" operator="equal">
      <formula>#REF!</formula>
    </cfRule>
    <cfRule type="cellIs" dxfId="951" priority="7330" stopIfTrue="1" operator="equal">
      <formula>#REF!</formula>
    </cfRule>
    <cfRule type="cellIs" dxfId="950" priority="7329" stopIfTrue="1" operator="between">
      <formula>#REF!</formula>
      <formula>#REF!</formula>
    </cfRule>
    <cfRule type="cellIs" dxfId="949" priority="7236" stopIfTrue="1" operator="between">
      <formula>#REF!</formula>
      <formula>#REF!</formula>
    </cfRule>
    <cfRule type="cellIs" dxfId="948" priority="7437" stopIfTrue="1" operator="between">
      <formula>#REF!</formula>
      <formula>#REF!</formula>
    </cfRule>
    <cfRule type="cellIs" dxfId="947" priority="7440" stopIfTrue="1" operator="between">
      <formula>#REF!</formula>
      <formula>#REF!</formula>
    </cfRule>
  </conditionalFormatting>
  <conditionalFormatting sqref="DA126:DA130">
    <cfRule type="cellIs" dxfId="946" priority="6748" stopIfTrue="1" operator="equal">
      <formula>#REF!</formula>
    </cfRule>
    <cfRule type="cellIs" dxfId="945" priority="6749" stopIfTrue="1" operator="equal">
      <formula>#REF!</formula>
    </cfRule>
  </conditionalFormatting>
  <conditionalFormatting sqref="DA130">
    <cfRule type="cellIs" dxfId="944" priority="6327" stopIfTrue="1" operator="between">
      <formula>#REF!</formula>
      <formula>#REF!</formula>
    </cfRule>
    <cfRule type="cellIs" dxfId="943" priority="6747" stopIfTrue="1" operator="between">
      <formula>#REF!</formula>
      <formula>#REF!</formula>
    </cfRule>
    <cfRule type="cellIs" dxfId="942" priority="6321" stopIfTrue="1" operator="between">
      <formula>#REF!</formula>
      <formula>#REF!</formula>
    </cfRule>
    <cfRule type="cellIs" dxfId="941" priority="6322" stopIfTrue="1" operator="equal">
      <formula>#REF!</formula>
    </cfRule>
    <cfRule type="cellIs" dxfId="940" priority="6426" stopIfTrue="1" operator="between">
      <formula>#REF!</formula>
      <formula>#REF!</formula>
    </cfRule>
    <cfRule type="cellIs" dxfId="939" priority="6534" stopIfTrue="1" operator="between">
      <formula>#REF!</formula>
      <formula>#REF!</formula>
    </cfRule>
    <cfRule type="cellIs" dxfId="938" priority="6531" stopIfTrue="1" operator="between">
      <formula>#REF!</formula>
      <formula>#REF!</formula>
    </cfRule>
    <cfRule type="cellIs" dxfId="937" priority="6744" stopIfTrue="1" operator="between">
      <formula>#REF!</formula>
      <formula>#REF!</formula>
    </cfRule>
    <cfRule type="cellIs" dxfId="936" priority="6420" stopIfTrue="1" operator="between">
      <formula>#REF!</formula>
      <formula>#REF!</formula>
    </cfRule>
    <cfRule type="cellIs" dxfId="935" priority="6530" stopIfTrue="1" operator="equal">
      <formula>#REF!</formula>
    </cfRule>
    <cfRule type="cellIs" dxfId="934" priority="6421" stopIfTrue="1" operator="equal">
      <formula>#REF!</formula>
    </cfRule>
    <cfRule type="cellIs" dxfId="933" priority="6323" stopIfTrue="1" operator="equal">
      <formula>#REF!</formula>
    </cfRule>
    <cfRule type="cellIs" dxfId="932" priority="6324" stopIfTrue="1" operator="between">
      <formula>#REF!</formula>
      <formula>#REF!</formula>
    </cfRule>
    <cfRule type="cellIs" dxfId="931" priority="6529" stopIfTrue="1" operator="equal">
      <formula>#REF!</formula>
    </cfRule>
    <cfRule type="cellIs" dxfId="930" priority="6528" stopIfTrue="1" operator="between">
      <formula>#REF!</formula>
      <formula>#REF!</formula>
    </cfRule>
    <cfRule type="cellIs" dxfId="929" priority="6422" stopIfTrue="1" operator="equal">
      <formula>#REF!</formula>
    </cfRule>
    <cfRule type="cellIs" dxfId="928" priority="6750" stopIfTrue="1" operator="between">
      <formula>#REF!</formula>
      <formula>#REF!</formula>
    </cfRule>
    <cfRule type="cellIs" dxfId="927" priority="6423" stopIfTrue="1" operator="between">
      <formula>#REF!</formula>
      <formula>#REF!</formula>
    </cfRule>
  </conditionalFormatting>
  <conditionalFormatting sqref="DA131:DA141">
    <cfRule type="cellIs" dxfId="926" priority="5625" stopIfTrue="1" operator="between">
      <formula>#REF!</formula>
      <formula>#REF!</formula>
    </cfRule>
    <cfRule type="cellIs" dxfId="925" priority="5418" stopIfTrue="1" operator="between">
      <formula>#REF!</formula>
      <formula>#REF!</formula>
    </cfRule>
    <cfRule type="cellIs" dxfId="924" priority="5619" stopIfTrue="1" operator="between">
      <formula>#REF!</formula>
      <formula>#REF!</formula>
    </cfRule>
    <cfRule type="cellIs" dxfId="923" priority="5415" stopIfTrue="1" operator="between">
      <formula>#REF!</formula>
      <formula>#REF!</formula>
    </cfRule>
    <cfRule type="cellIs" dxfId="922" priority="5414" stopIfTrue="1" operator="equal">
      <formula>#REF!</formula>
    </cfRule>
    <cfRule type="cellIs" dxfId="921" priority="5413" stopIfTrue="1" operator="equal">
      <formula>#REF!</formula>
    </cfRule>
    <cfRule type="cellIs" dxfId="920" priority="5412" stopIfTrue="1" operator="between">
      <formula>#REF!</formula>
      <formula>#REF!</formula>
    </cfRule>
    <cfRule type="cellIs" dxfId="919" priority="5622" stopIfTrue="1" operator="between">
      <formula>#REF!</formula>
      <formula>#REF!</formula>
    </cfRule>
    <cfRule type="cellIs" dxfId="918" priority="5841" stopIfTrue="1" operator="between">
      <formula>#REF!</formula>
      <formula>#REF!</formula>
    </cfRule>
    <cfRule type="cellIs" dxfId="917" priority="5838" stopIfTrue="1" operator="between">
      <formula>#REF!</formula>
      <formula>#REF!</formula>
    </cfRule>
    <cfRule type="cellIs" dxfId="916" priority="5837" stopIfTrue="1" operator="equal">
      <formula>#REF!</formula>
    </cfRule>
    <cfRule type="cellIs" dxfId="915" priority="5836" stopIfTrue="1" operator="equal">
      <formula>#REF!</formula>
    </cfRule>
    <cfRule type="cellIs" dxfId="914" priority="5621" stopIfTrue="1" operator="equal">
      <formula>#REF!</formula>
    </cfRule>
    <cfRule type="cellIs" dxfId="913" priority="5835" stopIfTrue="1" operator="between">
      <formula>#REF!</formula>
      <formula>#REF!</formula>
    </cfRule>
    <cfRule type="cellIs" dxfId="912" priority="5620" stopIfTrue="1" operator="equal">
      <formula>#REF!</formula>
    </cfRule>
    <cfRule type="cellIs" dxfId="911" priority="5517" stopIfTrue="1" operator="between">
      <formula>#REF!</formula>
      <formula>#REF!</formula>
    </cfRule>
    <cfRule type="cellIs" dxfId="910" priority="5514" stopIfTrue="1" operator="between">
      <formula>#REF!</formula>
      <formula>#REF!</formula>
    </cfRule>
    <cfRule type="cellIs" dxfId="909" priority="5513" stopIfTrue="1" operator="equal">
      <formula>#REF!</formula>
    </cfRule>
    <cfRule type="cellIs" dxfId="908" priority="5512" stopIfTrue="1" operator="equal">
      <formula>#REF!</formula>
    </cfRule>
    <cfRule type="cellIs" dxfId="907" priority="5511" stopIfTrue="1" operator="between">
      <formula>#REF!</formula>
      <formula>#REF!</formula>
    </cfRule>
  </conditionalFormatting>
  <conditionalFormatting sqref="DA142:DA143">
    <cfRule type="cellIs" dxfId="906" priority="4619" stopIfTrue="1" operator="equal">
      <formula>#REF!</formula>
    </cfRule>
    <cfRule type="cellIs" dxfId="905" priority="4620" stopIfTrue="1" operator="between">
      <formula>#REF!</formula>
      <formula>#REF!</formula>
    </cfRule>
    <cfRule type="cellIs" dxfId="904" priority="4734" stopIfTrue="1" operator="between">
      <formula>#REF!</formula>
      <formula>#REF!</formula>
    </cfRule>
    <cfRule type="cellIs" dxfId="903" priority="4730" stopIfTrue="1" operator="equal">
      <formula>#REF!</formula>
    </cfRule>
    <cfRule type="cellIs" dxfId="902" priority="4521" stopIfTrue="1" operator="between">
      <formula>#REF!</formula>
      <formula>#REF!</formula>
    </cfRule>
    <cfRule type="cellIs" dxfId="901" priority="4733" stopIfTrue="1" operator="equal">
      <formula>#REF!</formula>
    </cfRule>
    <cfRule type="cellIs" dxfId="900" priority="4625" stopIfTrue="1" operator="equal">
      <formula>#REF!</formula>
    </cfRule>
    <cfRule type="cellIs" dxfId="899" priority="4943" stopIfTrue="1" operator="equal">
      <formula>#REF!</formula>
    </cfRule>
    <cfRule type="cellIs" dxfId="898" priority="4731" stopIfTrue="1" operator="between">
      <formula>#REF!</formula>
      <formula>#REF!</formula>
    </cfRule>
    <cfRule type="cellIs" dxfId="897" priority="4527" stopIfTrue="1" operator="between">
      <formula>#REF!</formula>
      <formula>#REF!</formula>
    </cfRule>
    <cfRule type="cellIs" dxfId="896" priority="4526" stopIfTrue="1" operator="equal">
      <formula>#REF!</formula>
    </cfRule>
    <cfRule type="cellIs" dxfId="895" priority="4626" stopIfTrue="1" operator="between">
      <formula>#REF!</formula>
      <formula>#REF!</formula>
    </cfRule>
    <cfRule type="cellIs" dxfId="894" priority="4729" stopIfTrue="1" operator="equal">
      <formula>#REF!</formula>
    </cfRule>
    <cfRule type="cellIs" dxfId="893" priority="4524" stopIfTrue="1" operator="between">
      <formula>#REF!</formula>
      <formula>#REF!</formula>
    </cfRule>
    <cfRule type="cellIs" dxfId="892" priority="4727" stopIfTrue="1" operator="equal">
      <formula>#REF!</formula>
    </cfRule>
    <cfRule type="cellIs" dxfId="891" priority="4944" stopIfTrue="1" operator="between">
      <formula>#REF!</formula>
      <formula>#REF!</formula>
    </cfRule>
    <cfRule type="cellIs" dxfId="890" priority="4621" stopIfTrue="1" operator="equal">
      <formula>#REF!</formula>
    </cfRule>
    <cfRule type="cellIs" dxfId="889" priority="4945" stopIfTrue="1" operator="equal">
      <formula>#REF!</formula>
    </cfRule>
    <cfRule type="cellIs" dxfId="888" priority="4946" stopIfTrue="1" operator="equal">
      <formula>#REF!</formula>
    </cfRule>
    <cfRule type="cellIs" dxfId="887" priority="4622" stopIfTrue="1" operator="equal">
      <formula>#REF!</formula>
    </cfRule>
    <cfRule type="cellIs" dxfId="886" priority="4623" stopIfTrue="1" operator="between">
      <formula>#REF!</formula>
      <formula>#REF!</formula>
    </cfRule>
    <cfRule type="cellIs" dxfId="885" priority="4523" stopIfTrue="1" operator="equal">
      <formula>#REF!</formula>
    </cfRule>
    <cfRule type="cellIs" dxfId="884" priority="4522" stopIfTrue="1" operator="equal">
      <formula>#REF!</formula>
    </cfRule>
    <cfRule type="cellIs" dxfId="883" priority="4728" stopIfTrue="1" operator="between">
      <formula>#REF!</formula>
      <formula>#REF!</formula>
    </cfRule>
    <cfRule type="cellIs" dxfId="882" priority="4949" stopIfTrue="1" operator="equal">
      <formula>#REF!</formula>
    </cfRule>
    <cfRule type="cellIs" dxfId="881" priority="4520" stopIfTrue="1" operator="equal">
      <formula>#REF!</formula>
    </cfRule>
    <cfRule type="cellIs" dxfId="880" priority="4947" stopIfTrue="1" operator="between">
      <formula>#REF!</formula>
      <formula>#REF!</formula>
    </cfRule>
    <cfRule type="cellIs" dxfId="879" priority="4950" stopIfTrue="1" operator="between">
      <formula>#REF!</formula>
      <formula>#REF!</formula>
    </cfRule>
  </conditionalFormatting>
  <conditionalFormatting sqref="DA144:DA173">
    <cfRule type="cellIs" dxfId="878" priority="3734" stopIfTrue="1" operator="equal">
      <formula>#REF!</formula>
    </cfRule>
    <cfRule type="cellIs" dxfId="877" priority="3732" stopIfTrue="1" operator="between">
      <formula>#REF!</formula>
      <formula>#REF!</formula>
    </cfRule>
    <cfRule type="cellIs" dxfId="876" priority="3843" stopIfTrue="1" operator="between">
      <formula>#REF!</formula>
      <formula>#REF!</formula>
    </cfRule>
    <cfRule type="cellIs" dxfId="875" priority="3731" stopIfTrue="1" operator="equal">
      <formula>#REF!</formula>
    </cfRule>
    <cfRule type="cellIs" dxfId="874" priority="3842" stopIfTrue="1" operator="equal">
      <formula>#REF!</formula>
    </cfRule>
    <cfRule type="cellIs" dxfId="873" priority="3839" stopIfTrue="1" operator="equal">
      <formula>#REF!</formula>
    </cfRule>
    <cfRule type="cellIs" dxfId="872" priority="3838" stopIfTrue="1" operator="equal">
      <formula>#REF!</formula>
    </cfRule>
    <cfRule type="cellIs" dxfId="871" priority="3837" stopIfTrue="1" operator="between">
      <formula>#REF!</formula>
      <formula>#REF!</formula>
    </cfRule>
    <cfRule type="cellIs" dxfId="870" priority="3728" stopIfTrue="1" operator="equal">
      <formula>#REF!</formula>
    </cfRule>
    <cfRule type="cellIs" dxfId="869" priority="3730" stopIfTrue="1" operator="equal">
      <formula>#REF!</formula>
    </cfRule>
    <cfRule type="cellIs" dxfId="868" priority="3629" stopIfTrue="1" operator="equal">
      <formula>#REF!</formula>
    </cfRule>
    <cfRule type="cellIs" dxfId="867" priority="3630" stopIfTrue="1" operator="between">
      <formula>#REF!</formula>
      <formula>#REF!</formula>
    </cfRule>
    <cfRule type="cellIs" dxfId="866" priority="3631" stopIfTrue="1" operator="equal">
      <formula>#REF!</formula>
    </cfRule>
    <cfRule type="cellIs" dxfId="865" priority="4052" stopIfTrue="1" operator="equal">
      <formula>#REF!</formula>
    </cfRule>
    <cfRule type="cellIs" dxfId="864" priority="3633" stopIfTrue="1" operator="between">
      <formula>#REF!</formula>
      <formula>#REF!</formula>
    </cfRule>
    <cfRule type="cellIs" dxfId="863" priority="4054" stopIfTrue="1" operator="equal">
      <formula>#REF!</formula>
    </cfRule>
    <cfRule type="cellIs" dxfId="862" priority="4055" stopIfTrue="1" operator="equal">
      <formula>#REF!</formula>
    </cfRule>
    <cfRule type="cellIs" dxfId="861" priority="4056" stopIfTrue="1" operator="between">
      <formula>#REF!</formula>
      <formula>#REF!</formula>
    </cfRule>
    <cfRule type="cellIs" dxfId="860" priority="4058" stopIfTrue="1" operator="equal">
      <formula>#REF!</formula>
    </cfRule>
    <cfRule type="cellIs" dxfId="859" priority="4059" stopIfTrue="1" operator="between">
      <formula>#REF!</formula>
      <formula>#REF!</formula>
    </cfRule>
    <cfRule type="cellIs" dxfId="858" priority="3632" stopIfTrue="1" operator="equal">
      <formula>#REF!</formula>
    </cfRule>
    <cfRule type="cellIs" dxfId="857" priority="3635" stopIfTrue="1" operator="equal">
      <formula>#REF!</formula>
    </cfRule>
    <cfRule type="cellIs" dxfId="856" priority="3636" stopIfTrue="1" operator="between">
      <formula>#REF!</formula>
      <formula>#REF!</formula>
    </cfRule>
    <cfRule type="cellIs" dxfId="855" priority="4053" stopIfTrue="1" operator="between">
      <formula>#REF!</formula>
      <formula>#REF!</formula>
    </cfRule>
    <cfRule type="cellIs" dxfId="854" priority="3729" stopIfTrue="1" operator="between">
      <formula>#REF!</formula>
      <formula>#REF!</formula>
    </cfRule>
    <cfRule type="cellIs" dxfId="853" priority="3840" stopIfTrue="1" operator="between">
      <formula>#REF!</formula>
      <formula>#REF!</formula>
    </cfRule>
    <cfRule type="cellIs" dxfId="852" priority="3735" stopIfTrue="1" operator="between">
      <formula>#REF!</formula>
      <formula>#REF!</formula>
    </cfRule>
    <cfRule type="cellIs" dxfId="851" priority="3836" stopIfTrue="1" operator="equal">
      <formula>#REF!</formula>
    </cfRule>
  </conditionalFormatting>
  <conditionalFormatting sqref="DA174:DA199">
    <cfRule type="cellIs" dxfId="850" priority="486" stopIfTrue="1" operator="between">
      <formula>#REF!</formula>
      <formula>#REF!</formula>
    </cfRule>
    <cfRule type="cellIs" dxfId="849" priority="156" stopIfTrue="1" operator="between">
      <formula>#REF!</formula>
      <formula>#REF!</formula>
    </cfRule>
    <cfRule type="cellIs" dxfId="848" priority="157" stopIfTrue="1" operator="equal">
      <formula>#REF!</formula>
    </cfRule>
    <cfRule type="cellIs" dxfId="847" priority="158" stopIfTrue="1" operator="equal">
      <formula>#REF!</formula>
    </cfRule>
    <cfRule type="cellIs" dxfId="846" priority="159" stopIfTrue="1" operator="between">
      <formula>#REF!</formula>
      <formula>#REF!</formula>
    </cfRule>
    <cfRule type="cellIs" dxfId="845" priority="62" stopIfTrue="1" operator="equal">
      <formula>#REF!</formula>
    </cfRule>
    <cfRule type="cellIs" dxfId="844" priority="63" stopIfTrue="1" operator="between">
      <formula>#REF!</formula>
      <formula>#REF!</formula>
    </cfRule>
    <cfRule type="cellIs" dxfId="843" priority="162" stopIfTrue="1" operator="between">
      <formula>#REF!</formula>
      <formula>#REF!</formula>
    </cfRule>
    <cfRule type="cellIs" dxfId="842" priority="56" stopIfTrue="1" operator="equal">
      <formula>#REF!</formula>
    </cfRule>
    <cfRule type="cellIs" dxfId="841" priority="57" stopIfTrue="1" operator="between">
      <formula>#REF!</formula>
      <formula>#REF!</formula>
    </cfRule>
    <cfRule type="cellIs" dxfId="840" priority="59" stopIfTrue="1" operator="equal">
      <formula>#REF!</formula>
    </cfRule>
    <cfRule type="cellIs" dxfId="839" priority="263" stopIfTrue="1" operator="equal">
      <formula>#REF!</formula>
    </cfRule>
    <cfRule type="cellIs" dxfId="838" priority="264" stopIfTrue="1" operator="between">
      <formula>#REF!</formula>
      <formula>#REF!</formula>
    </cfRule>
    <cfRule type="cellIs" dxfId="837" priority="265" stopIfTrue="1" operator="equal">
      <formula>#REF!</formula>
    </cfRule>
    <cfRule type="cellIs" dxfId="836" priority="266" stopIfTrue="1" operator="equal">
      <formula>#REF!</formula>
    </cfRule>
    <cfRule type="cellIs" dxfId="835" priority="267" stopIfTrue="1" operator="between">
      <formula>#REF!</formula>
      <formula>#REF!</formula>
    </cfRule>
    <cfRule type="cellIs" dxfId="834" priority="161" stopIfTrue="1" operator="equal">
      <formula>#REF!</formula>
    </cfRule>
    <cfRule type="cellIs" dxfId="833" priority="269" stopIfTrue="1" operator="equal">
      <formula>#REF!</formula>
    </cfRule>
    <cfRule type="cellIs" dxfId="832" priority="270" stopIfTrue="1" operator="between">
      <formula>#REF!</formula>
      <formula>#REF!</formula>
    </cfRule>
    <cfRule type="cellIs" dxfId="831" priority="60" stopIfTrue="1" operator="between">
      <formula>#REF!</formula>
      <formula>#REF!</formula>
    </cfRule>
    <cfRule type="cellIs" dxfId="830" priority="479" stopIfTrue="1" operator="equal">
      <formula>#REF!</formula>
    </cfRule>
    <cfRule type="cellIs" dxfId="829" priority="480" stopIfTrue="1" operator="between">
      <formula>#REF!</formula>
      <formula>#REF!</formula>
    </cfRule>
    <cfRule type="cellIs" dxfId="828" priority="481" stopIfTrue="1" operator="equal">
      <formula>#REF!</formula>
    </cfRule>
    <cfRule type="cellIs" dxfId="827" priority="482" stopIfTrue="1" operator="equal">
      <formula>#REF!</formula>
    </cfRule>
    <cfRule type="cellIs" dxfId="826" priority="483" stopIfTrue="1" operator="between">
      <formula>#REF!</formula>
      <formula>#REF!</formula>
    </cfRule>
    <cfRule type="cellIs" dxfId="825" priority="155" stopIfTrue="1" operator="equal">
      <formula>#REF!</formula>
    </cfRule>
    <cfRule type="cellIs" dxfId="824" priority="485" stopIfTrue="1" operator="equal">
      <formula>#REF!</formula>
    </cfRule>
    <cfRule type="cellIs" dxfId="823" priority="58" stopIfTrue="1" operator="equal">
      <formula>#REF!</formula>
    </cfRule>
  </conditionalFormatting>
  <conditionalFormatting sqref="DA130:DB130">
    <cfRule type="cellIs" dxfId="822" priority="6313" stopIfTrue="1" operator="equal">
      <formula>#REF!</formula>
    </cfRule>
    <cfRule type="cellIs" dxfId="821" priority="6314" stopIfTrue="1" operator="equal">
      <formula>#REF!</formula>
    </cfRule>
  </conditionalFormatting>
  <conditionalFormatting sqref="DA131:DB141">
    <cfRule type="cellIs" dxfId="820" priority="5404" stopIfTrue="1" operator="equal">
      <formula>#REF!</formula>
    </cfRule>
    <cfRule type="cellIs" dxfId="819" priority="5405" stopIfTrue="1" operator="equal">
      <formula>#REF!</formula>
    </cfRule>
  </conditionalFormatting>
  <conditionalFormatting sqref="DA142:DB143">
    <cfRule type="cellIs" dxfId="818" priority="4513" stopIfTrue="1" operator="equal">
      <formula>#REF!</formula>
    </cfRule>
  </conditionalFormatting>
  <conditionalFormatting sqref="DA144:DB173">
    <cfRule type="cellIs" dxfId="817" priority="3622" stopIfTrue="1" operator="equal">
      <formula>#REF!</formula>
    </cfRule>
  </conditionalFormatting>
  <conditionalFormatting sqref="DA174:DB199">
    <cfRule type="cellIs" dxfId="816" priority="49" stopIfTrue="1" operator="equal">
      <formula>#REF!</formula>
    </cfRule>
  </conditionalFormatting>
  <conditionalFormatting sqref="DB126:DB127 DB129">
    <cfRule type="cellIs" dxfId="815" priority="7227" stopIfTrue="1" operator="between">
      <formula>#REF!</formula>
      <formula>#REF!</formula>
    </cfRule>
    <cfRule type="cellIs" dxfId="814" priority="7226" stopIfTrue="1" operator="equal">
      <formula>#REF!</formula>
    </cfRule>
    <cfRule type="cellIs" dxfId="813" priority="7221" stopIfTrue="1" operator="between">
      <formula>#REF!</formula>
      <formula>#REF!</formula>
    </cfRule>
    <cfRule type="cellIs" dxfId="812" priority="7222" stopIfTrue="1" operator="equal">
      <formula>#REF!</formula>
    </cfRule>
    <cfRule type="cellIs" dxfId="811" priority="7223" stopIfTrue="1" operator="equal">
      <formula>#REF!</formula>
    </cfRule>
    <cfRule type="cellIs" dxfId="810" priority="7224" stopIfTrue="1" operator="between">
      <formula>#REF!</formula>
      <formula>#REF!</formula>
    </cfRule>
    <cfRule type="cellIs" dxfId="809" priority="7225" stopIfTrue="1" operator="equal">
      <formula>#REF!</formula>
    </cfRule>
  </conditionalFormatting>
  <conditionalFormatting sqref="DB126:DB127">
    <cfRule type="cellIs" dxfId="808" priority="7220" stopIfTrue="1" operator="equal">
      <formula>#REF!</formula>
    </cfRule>
  </conditionalFormatting>
  <conditionalFormatting sqref="DB126:DB128">
    <cfRule type="cellIs" dxfId="807" priority="3616" stopIfTrue="1" operator="equal">
      <formula>#REF!</formula>
    </cfRule>
  </conditionalFormatting>
  <conditionalFormatting sqref="DB128">
    <cfRule type="cellIs" dxfId="806" priority="3586" stopIfTrue="1" operator="equal">
      <formula>#REF!</formula>
    </cfRule>
    <cfRule type="cellIs" dxfId="805" priority="3585" stopIfTrue="1" operator="between">
      <formula>#REF!</formula>
      <formula>#REF!</formula>
    </cfRule>
    <cfRule type="cellIs" dxfId="804" priority="3601" stopIfTrue="1" operator="equal">
      <formula>#REF!</formula>
    </cfRule>
    <cfRule type="cellIs" dxfId="803" priority="3600" stopIfTrue="1" operator="between">
      <formula>#REF!</formula>
      <formula>#REF!</formula>
    </cfRule>
    <cfRule type="cellIs" dxfId="802" priority="3595" stopIfTrue="1" operator="equal">
      <formula>#REF!</formula>
    </cfRule>
    <cfRule type="cellIs" dxfId="801" priority="3596" stopIfTrue="1" operator="equal">
      <formula>#REF!</formula>
    </cfRule>
    <cfRule type="cellIs" dxfId="800" priority="3617" stopIfTrue="1" operator="equal">
      <formula>#REF!</formula>
    </cfRule>
    <cfRule type="cellIs" dxfId="799" priority="3588" stopIfTrue="1" operator="between">
      <formula>#REF!</formula>
      <formula>#REF!</formula>
    </cfRule>
    <cfRule type="cellIs" dxfId="798" priority="3618" stopIfTrue="1" operator="between">
      <formula>#REF!</formula>
      <formula>#REF!</formula>
    </cfRule>
    <cfRule type="cellIs" dxfId="797" priority="3590" stopIfTrue="1" operator="equal">
      <formula>#REF!</formula>
    </cfRule>
    <cfRule type="cellIs" dxfId="796" priority="3591" stopIfTrue="1" operator="between">
      <formula>#REF!</formula>
      <formula>#REF!</formula>
    </cfRule>
    <cfRule type="cellIs" dxfId="795" priority="3594" stopIfTrue="1" operator="between">
      <formula>#REF!</formula>
      <formula>#REF!</formula>
    </cfRule>
    <cfRule type="cellIs" dxfId="794" priority="3593" stopIfTrue="1" operator="equal">
      <formula>#REF!</formula>
    </cfRule>
    <cfRule type="cellIs" dxfId="793" priority="3599" stopIfTrue="1" operator="equal">
      <formula>#REF!</formula>
    </cfRule>
    <cfRule type="cellIs" dxfId="792" priority="3584" stopIfTrue="1" operator="equal">
      <formula>#REF!</formula>
    </cfRule>
    <cfRule type="cellIs" dxfId="791" priority="3587" stopIfTrue="1" operator="equal">
      <formula>#REF!</formula>
    </cfRule>
    <cfRule type="cellIs" dxfId="790" priority="3597" stopIfTrue="1" operator="between">
      <formula>#REF!</formula>
      <formula>#REF!</formula>
    </cfRule>
    <cfRule type="cellIs" dxfId="789" priority="3598" stopIfTrue="1" operator="equal">
      <formula>#REF!</formula>
    </cfRule>
    <cfRule type="cellIs" dxfId="788" priority="3592" stopIfTrue="1" operator="equal">
      <formula>#REF!</formula>
    </cfRule>
    <cfRule type="cellIs" dxfId="787" priority="3615" stopIfTrue="1" operator="between">
      <formula>#REF!</formula>
      <formula>#REF!</formula>
    </cfRule>
    <cfRule type="cellIs" dxfId="786" priority="3614" stopIfTrue="1" operator="equal">
      <formula>#REF!</formula>
    </cfRule>
    <cfRule type="cellIs" dxfId="785" priority="3613" stopIfTrue="1" operator="equal">
      <formula>#REF!</formula>
    </cfRule>
    <cfRule type="cellIs" dxfId="784" priority="3612" stopIfTrue="1" operator="between">
      <formula>#REF!</formula>
      <formula>#REF!</formula>
    </cfRule>
    <cfRule type="cellIs" dxfId="783" priority="3611" stopIfTrue="1" operator="equal">
      <formula>#REF!</formula>
    </cfRule>
    <cfRule type="cellIs" dxfId="782" priority="3609" stopIfTrue="1" operator="between">
      <formula>#REF!</formula>
      <formula>#REF!</formula>
    </cfRule>
    <cfRule type="cellIs" dxfId="781" priority="3610" stopIfTrue="1" operator="equal">
      <formula>#REF!</formula>
    </cfRule>
    <cfRule type="cellIs" dxfId="780" priority="3589" stopIfTrue="1" operator="equal">
      <formula>#REF!</formula>
    </cfRule>
    <cfRule type="cellIs" dxfId="779" priority="3608" stopIfTrue="1" operator="equal">
      <formula>#REF!</formula>
    </cfRule>
    <cfRule type="cellIs" dxfId="778" priority="3607" stopIfTrue="1" operator="equal">
      <formula>#REF!</formula>
    </cfRule>
    <cfRule type="cellIs" dxfId="777" priority="3606" stopIfTrue="1" operator="between">
      <formula>#REF!</formula>
      <formula>#REF!</formula>
    </cfRule>
    <cfRule type="cellIs" dxfId="776" priority="3605" stopIfTrue="1" operator="equal">
      <formula>#REF!</formula>
    </cfRule>
    <cfRule type="cellIs" dxfId="775" priority="3604" stopIfTrue="1" operator="equal">
      <formula>#REF!</formula>
    </cfRule>
    <cfRule type="cellIs" dxfId="774" priority="3603" stopIfTrue="1" operator="between">
      <formula>#REF!</formula>
      <formula>#REF!</formula>
    </cfRule>
    <cfRule type="cellIs" dxfId="773" priority="3602" stopIfTrue="1" operator="equal">
      <formula>#REF!</formula>
    </cfRule>
  </conditionalFormatting>
  <conditionalFormatting sqref="DB129:DB130">
    <cfRule type="cellIs" dxfId="772" priority="6317" stopIfTrue="1" operator="equal">
      <formula>#REF!</formula>
    </cfRule>
    <cfRule type="cellIs" dxfId="771" priority="6316" stopIfTrue="1" operator="equal">
      <formula>#REF!</formula>
    </cfRule>
  </conditionalFormatting>
  <conditionalFormatting sqref="DB130">
    <cfRule type="cellIs" dxfId="770" priority="6312" stopIfTrue="1" operator="between">
      <formula>#REF!</formula>
      <formula>#REF!</formula>
    </cfRule>
    <cfRule type="cellIs" dxfId="769" priority="6318" stopIfTrue="1" operator="between">
      <formula>#REF!</formula>
      <formula>#REF!</formula>
    </cfRule>
    <cfRule type="cellIs" dxfId="768" priority="6315" stopIfTrue="1" operator="between">
      <formula>#REF!</formula>
      <formula>#REF!</formula>
    </cfRule>
  </conditionalFormatting>
  <conditionalFormatting sqref="DB130:DB141">
    <cfRule type="cellIs" dxfId="767" priority="5407" stopIfTrue="1" operator="equal">
      <formula>#REF!</formula>
    </cfRule>
    <cfRule type="cellIs" dxfId="766" priority="5408" stopIfTrue="1" operator="equal">
      <formula>#REF!</formula>
    </cfRule>
  </conditionalFormatting>
  <conditionalFormatting sqref="DB131:DB141">
    <cfRule type="cellIs" dxfId="765" priority="5409" stopIfTrue="1" operator="between">
      <formula>#REF!</formula>
      <formula>#REF!</formula>
    </cfRule>
    <cfRule type="cellIs" dxfId="764" priority="5402" stopIfTrue="1" operator="equal">
      <formula>#REF!</formula>
    </cfRule>
    <cfRule type="cellIs" dxfId="763" priority="5403" stopIfTrue="1" operator="between">
      <formula>#REF!</formula>
      <formula>#REF!</formula>
    </cfRule>
    <cfRule type="cellIs" dxfId="762" priority="5406" stopIfTrue="1" operator="between">
      <formula>#REF!</formula>
      <formula>#REF!</formula>
    </cfRule>
  </conditionalFormatting>
  <conditionalFormatting sqref="DB131:DB143">
    <cfRule type="cellIs" dxfId="761" priority="4516" stopIfTrue="1" operator="equal">
      <formula>#REF!</formula>
    </cfRule>
  </conditionalFormatting>
  <conditionalFormatting sqref="DB142:DB143">
    <cfRule type="cellIs" dxfId="760" priority="4511" stopIfTrue="1" operator="equal">
      <formula>#REF!</formula>
    </cfRule>
    <cfRule type="cellIs" dxfId="759" priority="4517" stopIfTrue="1" operator="equal">
      <formula>#REF!</formula>
    </cfRule>
    <cfRule type="cellIs" dxfId="758" priority="4518" stopIfTrue="1" operator="between">
      <formula>#REF!</formula>
      <formula>#REF!</formula>
    </cfRule>
    <cfRule type="cellIs" dxfId="757" priority="4512" stopIfTrue="1" operator="between">
      <formula>#REF!</formula>
      <formula>#REF!</formula>
    </cfRule>
    <cfRule type="cellIs" dxfId="756" priority="4515" stopIfTrue="1" operator="between">
      <formula>#REF!</formula>
      <formula>#REF!</formula>
    </cfRule>
    <cfRule type="cellIs" dxfId="755" priority="4514" stopIfTrue="1" operator="equal">
      <formula>#REF!</formula>
    </cfRule>
  </conditionalFormatting>
  <conditionalFormatting sqref="DB142:DB173">
    <cfRule type="cellIs" dxfId="754" priority="3625" stopIfTrue="1" operator="equal">
      <formula>#REF!</formula>
    </cfRule>
  </conditionalFormatting>
  <conditionalFormatting sqref="DB144:DB173">
    <cfRule type="cellIs" dxfId="753" priority="3620" stopIfTrue="1" operator="equal">
      <formula>#REF!</formula>
    </cfRule>
    <cfRule type="cellIs" dxfId="752" priority="3623" stopIfTrue="1" operator="equal">
      <formula>#REF!</formula>
    </cfRule>
    <cfRule type="cellIs" dxfId="751" priority="3626" stopIfTrue="1" operator="equal">
      <formula>#REF!</formula>
    </cfRule>
    <cfRule type="cellIs" dxfId="750" priority="3627" stopIfTrue="1" operator="between">
      <formula>#REF!</formula>
      <formula>#REF!</formula>
    </cfRule>
    <cfRule type="cellIs" dxfId="749" priority="3624" stopIfTrue="1" operator="between">
      <formula>#REF!</formula>
      <formula>#REF!</formula>
    </cfRule>
    <cfRule type="cellIs" dxfId="748" priority="3621" stopIfTrue="1" operator="between">
      <formula>#REF!</formula>
      <formula>#REF!</formula>
    </cfRule>
  </conditionalFormatting>
  <conditionalFormatting sqref="DB144:DB199">
    <cfRule type="cellIs" dxfId="747" priority="52" stopIfTrue="1" operator="equal">
      <formula>#REF!</formula>
    </cfRule>
  </conditionalFormatting>
  <conditionalFormatting sqref="DB174:DB199">
    <cfRule type="cellIs" dxfId="746" priority="47" stopIfTrue="1" operator="equal">
      <formula>#REF!</formula>
    </cfRule>
    <cfRule type="cellIs" dxfId="745" priority="54" stopIfTrue="1" operator="between">
      <formula>#REF!</formula>
      <formula>#REF!</formula>
    </cfRule>
    <cfRule type="cellIs" dxfId="744" priority="48" stopIfTrue="1" operator="between">
      <formula>#REF!</formula>
      <formula>#REF!</formula>
    </cfRule>
    <cfRule type="cellIs" dxfId="743" priority="51" stopIfTrue="1" operator="between">
      <formula>#REF!</formula>
      <formula>#REF!</formula>
    </cfRule>
    <cfRule type="cellIs" dxfId="742" priority="50" stopIfTrue="1" operator="equal">
      <formula>#REF!</formula>
    </cfRule>
    <cfRule type="cellIs" dxfId="741" priority="53" stopIfTrue="1" operator="equal">
      <formula>#REF!</formula>
    </cfRule>
    <cfRule type="cellIs" dxfId="740" priority="46" stopIfTrue="1" operator="equal">
      <formula>#REF!</formula>
    </cfRule>
  </conditionalFormatting>
  <conditionalFormatting sqref="DB128:DC128">
    <cfRule type="cellIs" dxfId="739" priority="3580" stopIfTrue="1" operator="equal">
      <formula>#REF!</formula>
    </cfRule>
  </conditionalFormatting>
  <conditionalFormatting sqref="DC128">
    <cfRule type="cellIs" dxfId="738" priority="3576" stopIfTrue="1" operator="between">
      <formula>#REF!</formula>
      <formula>#REF!</formula>
    </cfRule>
    <cfRule type="cellIs" dxfId="737" priority="3575" stopIfTrue="1" operator="equal">
      <formula>#REF!</formula>
    </cfRule>
    <cfRule type="cellIs" dxfId="736" priority="3577" stopIfTrue="1" operator="equal">
      <formula>#REF!</formula>
    </cfRule>
    <cfRule type="cellIs" dxfId="735" priority="3578" stopIfTrue="1" operator="equal">
      <formula>#REF!</formula>
    </cfRule>
    <cfRule type="cellIs" dxfId="734" priority="3579" stopIfTrue="1" operator="between">
      <formula>#REF!</formula>
      <formula>#REF!</formula>
    </cfRule>
    <cfRule type="cellIs" dxfId="733" priority="3581" stopIfTrue="1" operator="equal">
      <formula>#REF!</formula>
    </cfRule>
    <cfRule type="cellIs" dxfId="732" priority="3582" stopIfTrue="1" operator="between">
      <formula>#REF!</formula>
      <formula>#REF!</formula>
    </cfRule>
  </conditionalFormatting>
  <conditionalFormatting sqref="DC128:DC129">
    <cfRule type="cellIs" dxfId="731" priority="3571" stopIfTrue="1" operator="equal">
      <formula>#REF!</formula>
    </cfRule>
  </conditionalFormatting>
  <conditionalFormatting sqref="DC129">
    <cfRule type="cellIs" dxfId="730" priority="3543" stopIfTrue="1" operator="between">
      <formula>#REF!</formula>
      <formula>#REF!</formula>
    </cfRule>
    <cfRule type="cellIs" dxfId="729" priority="3542" stopIfTrue="1" operator="equal">
      <formula>#REF!</formula>
    </cfRule>
    <cfRule type="cellIs" dxfId="728" priority="3540" stopIfTrue="1" operator="between">
      <formula>#REF!</formula>
      <formula>#REF!</formula>
    </cfRule>
    <cfRule type="cellIs" dxfId="727" priority="3539" stopIfTrue="1" operator="equal">
      <formula>#REF!</formula>
    </cfRule>
    <cfRule type="cellIs" dxfId="726" priority="3545" stopIfTrue="1" operator="equal">
      <formula>#REF!</formula>
    </cfRule>
    <cfRule type="cellIs" dxfId="725" priority="3557" stopIfTrue="1" operator="equal">
      <formula>#REF!</formula>
    </cfRule>
    <cfRule type="cellIs" dxfId="724" priority="3564" stopIfTrue="1" operator="between">
      <formula>#REF!</formula>
      <formula>#REF!</formula>
    </cfRule>
    <cfRule type="cellIs" dxfId="723" priority="3565" stopIfTrue="1" operator="equal">
      <formula>#REF!</formula>
    </cfRule>
    <cfRule type="cellIs" dxfId="722" priority="3566" stopIfTrue="1" operator="equal">
      <formula>#REF!</formula>
    </cfRule>
    <cfRule type="cellIs" dxfId="721" priority="3568" stopIfTrue="1" operator="equal">
      <formula>#REF!</formula>
    </cfRule>
    <cfRule type="cellIs" dxfId="720" priority="3569" stopIfTrue="1" operator="equal">
      <formula>#REF!</formula>
    </cfRule>
    <cfRule type="cellIs" dxfId="719" priority="3570" stopIfTrue="1" operator="between">
      <formula>#REF!</formula>
      <formula>#REF!</formula>
    </cfRule>
    <cfRule type="cellIs" dxfId="718" priority="3556" stopIfTrue="1" operator="equal">
      <formula>#REF!</formula>
    </cfRule>
    <cfRule type="cellIs" dxfId="717" priority="3567" stopIfTrue="1" operator="between">
      <formula>#REF!</formula>
      <formula>#REF!</formula>
    </cfRule>
    <cfRule type="cellIs" dxfId="716" priority="3572" stopIfTrue="1" operator="equal">
      <formula>#REF!</formula>
    </cfRule>
    <cfRule type="cellIs" dxfId="715" priority="3573" stopIfTrue="1" operator="between">
      <formula>#REF!</formula>
      <formula>#REF!</formula>
    </cfRule>
    <cfRule type="cellIs" dxfId="714" priority="3554" stopIfTrue="1" operator="equal">
      <formula>#REF!</formula>
    </cfRule>
    <cfRule type="cellIs" dxfId="713" priority="3563" stopIfTrue="1" operator="equal">
      <formula>#REF!</formula>
    </cfRule>
    <cfRule type="cellIs" dxfId="712" priority="3555" stopIfTrue="1" operator="between">
      <formula>#REF!</formula>
      <formula>#REF!</formula>
    </cfRule>
    <cfRule type="cellIs" dxfId="711" priority="3562" stopIfTrue="1" operator="equal">
      <formula>#REF!</formula>
    </cfRule>
    <cfRule type="cellIs" dxfId="710" priority="3553" stopIfTrue="1" operator="equal">
      <formula>#REF!</formula>
    </cfRule>
    <cfRule type="cellIs" dxfId="709" priority="3552" stopIfTrue="1" operator="between">
      <formula>#REF!</formula>
      <formula>#REF!</formula>
    </cfRule>
    <cfRule type="cellIs" dxfId="708" priority="3561" stopIfTrue="1" operator="between">
      <formula>#REF!</formula>
      <formula>#REF!</formula>
    </cfRule>
    <cfRule type="cellIs" dxfId="707" priority="3560" stopIfTrue="1" operator="equal">
      <formula>#REF!</formula>
    </cfRule>
    <cfRule type="cellIs" dxfId="706" priority="3559" stopIfTrue="1" operator="equal">
      <formula>#REF!</formula>
    </cfRule>
    <cfRule type="cellIs" dxfId="705" priority="3558" stopIfTrue="1" operator="between">
      <formula>#REF!</formula>
      <formula>#REF!</formula>
    </cfRule>
    <cfRule type="cellIs" dxfId="704" priority="3544" stopIfTrue="1" operator="equal">
      <formula>#REF!</formula>
    </cfRule>
    <cfRule type="cellIs" dxfId="703" priority="3551" stopIfTrue="1" operator="equal">
      <formula>#REF!</formula>
    </cfRule>
    <cfRule type="cellIs" dxfId="702" priority="3541" stopIfTrue="1" operator="equal">
      <formula>#REF!</formula>
    </cfRule>
    <cfRule type="cellIs" dxfId="701" priority="3550" stopIfTrue="1" operator="equal">
      <formula>#REF!</formula>
    </cfRule>
    <cfRule type="cellIs" dxfId="700" priority="3549" stopIfTrue="1" operator="between">
      <formula>#REF!</formula>
      <formula>#REF!</formula>
    </cfRule>
    <cfRule type="cellIs" dxfId="699" priority="3548" stopIfTrue="1" operator="equal">
      <formula>#REF!</formula>
    </cfRule>
    <cfRule type="cellIs" dxfId="698" priority="3547" stopIfTrue="1" operator="equal">
      <formula>#REF!</formula>
    </cfRule>
    <cfRule type="cellIs" dxfId="697" priority="3546" stopIfTrue="1" operator="between">
      <formula>#REF!</formula>
      <formula>#REF!</formula>
    </cfRule>
  </conditionalFormatting>
  <conditionalFormatting sqref="DC129:DD129">
    <cfRule type="cellIs" dxfId="696" priority="3535" stopIfTrue="1" operator="equal">
      <formula>#REF!</formula>
    </cfRule>
  </conditionalFormatting>
  <conditionalFormatting sqref="DD129">
    <cfRule type="cellIs" dxfId="695" priority="3536" stopIfTrue="1" operator="equal">
      <formula>#REF!</formula>
    </cfRule>
    <cfRule type="cellIs" dxfId="694" priority="3530" stopIfTrue="1" operator="equal">
      <formula>#REF!</formula>
    </cfRule>
    <cfRule type="cellIs" dxfId="693" priority="3531" stopIfTrue="1" operator="between">
      <formula>#REF!</formula>
      <formula>#REF!</formula>
    </cfRule>
    <cfRule type="cellIs" dxfId="692" priority="3533" stopIfTrue="1" operator="equal">
      <formula>#REF!</formula>
    </cfRule>
    <cfRule type="cellIs" dxfId="691" priority="3532" stopIfTrue="1" operator="equal">
      <formula>#REF!</formula>
    </cfRule>
    <cfRule type="cellIs" dxfId="690" priority="3537" stopIfTrue="1" operator="between">
      <formula>#REF!</formula>
      <formula>#REF!</formula>
    </cfRule>
    <cfRule type="cellIs" dxfId="689" priority="3534" stopIfTrue="1" operator="between">
      <formula>#REF!</formula>
      <formula>#REF!</formula>
    </cfRule>
  </conditionalFormatting>
  <conditionalFormatting sqref="DD129:DD130">
    <cfRule type="cellIs" dxfId="688" priority="3526" stopIfTrue="1" operator="equal">
      <formula>#REF!</formula>
    </cfRule>
  </conditionalFormatting>
  <conditionalFormatting sqref="DD130">
    <cfRule type="cellIs" dxfId="687" priority="3521" stopIfTrue="1" operator="equal">
      <formula>#REF!</formula>
    </cfRule>
    <cfRule type="cellIs" dxfId="686" priority="3520" stopIfTrue="1" operator="equal">
      <formula>#REF!</formula>
    </cfRule>
    <cfRule type="cellIs" dxfId="685" priority="3523" stopIfTrue="1" operator="equal">
      <formula>#REF!</formula>
    </cfRule>
    <cfRule type="cellIs" dxfId="684" priority="3524" stopIfTrue="1" operator="equal">
      <formula>#REF!</formula>
    </cfRule>
    <cfRule type="cellIs" dxfId="683" priority="3513" stopIfTrue="1" operator="between">
      <formula>#REF!</formula>
      <formula>#REF!</formula>
    </cfRule>
    <cfRule type="cellIs" dxfId="682" priority="3514" stopIfTrue="1" operator="equal">
      <formula>#REF!</formula>
    </cfRule>
    <cfRule type="cellIs" dxfId="681" priority="3515" stopIfTrue="1" operator="equal">
      <formula>#REF!</formula>
    </cfRule>
    <cfRule type="cellIs" dxfId="680" priority="3516" stopIfTrue="1" operator="between">
      <formula>#REF!</formula>
      <formula>#REF!</formula>
    </cfRule>
    <cfRule type="cellIs" dxfId="679" priority="3517" stopIfTrue="1" operator="equal">
      <formula>#REF!</formula>
    </cfRule>
    <cfRule type="cellIs" dxfId="678" priority="3518" stopIfTrue="1" operator="equal">
      <formula>#REF!</formula>
    </cfRule>
    <cfRule type="cellIs" dxfId="677" priority="3522" stopIfTrue="1" operator="between">
      <formula>#REF!</formula>
      <formula>#REF!</formula>
    </cfRule>
    <cfRule type="cellIs" dxfId="676" priority="3519" stopIfTrue="1" operator="between">
      <formula>#REF!</formula>
      <formula>#REF!</formula>
    </cfRule>
    <cfRule type="cellIs" dxfId="675" priority="3499" stopIfTrue="1" operator="equal">
      <formula>#REF!</formula>
    </cfRule>
    <cfRule type="cellIs" dxfId="674" priority="3494" stopIfTrue="1" operator="equal">
      <formula>#REF!</formula>
    </cfRule>
    <cfRule type="cellIs" dxfId="673" priority="3496" stopIfTrue="1" operator="equal">
      <formula>#REF!</formula>
    </cfRule>
    <cfRule type="cellIs" dxfId="672" priority="3497" stopIfTrue="1" operator="equal">
      <formula>#REF!</formula>
    </cfRule>
    <cfRule type="cellIs" dxfId="671" priority="3498" stopIfTrue="1" operator="between">
      <formula>#REF!</formula>
      <formula>#REF!</formula>
    </cfRule>
    <cfRule type="cellIs" dxfId="670" priority="3495" stopIfTrue="1" operator="between">
      <formula>#REF!</formula>
      <formula>#REF!</formula>
    </cfRule>
    <cfRule type="cellIs" dxfId="669" priority="3501" stopIfTrue="1" operator="between">
      <formula>#REF!</formula>
      <formula>#REF!</formula>
    </cfRule>
    <cfRule type="cellIs" dxfId="668" priority="3502" stopIfTrue="1" operator="equal">
      <formula>#REF!</formula>
    </cfRule>
    <cfRule type="cellIs" dxfId="667" priority="3503" stopIfTrue="1" operator="equal">
      <formula>#REF!</formula>
    </cfRule>
    <cfRule type="cellIs" dxfId="666" priority="3504" stopIfTrue="1" operator="between">
      <formula>#REF!</formula>
      <formula>#REF!</formula>
    </cfRule>
    <cfRule type="cellIs" dxfId="665" priority="3505" stopIfTrue="1" operator="equal">
      <formula>#REF!</formula>
    </cfRule>
    <cfRule type="cellIs" dxfId="664" priority="3500" stopIfTrue="1" operator="equal">
      <formula>#REF!</formula>
    </cfRule>
    <cfRule type="cellIs" dxfId="663" priority="3528" stopIfTrue="1" operator="between">
      <formula>#REF!</formula>
      <formula>#REF!</formula>
    </cfRule>
    <cfRule type="cellIs" dxfId="662" priority="3506" stopIfTrue="1" operator="equal">
      <formula>#REF!</formula>
    </cfRule>
    <cfRule type="cellIs" dxfId="661" priority="3507" stopIfTrue="1" operator="between">
      <formula>#REF!</formula>
      <formula>#REF!</formula>
    </cfRule>
    <cfRule type="cellIs" dxfId="660" priority="3508" stopIfTrue="1" operator="equal">
      <formula>#REF!</formula>
    </cfRule>
    <cfRule type="cellIs" dxfId="659" priority="3509" stopIfTrue="1" operator="equal">
      <formula>#REF!</formula>
    </cfRule>
    <cfRule type="cellIs" dxfId="658" priority="3510" stopIfTrue="1" operator="between">
      <formula>#REF!</formula>
      <formula>#REF!</formula>
    </cfRule>
    <cfRule type="cellIs" dxfId="657" priority="3511" stopIfTrue="1" operator="equal">
      <formula>#REF!</formula>
    </cfRule>
    <cfRule type="cellIs" dxfId="656" priority="3525" stopIfTrue="1" operator="between">
      <formula>#REF!</formula>
      <formula>#REF!</formula>
    </cfRule>
    <cfRule type="cellIs" dxfId="655" priority="3512" stopIfTrue="1" operator="equal">
      <formula>#REF!</formula>
    </cfRule>
    <cfRule type="cellIs" dxfId="654" priority="3527" stopIfTrue="1" operator="equal">
      <formula>#REF!</formula>
    </cfRule>
  </conditionalFormatting>
  <conditionalFormatting sqref="DD130:DE130">
    <cfRule type="cellIs" dxfId="653" priority="3490" stopIfTrue="1" operator="equal">
      <formula>#REF!</formula>
    </cfRule>
  </conditionalFormatting>
  <conditionalFormatting sqref="DE130">
    <cfRule type="cellIs" dxfId="652" priority="3491" stopIfTrue="1" operator="equal">
      <formula>#REF!</formula>
    </cfRule>
    <cfRule type="cellIs" dxfId="651" priority="3489" stopIfTrue="1" operator="between">
      <formula>#REF!</formula>
      <formula>#REF!</formula>
    </cfRule>
    <cfRule type="cellIs" dxfId="650" priority="3488" stopIfTrue="1" operator="equal">
      <formula>#REF!</formula>
    </cfRule>
    <cfRule type="cellIs" dxfId="649" priority="3487" stopIfTrue="1" operator="equal">
      <formula>#REF!</formula>
    </cfRule>
    <cfRule type="cellIs" dxfId="648" priority="3486" stopIfTrue="1" operator="between">
      <formula>#REF!</formula>
      <formula>#REF!</formula>
    </cfRule>
    <cfRule type="cellIs" dxfId="647" priority="3485" stopIfTrue="1" operator="equal">
      <formula>#REF!</formula>
    </cfRule>
    <cfRule type="cellIs" dxfId="646" priority="3492" stopIfTrue="1" operator="between">
      <formula>#REF!</formula>
      <formula>#REF!</formula>
    </cfRule>
  </conditionalFormatting>
  <conditionalFormatting sqref="DE130:DE131">
    <cfRule type="cellIs" dxfId="645" priority="3481" stopIfTrue="1" operator="equal">
      <formula>#REF!</formula>
    </cfRule>
  </conditionalFormatting>
  <conditionalFormatting sqref="DE131">
    <cfRule type="cellIs" dxfId="644" priority="3471" stopIfTrue="1" operator="between">
      <formula>#REF!</formula>
      <formula>#REF!</formula>
    </cfRule>
    <cfRule type="cellIs" dxfId="643" priority="3470" stopIfTrue="1" operator="equal">
      <formula>#REF!</formula>
    </cfRule>
    <cfRule type="cellIs" dxfId="642" priority="3469" stopIfTrue="1" operator="equal">
      <formula>#REF!</formula>
    </cfRule>
    <cfRule type="cellIs" dxfId="641" priority="3468" stopIfTrue="1" operator="between">
      <formula>#REF!</formula>
      <formula>#REF!</formula>
    </cfRule>
    <cfRule type="cellIs" dxfId="640" priority="3467" stopIfTrue="1" operator="equal">
      <formula>#REF!</formula>
    </cfRule>
    <cfRule type="cellIs" dxfId="639" priority="3466" stopIfTrue="1" operator="equal">
      <formula>#REF!</formula>
    </cfRule>
    <cfRule type="cellIs" dxfId="638" priority="3465" stopIfTrue="1" operator="between">
      <formula>#REF!</formula>
      <formula>#REF!</formula>
    </cfRule>
    <cfRule type="cellIs" dxfId="637" priority="3464" stopIfTrue="1" operator="equal">
      <formula>#REF!</formula>
    </cfRule>
    <cfRule type="cellIs" dxfId="636" priority="3463" stopIfTrue="1" operator="equal">
      <formula>#REF!</formula>
    </cfRule>
    <cfRule type="cellIs" dxfId="635" priority="3462" stopIfTrue="1" operator="between">
      <formula>#REF!</formula>
      <formula>#REF!</formula>
    </cfRule>
    <cfRule type="cellIs" dxfId="634" priority="3461" stopIfTrue="1" operator="equal">
      <formula>#REF!</formula>
    </cfRule>
    <cfRule type="cellIs" dxfId="633" priority="3460" stopIfTrue="1" operator="equal">
      <formula>#REF!</formula>
    </cfRule>
    <cfRule type="cellIs" dxfId="632" priority="3459" stopIfTrue="1" operator="between">
      <formula>#REF!</formula>
      <formula>#REF!</formula>
    </cfRule>
    <cfRule type="cellIs" dxfId="631" priority="3458" stopIfTrue="1" operator="equal">
      <formula>#REF!</formula>
    </cfRule>
    <cfRule type="cellIs" dxfId="630" priority="3457" stopIfTrue="1" operator="equal">
      <formula>#REF!</formula>
    </cfRule>
    <cfRule type="cellIs" dxfId="629" priority="3456" stopIfTrue="1" operator="between">
      <formula>#REF!</formula>
      <formula>#REF!</formula>
    </cfRule>
    <cfRule type="cellIs" dxfId="628" priority="3455" stopIfTrue="1" operator="equal">
      <formula>#REF!</formula>
    </cfRule>
    <cfRule type="cellIs" dxfId="627" priority="3454" stopIfTrue="1" operator="equal">
      <formula>#REF!</formula>
    </cfRule>
    <cfRule type="cellIs" dxfId="626" priority="3452" stopIfTrue="1" operator="equal">
      <formula>#REF!</formula>
    </cfRule>
    <cfRule type="cellIs" dxfId="625" priority="3451" stopIfTrue="1" operator="equal">
      <formula>#REF!</formula>
    </cfRule>
    <cfRule type="cellIs" dxfId="624" priority="3450" stopIfTrue="1" operator="between">
      <formula>#REF!</formula>
      <formula>#REF!</formula>
    </cfRule>
    <cfRule type="cellIs" dxfId="623" priority="3449" stopIfTrue="1" operator="equal">
      <formula>#REF!</formula>
    </cfRule>
    <cfRule type="cellIs" dxfId="622" priority="3453" stopIfTrue="1" operator="between">
      <formula>#REF!</formula>
      <formula>#REF!</formula>
    </cfRule>
    <cfRule type="cellIs" dxfId="621" priority="3483" stopIfTrue="1" operator="between">
      <formula>#REF!</formula>
      <formula>#REF!</formula>
    </cfRule>
    <cfRule type="cellIs" dxfId="620" priority="3482" stopIfTrue="1" operator="equal">
      <formula>#REF!</formula>
    </cfRule>
    <cfRule type="cellIs" dxfId="619" priority="3480" stopIfTrue="1" operator="between">
      <formula>#REF!</formula>
      <formula>#REF!</formula>
    </cfRule>
    <cfRule type="cellIs" dxfId="618" priority="3479" stopIfTrue="1" operator="equal">
      <formula>#REF!</formula>
    </cfRule>
    <cfRule type="cellIs" dxfId="617" priority="3478" stopIfTrue="1" operator="equal">
      <formula>#REF!</formula>
    </cfRule>
    <cfRule type="cellIs" dxfId="616" priority="3477" stopIfTrue="1" operator="between">
      <formula>#REF!</formula>
      <formula>#REF!</formula>
    </cfRule>
    <cfRule type="cellIs" dxfId="615" priority="3476" stopIfTrue="1" operator="equal">
      <formula>#REF!</formula>
    </cfRule>
    <cfRule type="cellIs" dxfId="614" priority="3475" stopIfTrue="1" operator="equal">
      <formula>#REF!</formula>
    </cfRule>
    <cfRule type="cellIs" dxfId="613" priority="3474" stopIfTrue="1" operator="between">
      <formula>#REF!</formula>
      <formula>#REF!</formula>
    </cfRule>
    <cfRule type="cellIs" dxfId="612" priority="3473" stopIfTrue="1" operator="equal">
      <formula>#REF!</formula>
    </cfRule>
    <cfRule type="cellIs" dxfId="611" priority="3472" stopIfTrue="1" operator="equal">
      <formula>#REF!</formula>
    </cfRule>
  </conditionalFormatting>
  <conditionalFormatting sqref="DE131:DF131">
    <cfRule type="cellIs" dxfId="610" priority="3445" stopIfTrue="1" operator="equal">
      <formula>#REF!</formula>
    </cfRule>
  </conditionalFormatting>
  <conditionalFormatting sqref="DF131">
    <cfRule type="cellIs" dxfId="609" priority="3447" stopIfTrue="1" operator="between">
      <formula>#REF!</formula>
      <formula>#REF!</formula>
    </cfRule>
    <cfRule type="cellIs" dxfId="608" priority="3442" stopIfTrue="1" operator="equal">
      <formula>#REF!</formula>
    </cfRule>
    <cfRule type="cellIs" dxfId="607" priority="3441" stopIfTrue="1" operator="between">
      <formula>#REF!</formula>
      <formula>#REF!</formula>
    </cfRule>
    <cfRule type="cellIs" dxfId="606" priority="3440" stopIfTrue="1" operator="equal">
      <formula>#REF!</formula>
    </cfRule>
    <cfRule type="cellIs" dxfId="605" priority="3444" stopIfTrue="1" operator="between">
      <formula>#REF!</formula>
      <formula>#REF!</formula>
    </cfRule>
    <cfRule type="cellIs" dxfId="604" priority="3443" stopIfTrue="1" operator="equal">
      <formula>#REF!</formula>
    </cfRule>
    <cfRule type="cellIs" dxfId="603" priority="3446" stopIfTrue="1" operator="equal">
      <formula>#REF!</formula>
    </cfRule>
  </conditionalFormatting>
  <conditionalFormatting sqref="DF131:DF132">
    <cfRule type="cellIs" dxfId="602" priority="3436" stopIfTrue="1" operator="equal">
      <formula>#REF!</formula>
    </cfRule>
  </conditionalFormatting>
  <conditionalFormatting sqref="DF132">
    <cfRule type="cellIs" dxfId="601" priority="3438" stopIfTrue="1" operator="between">
      <formula>#REF!</formula>
      <formula>#REF!</formula>
    </cfRule>
    <cfRule type="cellIs" dxfId="600" priority="3437" stopIfTrue="1" operator="equal">
      <formula>#REF!</formula>
    </cfRule>
    <cfRule type="cellIs" dxfId="599" priority="3435" stopIfTrue="1" operator="between">
      <formula>#REF!</formula>
      <formula>#REF!</formula>
    </cfRule>
    <cfRule type="cellIs" dxfId="598" priority="3404" stopIfTrue="1" operator="equal">
      <formula>#REF!</formula>
    </cfRule>
    <cfRule type="cellIs" dxfId="597" priority="3429" stopIfTrue="1" operator="between">
      <formula>#REF!</formula>
      <formula>#REF!</formula>
    </cfRule>
    <cfRule type="cellIs" dxfId="596" priority="3409" stopIfTrue="1" operator="equal">
      <formula>#REF!</formula>
    </cfRule>
    <cfRule type="cellIs" dxfId="595" priority="3405" stopIfTrue="1" operator="between">
      <formula>#REF!</formula>
      <formula>#REF!</formula>
    </cfRule>
    <cfRule type="cellIs" dxfId="594" priority="3406" stopIfTrue="1" operator="equal">
      <formula>#REF!</formula>
    </cfRule>
    <cfRule type="cellIs" dxfId="593" priority="3407" stopIfTrue="1" operator="equal">
      <formula>#REF!</formula>
    </cfRule>
    <cfRule type="cellIs" dxfId="592" priority="3408" stopIfTrue="1" operator="between">
      <formula>#REF!</formula>
      <formula>#REF!</formula>
    </cfRule>
    <cfRule type="cellIs" dxfId="591" priority="3416" stopIfTrue="1" operator="equal">
      <formula>#REF!</formula>
    </cfRule>
    <cfRule type="cellIs" dxfId="590" priority="3417" stopIfTrue="1" operator="between">
      <formula>#REF!</formula>
      <formula>#REF!</formula>
    </cfRule>
    <cfRule type="cellIs" dxfId="589" priority="3430" stopIfTrue="1" operator="equal">
      <formula>#REF!</formula>
    </cfRule>
    <cfRule type="cellIs" dxfId="588" priority="3425" stopIfTrue="1" operator="equal">
      <formula>#REF!</formula>
    </cfRule>
    <cfRule type="cellIs" dxfId="587" priority="3428" stopIfTrue="1" operator="equal">
      <formula>#REF!</formula>
    </cfRule>
    <cfRule type="cellIs" dxfId="586" priority="3410" stopIfTrue="1" operator="equal">
      <formula>#REF!</formula>
    </cfRule>
    <cfRule type="cellIs" dxfId="585" priority="3424" stopIfTrue="1" operator="equal">
      <formula>#REF!</formula>
    </cfRule>
    <cfRule type="cellIs" dxfId="584" priority="3418" stopIfTrue="1" operator="equal">
      <formula>#REF!</formula>
    </cfRule>
    <cfRule type="cellIs" dxfId="583" priority="3427" stopIfTrue="1" operator="equal">
      <formula>#REF!</formula>
    </cfRule>
    <cfRule type="cellIs" dxfId="582" priority="3411" stopIfTrue="1" operator="between">
      <formula>#REF!</formula>
      <formula>#REF!</formula>
    </cfRule>
    <cfRule type="cellIs" dxfId="581" priority="3426" stopIfTrue="1" operator="between">
      <formula>#REF!</formula>
      <formula>#REF!</formula>
    </cfRule>
    <cfRule type="cellIs" dxfId="580" priority="3412" stopIfTrue="1" operator="equal">
      <formula>#REF!</formula>
    </cfRule>
    <cfRule type="cellIs" dxfId="579" priority="3419" stopIfTrue="1" operator="equal">
      <formula>#REF!</formula>
    </cfRule>
    <cfRule type="cellIs" dxfId="578" priority="3420" stopIfTrue="1" operator="between">
      <formula>#REF!</formula>
      <formula>#REF!</formula>
    </cfRule>
    <cfRule type="cellIs" dxfId="577" priority="3421" stopIfTrue="1" operator="equal">
      <formula>#REF!</formula>
    </cfRule>
    <cfRule type="cellIs" dxfId="576" priority="3422" stopIfTrue="1" operator="equal">
      <formula>#REF!</formula>
    </cfRule>
    <cfRule type="cellIs" dxfId="575" priority="3423" stopIfTrue="1" operator="between">
      <formula>#REF!</formula>
      <formula>#REF!</formula>
    </cfRule>
    <cfRule type="cellIs" dxfId="574" priority="3415" stopIfTrue="1" operator="equal">
      <formula>#REF!</formula>
    </cfRule>
    <cfRule type="cellIs" dxfId="573" priority="3414" stopIfTrue="1" operator="between">
      <formula>#REF!</formula>
      <formula>#REF!</formula>
    </cfRule>
    <cfRule type="cellIs" dxfId="572" priority="3413" stopIfTrue="1" operator="equal">
      <formula>#REF!</formula>
    </cfRule>
    <cfRule type="cellIs" dxfId="571" priority="3433" stopIfTrue="1" operator="equal">
      <formula>#REF!</formula>
    </cfRule>
    <cfRule type="cellIs" dxfId="570" priority="3432" stopIfTrue="1" operator="between">
      <formula>#REF!</formula>
      <formula>#REF!</formula>
    </cfRule>
    <cfRule type="cellIs" dxfId="569" priority="3431" stopIfTrue="1" operator="equal">
      <formula>#REF!</formula>
    </cfRule>
    <cfRule type="cellIs" dxfId="568" priority="3434" stopIfTrue="1" operator="equal">
      <formula>#REF!</formula>
    </cfRule>
  </conditionalFormatting>
  <conditionalFormatting sqref="DF132:DG132">
    <cfRule type="cellIs" dxfId="567" priority="3400" stopIfTrue="1" operator="equal">
      <formula>#REF!</formula>
    </cfRule>
  </conditionalFormatting>
  <conditionalFormatting sqref="DG132">
    <cfRule type="cellIs" dxfId="566" priority="3402" stopIfTrue="1" operator="between">
      <formula>#REF!</formula>
      <formula>#REF!</formula>
    </cfRule>
    <cfRule type="cellIs" dxfId="565" priority="3401" stopIfTrue="1" operator="equal">
      <formula>#REF!</formula>
    </cfRule>
    <cfRule type="cellIs" dxfId="564" priority="3399" stopIfTrue="1" operator="between">
      <formula>#REF!</formula>
      <formula>#REF!</formula>
    </cfRule>
    <cfRule type="cellIs" dxfId="563" priority="3398" stopIfTrue="1" operator="equal">
      <formula>#REF!</formula>
    </cfRule>
    <cfRule type="cellIs" dxfId="562" priority="3395" stopIfTrue="1" operator="equal">
      <formula>#REF!</formula>
    </cfRule>
    <cfRule type="cellIs" dxfId="561" priority="3397" stopIfTrue="1" operator="equal">
      <formula>#REF!</formula>
    </cfRule>
    <cfRule type="cellIs" dxfId="560" priority="3396" stopIfTrue="1" operator="between">
      <formula>#REF!</formula>
      <formula>#REF!</formula>
    </cfRule>
  </conditionalFormatting>
  <conditionalFormatting sqref="DG132:DG133">
    <cfRule type="cellIs" dxfId="559" priority="3391" stopIfTrue="1" operator="equal">
      <formula>#REF!</formula>
    </cfRule>
  </conditionalFormatting>
  <conditionalFormatting sqref="DG133">
    <cfRule type="cellIs" dxfId="558" priority="3379" stopIfTrue="1" operator="equal">
      <formula>#REF!</formula>
    </cfRule>
    <cfRule type="cellIs" dxfId="557" priority="3378" stopIfTrue="1" operator="between">
      <formula>#REF!</formula>
      <formula>#REF!</formula>
    </cfRule>
    <cfRule type="cellIs" dxfId="556" priority="3393" stopIfTrue="1" operator="between">
      <formula>#REF!</formula>
      <formula>#REF!</formula>
    </cfRule>
    <cfRule type="cellIs" dxfId="555" priority="3392" stopIfTrue="1" operator="equal">
      <formula>#REF!</formula>
    </cfRule>
    <cfRule type="cellIs" dxfId="554" priority="3390" stopIfTrue="1" operator="between">
      <formula>#REF!</formula>
      <formula>#REF!</formula>
    </cfRule>
    <cfRule type="cellIs" dxfId="553" priority="3389" stopIfTrue="1" operator="equal">
      <formula>#REF!</formula>
    </cfRule>
    <cfRule type="cellIs" dxfId="552" priority="3387" stopIfTrue="1" operator="between">
      <formula>#REF!</formula>
      <formula>#REF!</formula>
    </cfRule>
    <cfRule type="cellIs" dxfId="551" priority="3386" stopIfTrue="1" operator="equal">
      <formula>#REF!</formula>
    </cfRule>
    <cfRule type="cellIs" dxfId="550" priority="3385" stopIfTrue="1" operator="equal">
      <formula>#REF!</formula>
    </cfRule>
    <cfRule type="cellIs" dxfId="549" priority="3384" stopIfTrue="1" operator="between">
      <formula>#REF!</formula>
      <formula>#REF!</formula>
    </cfRule>
    <cfRule type="cellIs" dxfId="548" priority="3383" stopIfTrue="1" operator="equal">
      <formula>#REF!</formula>
    </cfRule>
    <cfRule type="cellIs" dxfId="547" priority="3377" stopIfTrue="1" operator="equal">
      <formula>#REF!</formula>
    </cfRule>
    <cfRule type="cellIs" dxfId="546" priority="3359" stopIfTrue="1" operator="equal">
      <formula>#REF!</formula>
    </cfRule>
    <cfRule type="cellIs" dxfId="545" priority="3376" stopIfTrue="1" operator="equal">
      <formula>#REF!</formula>
    </cfRule>
    <cfRule type="cellIs" dxfId="544" priority="3380" stopIfTrue="1" operator="equal">
      <formula>#REF!</formula>
    </cfRule>
    <cfRule type="cellIs" dxfId="543" priority="3375" stopIfTrue="1" operator="between">
      <formula>#REF!</formula>
      <formula>#REF!</formula>
    </cfRule>
    <cfRule type="cellIs" dxfId="542" priority="3374" stopIfTrue="1" operator="equal">
      <formula>#REF!</formula>
    </cfRule>
    <cfRule type="cellIs" dxfId="541" priority="3373" stopIfTrue="1" operator="equal">
      <formula>#REF!</formula>
    </cfRule>
    <cfRule type="cellIs" dxfId="540" priority="3372" stopIfTrue="1" operator="between">
      <formula>#REF!</formula>
      <formula>#REF!</formula>
    </cfRule>
    <cfRule type="cellIs" dxfId="539" priority="3371" stopIfTrue="1" operator="equal">
      <formula>#REF!</formula>
    </cfRule>
    <cfRule type="cellIs" dxfId="538" priority="3370" stopIfTrue="1" operator="equal">
      <formula>#REF!</formula>
    </cfRule>
    <cfRule type="cellIs" dxfId="537" priority="3369" stopIfTrue="1" operator="between">
      <formula>#REF!</formula>
      <formula>#REF!</formula>
    </cfRule>
    <cfRule type="cellIs" dxfId="536" priority="3368" stopIfTrue="1" operator="equal">
      <formula>#REF!</formula>
    </cfRule>
    <cfRule type="cellIs" dxfId="535" priority="3388" stopIfTrue="1" operator="equal">
      <formula>#REF!</formula>
    </cfRule>
    <cfRule type="cellIs" dxfId="534" priority="3367" stopIfTrue="1" operator="equal">
      <formula>#REF!</formula>
    </cfRule>
    <cfRule type="cellIs" dxfId="533" priority="3366" stopIfTrue="1" operator="between">
      <formula>#REF!</formula>
      <formula>#REF!</formula>
    </cfRule>
    <cfRule type="cellIs" dxfId="532" priority="3365" stopIfTrue="1" operator="equal">
      <formula>#REF!</formula>
    </cfRule>
    <cfRule type="cellIs" dxfId="531" priority="3364" stopIfTrue="1" operator="equal">
      <formula>#REF!</formula>
    </cfRule>
    <cfRule type="cellIs" dxfId="530" priority="3363" stopIfTrue="1" operator="between">
      <formula>#REF!</formula>
      <formula>#REF!</formula>
    </cfRule>
    <cfRule type="cellIs" dxfId="529" priority="3362" stopIfTrue="1" operator="equal">
      <formula>#REF!</formula>
    </cfRule>
    <cfRule type="cellIs" dxfId="528" priority="3361" stopIfTrue="1" operator="equal">
      <formula>#REF!</formula>
    </cfRule>
    <cfRule type="cellIs" dxfId="527" priority="3381" stopIfTrue="1" operator="between">
      <formula>#REF!</formula>
      <formula>#REF!</formula>
    </cfRule>
    <cfRule type="cellIs" dxfId="526" priority="3382" stopIfTrue="1" operator="equal">
      <formula>#REF!</formula>
    </cfRule>
    <cfRule type="cellIs" dxfId="525" priority="3360" stopIfTrue="1" operator="between">
      <formula>#REF!</formula>
      <formula>#REF!</formula>
    </cfRule>
  </conditionalFormatting>
  <conditionalFormatting sqref="DG133:DH133">
    <cfRule type="cellIs" dxfId="524" priority="3355" stopIfTrue="1" operator="equal">
      <formula>#REF!</formula>
    </cfRule>
  </conditionalFormatting>
  <conditionalFormatting sqref="DH133">
    <cfRule type="cellIs" dxfId="523" priority="3352" stopIfTrue="1" operator="equal">
      <formula>#REF!</formula>
    </cfRule>
    <cfRule type="cellIs" dxfId="522" priority="3351" stopIfTrue="1" operator="between">
      <formula>#REF!</formula>
      <formula>#REF!</formula>
    </cfRule>
    <cfRule type="cellIs" dxfId="521" priority="3350" stopIfTrue="1" operator="equal">
      <formula>#REF!</formula>
    </cfRule>
    <cfRule type="cellIs" dxfId="520" priority="3354" stopIfTrue="1" operator="between">
      <formula>#REF!</formula>
      <formula>#REF!</formula>
    </cfRule>
    <cfRule type="cellIs" dxfId="519" priority="3357" stopIfTrue="1" operator="between">
      <formula>#REF!</formula>
      <formula>#REF!</formula>
    </cfRule>
    <cfRule type="cellIs" dxfId="518" priority="3356" stopIfTrue="1" operator="equal">
      <formula>#REF!</formula>
    </cfRule>
    <cfRule type="cellIs" dxfId="517" priority="3353" stopIfTrue="1" operator="equal">
      <formula>#REF!</formula>
    </cfRule>
  </conditionalFormatting>
  <conditionalFormatting sqref="DH133:DH134">
    <cfRule type="cellIs" dxfId="516" priority="3346" stopIfTrue="1" operator="equal">
      <formula>#REF!</formula>
    </cfRule>
  </conditionalFormatting>
  <conditionalFormatting sqref="DH134">
    <cfRule type="cellIs" dxfId="515" priority="3329" stopIfTrue="1" operator="equal">
      <formula>#REF!</formula>
    </cfRule>
    <cfRule type="cellIs" dxfId="514" priority="3347" stopIfTrue="1" operator="equal">
      <formula>#REF!</formula>
    </cfRule>
    <cfRule type="cellIs" dxfId="513" priority="3348" stopIfTrue="1" operator="between">
      <formula>#REF!</formula>
      <formula>#REF!</formula>
    </cfRule>
    <cfRule type="cellIs" dxfId="512" priority="3330" stopIfTrue="1" operator="between">
      <formula>#REF!</formula>
      <formula>#REF!</formula>
    </cfRule>
    <cfRule type="cellIs" dxfId="511" priority="3317" stopIfTrue="1" operator="equal">
      <formula>#REF!</formula>
    </cfRule>
    <cfRule type="cellIs" dxfId="510" priority="3331" stopIfTrue="1" operator="equal">
      <formula>#REF!</formula>
    </cfRule>
    <cfRule type="cellIs" dxfId="509" priority="3324" stopIfTrue="1" operator="between">
      <formula>#REF!</formula>
      <formula>#REF!</formula>
    </cfRule>
    <cfRule type="cellIs" dxfId="508" priority="3343" stopIfTrue="1" operator="equal">
      <formula>#REF!</formula>
    </cfRule>
    <cfRule type="cellIs" dxfId="507" priority="3316" stopIfTrue="1" operator="equal">
      <formula>#REF!</formula>
    </cfRule>
    <cfRule type="cellIs" dxfId="506" priority="3328" stopIfTrue="1" operator="equal">
      <formula>#REF!</formula>
    </cfRule>
    <cfRule type="cellIs" dxfId="505" priority="3315" stopIfTrue="1" operator="between">
      <formula>#REF!</formula>
      <formula>#REF!</formula>
    </cfRule>
    <cfRule type="cellIs" dxfId="504" priority="3340" stopIfTrue="1" operator="equal">
      <formula>#REF!</formula>
    </cfRule>
    <cfRule type="cellIs" dxfId="503" priority="3332" stopIfTrue="1" operator="equal">
      <formula>#REF!</formula>
    </cfRule>
    <cfRule type="cellIs" dxfId="502" priority="3321" stopIfTrue="1" operator="between">
      <formula>#REF!</formula>
      <formula>#REF!</formula>
    </cfRule>
    <cfRule type="cellIs" dxfId="501" priority="3341" stopIfTrue="1" operator="equal">
      <formula>#REF!</formula>
    </cfRule>
    <cfRule type="cellIs" dxfId="500" priority="3344" stopIfTrue="1" operator="equal">
      <formula>#REF!</formula>
    </cfRule>
    <cfRule type="cellIs" dxfId="499" priority="3320" stopIfTrue="1" operator="equal">
      <formula>#REF!</formula>
    </cfRule>
    <cfRule type="cellIs" dxfId="498" priority="3322" stopIfTrue="1" operator="equal">
      <formula>#REF!</formula>
    </cfRule>
    <cfRule type="cellIs" dxfId="497" priority="3323" stopIfTrue="1" operator="equal">
      <formula>#REF!</formula>
    </cfRule>
    <cfRule type="cellIs" dxfId="496" priority="3319" stopIfTrue="1" operator="equal">
      <formula>#REF!</formula>
    </cfRule>
    <cfRule type="cellIs" dxfId="495" priority="3334" stopIfTrue="1" operator="equal">
      <formula>#REF!</formula>
    </cfRule>
    <cfRule type="cellIs" dxfId="494" priority="3327" stopIfTrue="1" operator="between">
      <formula>#REF!</formula>
      <formula>#REF!</formula>
    </cfRule>
    <cfRule type="cellIs" dxfId="493" priority="3318" stopIfTrue="1" operator="between">
      <formula>#REF!</formula>
      <formula>#REF!</formula>
    </cfRule>
    <cfRule type="cellIs" dxfId="492" priority="3336" stopIfTrue="1" operator="between">
      <formula>#REF!</formula>
      <formula>#REF!</formula>
    </cfRule>
    <cfRule type="cellIs" dxfId="491" priority="3335" stopIfTrue="1" operator="equal">
      <formula>#REF!</formula>
    </cfRule>
    <cfRule type="cellIs" dxfId="490" priority="3337" stopIfTrue="1" operator="equal">
      <formula>#REF!</formula>
    </cfRule>
    <cfRule type="cellIs" dxfId="489" priority="3345" stopIfTrue="1" operator="between">
      <formula>#REF!</formula>
      <formula>#REF!</formula>
    </cfRule>
    <cfRule type="cellIs" dxfId="488" priority="3326" stopIfTrue="1" operator="equal">
      <formula>#REF!</formula>
    </cfRule>
    <cfRule type="cellIs" dxfId="487" priority="3325" stopIfTrue="1" operator="equal">
      <formula>#REF!</formula>
    </cfRule>
    <cfRule type="cellIs" dxfId="486" priority="3314" stopIfTrue="1" operator="equal">
      <formula>#REF!</formula>
    </cfRule>
    <cfRule type="cellIs" dxfId="485" priority="3342" stopIfTrue="1" operator="between">
      <formula>#REF!</formula>
      <formula>#REF!</formula>
    </cfRule>
    <cfRule type="cellIs" dxfId="484" priority="3333" stopIfTrue="1" operator="between">
      <formula>#REF!</formula>
      <formula>#REF!</formula>
    </cfRule>
    <cfRule type="cellIs" dxfId="483" priority="3338" stopIfTrue="1" operator="equal">
      <formula>#REF!</formula>
    </cfRule>
    <cfRule type="cellIs" dxfId="482" priority="3339" stopIfTrue="1" operator="between">
      <formula>#REF!</formula>
      <formula>#REF!</formula>
    </cfRule>
  </conditionalFormatting>
  <conditionalFormatting sqref="DH134:DI134">
    <cfRule type="cellIs" dxfId="481" priority="3310" stopIfTrue="1" operator="equal">
      <formula>#REF!</formula>
    </cfRule>
  </conditionalFormatting>
  <conditionalFormatting sqref="DI134">
    <cfRule type="cellIs" dxfId="480" priority="3307" stopIfTrue="1" operator="equal">
      <formula>#REF!</formula>
    </cfRule>
    <cfRule type="cellIs" dxfId="479" priority="3306" stopIfTrue="1" operator="between">
      <formula>#REF!</formula>
      <formula>#REF!</formula>
    </cfRule>
    <cfRule type="cellIs" dxfId="478" priority="3309" stopIfTrue="1" operator="between">
      <formula>#REF!</formula>
      <formula>#REF!</formula>
    </cfRule>
    <cfRule type="cellIs" dxfId="477" priority="3305" stopIfTrue="1" operator="equal">
      <formula>#REF!</formula>
    </cfRule>
    <cfRule type="cellIs" dxfId="476" priority="3311" stopIfTrue="1" operator="equal">
      <formula>#REF!</formula>
    </cfRule>
    <cfRule type="cellIs" dxfId="475" priority="3312" stopIfTrue="1" operator="between">
      <formula>#REF!</formula>
      <formula>#REF!</formula>
    </cfRule>
    <cfRule type="cellIs" dxfId="474" priority="3308" stopIfTrue="1" operator="equal">
      <formula>#REF!</formula>
    </cfRule>
  </conditionalFormatting>
  <conditionalFormatting sqref="DI134:DI135">
    <cfRule type="cellIs" dxfId="473" priority="3301" stopIfTrue="1" operator="equal">
      <formula>#REF!</formula>
    </cfRule>
  </conditionalFormatting>
  <conditionalFormatting sqref="DI135">
    <cfRule type="cellIs" dxfId="472" priority="3282" stopIfTrue="1" operator="between">
      <formula>#REF!</formula>
      <formula>#REF!</formula>
    </cfRule>
    <cfRule type="cellIs" dxfId="471" priority="3303" stopIfTrue="1" operator="between">
      <formula>#REF!</formula>
      <formula>#REF!</formula>
    </cfRule>
    <cfRule type="cellIs" dxfId="470" priority="3290" stopIfTrue="1" operator="equal">
      <formula>#REF!</formula>
    </cfRule>
    <cfRule type="cellIs" dxfId="469" priority="3272" stopIfTrue="1" operator="equal">
      <formula>#REF!</formula>
    </cfRule>
    <cfRule type="cellIs" dxfId="468" priority="3291" stopIfTrue="1" operator="between">
      <formula>#REF!</formula>
      <formula>#REF!</formula>
    </cfRule>
    <cfRule type="cellIs" dxfId="467" priority="3289" stopIfTrue="1" operator="equal">
      <formula>#REF!</formula>
    </cfRule>
    <cfRule type="cellIs" dxfId="466" priority="3292" stopIfTrue="1" operator="equal">
      <formula>#REF!</formula>
    </cfRule>
    <cfRule type="cellIs" dxfId="465" priority="3274" stopIfTrue="1" operator="equal">
      <formula>#REF!</formula>
    </cfRule>
    <cfRule type="cellIs" dxfId="464" priority="3302" stopIfTrue="1" operator="equal">
      <formula>#REF!</formula>
    </cfRule>
    <cfRule type="cellIs" dxfId="463" priority="3293" stopIfTrue="1" operator="equal">
      <formula>#REF!</formula>
    </cfRule>
    <cfRule type="cellIs" dxfId="462" priority="3273" stopIfTrue="1" operator="between">
      <formula>#REF!</formula>
      <formula>#REF!</formula>
    </cfRule>
    <cfRule type="cellIs" dxfId="461" priority="3294" stopIfTrue="1" operator="between">
      <formula>#REF!</formula>
      <formula>#REF!</formula>
    </cfRule>
    <cfRule type="cellIs" dxfId="460" priority="3288" stopIfTrue="1" operator="between">
      <formula>#REF!</formula>
      <formula>#REF!</formula>
    </cfRule>
    <cfRule type="cellIs" dxfId="459" priority="3271" stopIfTrue="1" operator="equal">
      <formula>#REF!</formula>
    </cfRule>
    <cfRule type="cellIs" dxfId="458" priority="3270" stopIfTrue="1" operator="between">
      <formula>#REF!</formula>
      <formula>#REF!</formula>
    </cfRule>
    <cfRule type="cellIs" dxfId="457" priority="3269" stopIfTrue="1" operator="equal">
      <formula>#REF!</formula>
    </cfRule>
    <cfRule type="cellIs" dxfId="456" priority="3295" stopIfTrue="1" operator="equal">
      <formula>#REF!</formula>
    </cfRule>
    <cfRule type="cellIs" dxfId="455" priority="3296" stopIfTrue="1" operator="equal">
      <formula>#REF!</formula>
    </cfRule>
    <cfRule type="cellIs" dxfId="454" priority="3297" stopIfTrue="1" operator="between">
      <formula>#REF!</formula>
      <formula>#REF!</formula>
    </cfRule>
    <cfRule type="cellIs" dxfId="453" priority="3298" stopIfTrue="1" operator="equal">
      <formula>#REF!</formula>
    </cfRule>
    <cfRule type="cellIs" dxfId="452" priority="3287" stopIfTrue="1" operator="equal">
      <formula>#REF!</formula>
    </cfRule>
    <cfRule type="cellIs" dxfId="451" priority="3286" stopIfTrue="1" operator="equal">
      <formula>#REF!</formula>
    </cfRule>
    <cfRule type="cellIs" dxfId="450" priority="3299" stopIfTrue="1" operator="equal">
      <formula>#REF!</formula>
    </cfRule>
    <cfRule type="cellIs" dxfId="449" priority="3300" stopIfTrue="1" operator="between">
      <formula>#REF!</formula>
      <formula>#REF!</formula>
    </cfRule>
    <cfRule type="cellIs" dxfId="448" priority="3281" stopIfTrue="1" operator="equal">
      <formula>#REF!</formula>
    </cfRule>
    <cfRule type="cellIs" dxfId="447" priority="3285" stopIfTrue="1" operator="between">
      <formula>#REF!</formula>
      <formula>#REF!</formula>
    </cfRule>
    <cfRule type="cellIs" dxfId="446" priority="3284" stopIfTrue="1" operator="equal">
      <formula>#REF!</formula>
    </cfRule>
    <cfRule type="cellIs" dxfId="445" priority="3280" stopIfTrue="1" operator="equal">
      <formula>#REF!</formula>
    </cfRule>
    <cfRule type="cellIs" dxfId="444" priority="3279" stopIfTrue="1" operator="between">
      <formula>#REF!</formula>
      <formula>#REF!</formula>
    </cfRule>
    <cfRule type="cellIs" dxfId="443" priority="3278" stopIfTrue="1" operator="equal">
      <formula>#REF!</formula>
    </cfRule>
    <cfRule type="cellIs" dxfId="442" priority="3277" stopIfTrue="1" operator="equal">
      <formula>#REF!</formula>
    </cfRule>
    <cfRule type="cellIs" dxfId="441" priority="3283" stopIfTrue="1" operator="equal">
      <formula>#REF!</formula>
    </cfRule>
    <cfRule type="cellIs" dxfId="440" priority="3276" stopIfTrue="1" operator="between">
      <formula>#REF!</formula>
      <formula>#REF!</formula>
    </cfRule>
    <cfRule type="cellIs" dxfId="439" priority="3275" stopIfTrue="1" operator="equal">
      <formula>#REF!</formula>
    </cfRule>
  </conditionalFormatting>
  <conditionalFormatting sqref="DI135:DJ135">
    <cfRule type="cellIs" dxfId="438" priority="3265" stopIfTrue="1" operator="equal">
      <formula>#REF!</formula>
    </cfRule>
  </conditionalFormatting>
  <conditionalFormatting sqref="DJ135">
    <cfRule type="cellIs" dxfId="437" priority="3262" stopIfTrue="1" operator="equal">
      <formula>#REF!</formula>
    </cfRule>
    <cfRule type="cellIs" dxfId="436" priority="3261" stopIfTrue="1" operator="between">
      <formula>#REF!</formula>
      <formula>#REF!</formula>
    </cfRule>
    <cfRule type="cellIs" dxfId="435" priority="3260" stopIfTrue="1" operator="equal">
      <formula>#REF!</formula>
    </cfRule>
    <cfRule type="cellIs" dxfId="434" priority="3266" stopIfTrue="1" operator="equal">
      <formula>#REF!</formula>
    </cfRule>
    <cfRule type="cellIs" dxfId="433" priority="3264" stopIfTrue="1" operator="between">
      <formula>#REF!</formula>
      <formula>#REF!</formula>
    </cfRule>
    <cfRule type="cellIs" dxfId="432" priority="3267" stopIfTrue="1" operator="between">
      <formula>#REF!</formula>
      <formula>#REF!</formula>
    </cfRule>
    <cfRule type="cellIs" dxfId="431" priority="3263" stopIfTrue="1" operator="equal">
      <formula>#REF!</formula>
    </cfRule>
  </conditionalFormatting>
  <conditionalFormatting sqref="DJ135:DJ136">
    <cfRule type="cellIs" dxfId="430" priority="3256" stopIfTrue="1" operator="equal">
      <formula>#REF!</formula>
    </cfRule>
  </conditionalFormatting>
  <conditionalFormatting sqref="DJ136">
    <cfRule type="cellIs" dxfId="429" priority="3234" stopIfTrue="1" operator="between">
      <formula>#REF!</formula>
      <formula>#REF!</formula>
    </cfRule>
    <cfRule type="cellIs" dxfId="428" priority="3233" stopIfTrue="1" operator="equal">
      <formula>#REF!</formula>
    </cfRule>
    <cfRule type="cellIs" dxfId="427" priority="3232" stopIfTrue="1" operator="equal">
      <formula>#REF!</formula>
    </cfRule>
    <cfRule type="cellIs" dxfId="426" priority="3231" stopIfTrue="1" operator="between">
      <formula>#REF!</formula>
      <formula>#REF!</formula>
    </cfRule>
    <cfRule type="cellIs" dxfId="425" priority="3230" stopIfTrue="1" operator="equal">
      <formula>#REF!</formula>
    </cfRule>
    <cfRule type="cellIs" dxfId="424" priority="3229" stopIfTrue="1" operator="equal">
      <formula>#REF!</formula>
    </cfRule>
    <cfRule type="cellIs" dxfId="423" priority="3228" stopIfTrue="1" operator="between">
      <formula>#REF!</formula>
      <formula>#REF!</formula>
    </cfRule>
    <cfRule type="cellIs" dxfId="422" priority="3227" stopIfTrue="1" operator="equal">
      <formula>#REF!</formula>
    </cfRule>
    <cfRule type="cellIs" dxfId="421" priority="3226" stopIfTrue="1" operator="equal">
      <formula>#REF!</formula>
    </cfRule>
    <cfRule type="cellIs" dxfId="420" priority="3225" stopIfTrue="1" operator="between">
      <formula>#REF!</formula>
      <formula>#REF!</formula>
    </cfRule>
    <cfRule type="cellIs" dxfId="419" priority="3244" stopIfTrue="1" operator="equal">
      <formula>#REF!</formula>
    </cfRule>
    <cfRule type="cellIs" dxfId="418" priority="3245" stopIfTrue="1" operator="equal">
      <formula>#REF!</formula>
    </cfRule>
    <cfRule type="cellIs" dxfId="417" priority="3246" stopIfTrue="1" operator="between">
      <formula>#REF!</formula>
      <formula>#REF!</formula>
    </cfRule>
    <cfRule type="cellIs" dxfId="416" priority="3248" stopIfTrue="1" operator="equal">
      <formula>#REF!</formula>
    </cfRule>
    <cfRule type="cellIs" dxfId="415" priority="3249" stopIfTrue="1" operator="between">
      <formula>#REF!</formula>
      <formula>#REF!</formula>
    </cfRule>
    <cfRule type="cellIs" dxfId="414" priority="3250" stopIfTrue="1" operator="equal">
      <formula>#REF!</formula>
    </cfRule>
    <cfRule type="cellIs" dxfId="413" priority="3251" stopIfTrue="1" operator="equal">
      <formula>#REF!</formula>
    </cfRule>
    <cfRule type="cellIs" dxfId="412" priority="3252" stopIfTrue="1" operator="between">
      <formula>#REF!</formula>
      <formula>#REF!</formula>
    </cfRule>
    <cfRule type="cellIs" dxfId="411" priority="3253" stopIfTrue="1" operator="equal">
      <formula>#REF!</formula>
    </cfRule>
    <cfRule type="cellIs" dxfId="410" priority="3254" stopIfTrue="1" operator="equal">
      <formula>#REF!</formula>
    </cfRule>
    <cfRule type="cellIs" dxfId="409" priority="3255" stopIfTrue="1" operator="between">
      <formula>#REF!</formula>
      <formula>#REF!</formula>
    </cfRule>
    <cfRule type="cellIs" dxfId="408" priority="3257" stopIfTrue="1" operator="equal">
      <formula>#REF!</formula>
    </cfRule>
    <cfRule type="cellIs" dxfId="407" priority="3258" stopIfTrue="1" operator="between">
      <formula>#REF!</formula>
      <formula>#REF!</formula>
    </cfRule>
    <cfRule type="cellIs" dxfId="406" priority="3243" stopIfTrue="1" operator="between">
      <formula>#REF!</formula>
      <formula>#REF!</formula>
    </cfRule>
    <cfRule type="cellIs" dxfId="405" priority="3224" stopIfTrue="1" operator="equal">
      <formula>#REF!</formula>
    </cfRule>
    <cfRule type="cellIs" dxfId="404" priority="3247" stopIfTrue="1" operator="equal">
      <formula>#REF!</formula>
    </cfRule>
    <cfRule type="cellIs" dxfId="403" priority="3242" stopIfTrue="1" operator="equal">
      <formula>#REF!</formula>
    </cfRule>
    <cfRule type="cellIs" dxfId="402" priority="3241" stopIfTrue="1" operator="equal">
      <formula>#REF!</formula>
    </cfRule>
    <cfRule type="cellIs" dxfId="401" priority="3240" stopIfTrue="1" operator="between">
      <formula>#REF!</formula>
      <formula>#REF!</formula>
    </cfRule>
    <cfRule type="cellIs" dxfId="400" priority="3239" stopIfTrue="1" operator="equal">
      <formula>#REF!</formula>
    </cfRule>
    <cfRule type="cellIs" dxfId="399" priority="3238" stopIfTrue="1" operator="equal">
      <formula>#REF!</formula>
    </cfRule>
    <cfRule type="cellIs" dxfId="398" priority="3237" stopIfTrue="1" operator="between">
      <formula>#REF!</formula>
      <formula>#REF!</formula>
    </cfRule>
    <cfRule type="cellIs" dxfId="397" priority="3236" stopIfTrue="1" operator="equal">
      <formula>#REF!</formula>
    </cfRule>
    <cfRule type="cellIs" dxfId="396" priority="3235" stopIfTrue="1" operator="equal">
      <formula>#REF!</formula>
    </cfRule>
  </conditionalFormatting>
  <conditionalFormatting sqref="DJ136:DK136">
    <cfRule type="cellIs" dxfId="395" priority="3220" stopIfTrue="1" operator="equal">
      <formula>#REF!</formula>
    </cfRule>
  </conditionalFormatting>
  <conditionalFormatting sqref="DK136">
    <cfRule type="cellIs" dxfId="394" priority="3217" stopIfTrue="1" operator="equal">
      <formula>#REF!</formula>
    </cfRule>
    <cfRule type="cellIs" dxfId="393" priority="3215" stopIfTrue="1" operator="equal">
      <formula>#REF!</formula>
    </cfRule>
    <cfRule type="cellIs" dxfId="392" priority="3216" stopIfTrue="1" operator="between">
      <formula>#REF!</formula>
      <formula>#REF!</formula>
    </cfRule>
    <cfRule type="cellIs" dxfId="391" priority="3222" stopIfTrue="1" operator="between">
      <formula>#REF!</formula>
      <formula>#REF!</formula>
    </cfRule>
    <cfRule type="cellIs" dxfId="390" priority="3221" stopIfTrue="1" operator="equal">
      <formula>#REF!</formula>
    </cfRule>
    <cfRule type="cellIs" dxfId="389" priority="3219" stopIfTrue="1" operator="between">
      <formula>#REF!</formula>
      <formula>#REF!</formula>
    </cfRule>
    <cfRule type="cellIs" dxfId="388" priority="3218" stopIfTrue="1" operator="equal">
      <formula>#REF!</formula>
    </cfRule>
  </conditionalFormatting>
  <conditionalFormatting sqref="DK136:DK137">
    <cfRule type="cellIs" dxfId="387" priority="3211" stopIfTrue="1" operator="equal">
      <formula>#REF!</formula>
    </cfRule>
  </conditionalFormatting>
  <conditionalFormatting sqref="DK137">
    <cfRule type="cellIs" dxfId="386" priority="3188" stopIfTrue="1" operator="equal">
      <formula>#REF!</formula>
    </cfRule>
    <cfRule type="cellIs" dxfId="385" priority="3189" stopIfTrue="1" operator="between">
      <formula>#REF!</formula>
      <formula>#REF!</formula>
    </cfRule>
    <cfRule type="cellIs" dxfId="384" priority="3190" stopIfTrue="1" operator="equal">
      <formula>#REF!</formula>
    </cfRule>
    <cfRule type="cellIs" dxfId="383" priority="3212" stopIfTrue="1" operator="equal">
      <formula>#REF!</formula>
    </cfRule>
    <cfRule type="cellIs" dxfId="382" priority="3181" stopIfTrue="1" operator="equal">
      <formula>#REF!</formula>
    </cfRule>
    <cfRule type="cellIs" dxfId="381" priority="3191" stopIfTrue="1" operator="equal">
      <formula>#REF!</formula>
    </cfRule>
    <cfRule type="cellIs" dxfId="380" priority="3192" stopIfTrue="1" operator="between">
      <formula>#REF!</formula>
      <formula>#REF!</formula>
    </cfRule>
    <cfRule type="cellIs" dxfId="379" priority="3187" stopIfTrue="1" operator="equal">
      <formula>#REF!</formula>
    </cfRule>
    <cfRule type="cellIs" dxfId="378" priority="3213" stopIfTrue="1" operator="between">
      <formula>#REF!</formula>
      <formula>#REF!</formula>
    </cfRule>
    <cfRule type="cellIs" dxfId="377" priority="3200" stopIfTrue="1" operator="equal">
      <formula>#REF!</formula>
    </cfRule>
    <cfRule type="cellIs" dxfId="376" priority="3210" stopIfTrue="1" operator="between">
      <formula>#REF!</formula>
      <formula>#REF!</formula>
    </cfRule>
    <cfRule type="cellIs" dxfId="375" priority="3209" stopIfTrue="1" operator="equal">
      <formula>#REF!</formula>
    </cfRule>
    <cfRule type="cellIs" dxfId="374" priority="3193" stopIfTrue="1" operator="equal">
      <formula>#REF!</formula>
    </cfRule>
    <cfRule type="cellIs" dxfId="373" priority="3208" stopIfTrue="1" operator="equal">
      <formula>#REF!</formula>
    </cfRule>
    <cfRule type="cellIs" dxfId="372" priority="3207" stopIfTrue="1" operator="between">
      <formula>#REF!</formula>
      <formula>#REF!</formula>
    </cfRule>
    <cfRule type="cellIs" dxfId="371" priority="3206" stopIfTrue="1" operator="equal">
      <formula>#REF!</formula>
    </cfRule>
    <cfRule type="cellIs" dxfId="370" priority="3205" stopIfTrue="1" operator="equal">
      <formula>#REF!</formula>
    </cfRule>
    <cfRule type="cellIs" dxfId="369" priority="3204" stopIfTrue="1" operator="between">
      <formula>#REF!</formula>
      <formula>#REF!</formula>
    </cfRule>
    <cfRule type="cellIs" dxfId="368" priority="3203" stopIfTrue="1" operator="equal">
      <formula>#REF!</formula>
    </cfRule>
    <cfRule type="cellIs" dxfId="367" priority="3202" stopIfTrue="1" operator="equal">
      <formula>#REF!</formula>
    </cfRule>
    <cfRule type="cellIs" dxfId="366" priority="3194" stopIfTrue="1" operator="equal">
      <formula>#REF!</formula>
    </cfRule>
    <cfRule type="cellIs" dxfId="365" priority="3201" stopIfTrue="1" operator="between">
      <formula>#REF!</formula>
      <formula>#REF!</formula>
    </cfRule>
    <cfRule type="cellIs" dxfId="364" priority="3199" stopIfTrue="1" operator="equal">
      <formula>#REF!</formula>
    </cfRule>
    <cfRule type="cellIs" dxfId="363" priority="3198" stopIfTrue="1" operator="between">
      <formula>#REF!</formula>
      <formula>#REF!</formula>
    </cfRule>
    <cfRule type="cellIs" dxfId="362" priority="3197" stopIfTrue="1" operator="equal">
      <formula>#REF!</formula>
    </cfRule>
    <cfRule type="cellIs" dxfId="361" priority="3196" stopIfTrue="1" operator="equal">
      <formula>#REF!</formula>
    </cfRule>
    <cfRule type="cellIs" dxfId="360" priority="3195" stopIfTrue="1" operator="between">
      <formula>#REF!</formula>
      <formula>#REF!</formula>
    </cfRule>
    <cfRule type="cellIs" dxfId="359" priority="3182" stopIfTrue="1" operator="equal">
      <formula>#REF!</formula>
    </cfRule>
    <cfRule type="cellIs" dxfId="358" priority="3180" stopIfTrue="1" operator="between">
      <formula>#REF!</formula>
      <formula>#REF!</formula>
    </cfRule>
    <cfRule type="cellIs" dxfId="357" priority="3184" stopIfTrue="1" operator="equal">
      <formula>#REF!</formula>
    </cfRule>
    <cfRule type="cellIs" dxfId="356" priority="3186" stopIfTrue="1" operator="between">
      <formula>#REF!</formula>
      <formula>#REF!</formula>
    </cfRule>
    <cfRule type="cellIs" dxfId="355" priority="3183" stopIfTrue="1" operator="between">
      <formula>#REF!</formula>
      <formula>#REF!</formula>
    </cfRule>
    <cfRule type="cellIs" dxfId="354" priority="3185" stopIfTrue="1" operator="equal">
      <formula>#REF!</formula>
    </cfRule>
    <cfRule type="cellIs" dxfId="353" priority="3179" stopIfTrue="1" operator="equal">
      <formula>#REF!</formula>
    </cfRule>
  </conditionalFormatting>
  <conditionalFormatting sqref="DK137:DL137">
    <cfRule type="cellIs" dxfId="352" priority="3175" stopIfTrue="1" operator="equal">
      <formula>#REF!</formula>
    </cfRule>
  </conditionalFormatting>
  <conditionalFormatting sqref="DL137">
    <cfRule type="cellIs" dxfId="351" priority="3176" stopIfTrue="1" operator="equal">
      <formula>#REF!</formula>
    </cfRule>
    <cfRule type="cellIs" dxfId="350" priority="3170" stopIfTrue="1" operator="equal">
      <formula>#REF!</formula>
    </cfRule>
    <cfRule type="cellIs" dxfId="349" priority="3171" stopIfTrue="1" operator="between">
      <formula>#REF!</formula>
      <formula>#REF!</formula>
    </cfRule>
    <cfRule type="cellIs" dxfId="348" priority="3174" stopIfTrue="1" operator="between">
      <formula>#REF!</formula>
      <formula>#REF!</formula>
    </cfRule>
    <cfRule type="cellIs" dxfId="347" priority="3177" stopIfTrue="1" operator="between">
      <formula>#REF!</formula>
      <formula>#REF!</formula>
    </cfRule>
    <cfRule type="cellIs" dxfId="346" priority="3173" stopIfTrue="1" operator="equal">
      <formula>#REF!</formula>
    </cfRule>
    <cfRule type="cellIs" dxfId="345" priority="3172" stopIfTrue="1" operator="equal">
      <formula>#REF!</formula>
    </cfRule>
  </conditionalFormatting>
  <conditionalFormatting sqref="DL137:DL138">
    <cfRule type="cellIs" dxfId="344" priority="3166" stopIfTrue="1" operator="equal">
      <formula>#REF!</formula>
    </cfRule>
  </conditionalFormatting>
  <conditionalFormatting sqref="DL138">
    <cfRule type="cellIs" dxfId="343" priority="3141" stopIfTrue="1" operator="between">
      <formula>#REF!</formula>
      <formula>#REF!</formula>
    </cfRule>
    <cfRule type="cellIs" dxfId="342" priority="3158" stopIfTrue="1" operator="equal">
      <formula>#REF!</formula>
    </cfRule>
    <cfRule type="cellIs" dxfId="341" priority="3159" stopIfTrue="1" operator="between">
      <formula>#REF!</formula>
      <formula>#REF!</formula>
    </cfRule>
    <cfRule type="cellIs" dxfId="340" priority="3160" stopIfTrue="1" operator="equal">
      <formula>#REF!</formula>
    </cfRule>
    <cfRule type="cellIs" dxfId="339" priority="3161" stopIfTrue="1" operator="equal">
      <formula>#REF!</formula>
    </cfRule>
    <cfRule type="cellIs" dxfId="338" priority="3138" stopIfTrue="1" operator="between">
      <formula>#REF!</formula>
      <formula>#REF!</formula>
    </cfRule>
    <cfRule type="cellIs" dxfId="337" priority="3140" stopIfTrue="1" operator="equal">
      <formula>#REF!</formula>
    </cfRule>
    <cfRule type="cellIs" dxfId="336" priority="3162" stopIfTrue="1" operator="between">
      <formula>#REF!</formula>
      <formula>#REF!</formula>
    </cfRule>
    <cfRule type="cellIs" dxfId="335" priority="3163" stopIfTrue="1" operator="equal">
      <formula>#REF!</formula>
    </cfRule>
    <cfRule type="cellIs" dxfId="334" priority="3148" stopIfTrue="1" operator="equal">
      <formula>#REF!</formula>
    </cfRule>
    <cfRule type="cellIs" dxfId="333" priority="3152" stopIfTrue="1" operator="equal">
      <formula>#REF!</formula>
    </cfRule>
    <cfRule type="cellIs" dxfId="332" priority="3164" stopIfTrue="1" operator="equal">
      <formula>#REF!</formula>
    </cfRule>
    <cfRule type="cellIs" dxfId="331" priority="3154" stopIfTrue="1" operator="equal">
      <formula>#REF!</formula>
    </cfRule>
    <cfRule type="cellIs" dxfId="330" priority="3153" stopIfTrue="1" operator="between">
      <formula>#REF!</formula>
      <formula>#REF!</formula>
    </cfRule>
    <cfRule type="cellIs" dxfId="329" priority="3151" stopIfTrue="1" operator="equal">
      <formula>#REF!</formula>
    </cfRule>
    <cfRule type="cellIs" dxfId="328" priority="3145" stopIfTrue="1" operator="equal">
      <formula>#REF!</formula>
    </cfRule>
    <cfRule type="cellIs" dxfId="327" priority="3134" stopIfTrue="1" operator="equal">
      <formula>#REF!</formula>
    </cfRule>
    <cfRule type="cellIs" dxfId="326" priority="3135" stopIfTrue="1" operator="between">
      <formula>#REF!</formula>
      <formula>#REF!</formula>
    </cfRule>
    <cfRule type="cellIs" dxfId="325" priority="3150" stopIfTrue="1" operator="between">
      <formula>#REF!</formula>
      <formula>#REF!</formula>
    </cfRule>
    <cfRule type="cellIs" dxfId="324" priority="3144" stopIfTrue="1" operator="between">
      <formula>#REF!</formula>
      <formula>#REF!</formula>
    </cfRule>
    <cfRule type="cellIs" dxfId="323" priority="3157" stopIfTrue="1" operator="equal">
      <formula>#REF!</formula>
    </cfRule>
    <cfRule type="cellIs" dxfId="322" priority="3149" stopIfTrue="1" operator="equal">
      <formula>#REF!</formula>
    </cfRule>
    <cfRule type="cellIs" dxfId="321" priority="3147" stopIfTrue="1" operator="between">
      <formula>#REF!</formula>
      <formula>#REF!</formula>
    </cfRule>
    <cfRule type="cellIs" dxfId="320" priority="3168" stopIfTrue="1" operator="between">
      <formula>#REF!</formula>
      <formula>#REF!</formula>
    </cfRule>
    <cfRule type="cellIs" dxfId="319" priority="3136" stopIfTrue="1" operator="equal">
      <formula>#REF!</formula>
    </cfRule>
    <cfRule type="cellIs" dxfId="318" priority="3156" stopIfTrue="1" operator="between">
      <formula>#REF!</formula>
      <formula>#REF!</formula>
    </cfRule>
    <cfRule type="cellIs" dxfId="317" priority="3155" stopIfTrue="1" operator="equal">
      <formula>#REF!</formula>
    </cfRule>
    <cfRule type="cellIs" dxfId="316" priority="3137" stopIfTrue="1" operator="equal">
      <formula>#REF!</formula>
    </cfRule>
    <cfRule type="cellIs" dxfId="315" priority="3143" stopIfTrue="1" operator="equal">
      <formula>#REF!</formula>
    </cfRule>
    <cfRule type="cellIs" dxfId="314" priority="3146" stopIfTrue="1" operator="equal">
      <formula>#REF!</formula>
    </cfRule>
    <cfRule type="cellIs" dxfId="313" priority="3167" stopIfTrue="1" operator="equal">
      <formula>#REF!</formula>
    </cfRule>
    <cfRule type="cellIs" dxfId="312" priority="3165" stopIfTrue="1" operator="between">
      <formula>#REF!</formula>
      <formula>#REF!</formula>
    </cfRule>
    <cfRule type="cellIs" dxfId="311" priority="3139" stopIfTrue="1" operator="equal">
      <formula>#REF!</formula>
    </cfRule>
    <cfRule type="cellIs" dxfId="310" priority="3142" stopIfTrue="1" operator="equal">
      <formula>#REF!</formula>
    </cfRule>
  </conditionalFormatting>
  <conditionalFormatting sqref="DL138:DM138">
    <cfRule type="cellIs" dxfId="309" priority="3130" stopIfTrue="1" operator="equal">
      <formula>#REF!</formula>
    </cfRule>
  </conditionalFormatting>
  <conditionalFormatting sqref="DM138">
    <cfRule type="cellIs" dxfId="308" priority="3131" stopIfTrue="1" operator="equal">
      <formula>#REF!</formula>
    </cfRule>
    <cfRule type="cellIs" dxfId="307" priority="3129" stopIfTrue="1" operator="between">
      <formula>#REF!</formula>
      <formula>#REF!</formula>
    </cfRule>
    <cfRule type="cellIs" dxfId="306" priority="3127" stopIfTrue="1" operator="equal">
      <formula>#REF!</formula>
    </cfRule>
    <cfRule type="cellIs" dxfId="305" priority="3125" stopIfTrue="1" operator="equal">
      <formula>#REF!</formula>
    </cfRule>
    <cfRule type="cellIs" dxfId="304" priority="3128" stopIfTrue="1" operator="equal">
      <formula>#REF!</formula>
    </cfRule>
    <cfRule type="cellIs" dxfId="303" priority="3126" stopIfTrue="1" operator="between">
      <formula>#REF!</formula>
      <formula>#REF!</formula>
    </cfRule>
    <cfRule type="cellIs" dxfId="302" priority="3132" stopIfTrue="1" operator="between">
      <formula>#REF!</formula>
      <formula>#REF!</formula>
    </cfRule>
  </conditionalFormatting>
  <conditionalFormatting sqref="DM138:DM139">
    <cfRule type="cellIs" dxfId="301" priority="3121" stopIfTrue="1" operator="equal">
      <formula>#REF!</formula>
    </cfRule>
  </conditionalFormatting>
  <conditionalFormatting sqref="DM139">
    <cfRule type="cellIs" dxfId="300" priority="3108" stopIfTrue="1" operator="between">
      <formula>#REF!</formula>
      <formula>#REF!</formula>
    </cfRule>
    <cfRule type="cellIs" dxfId="299" priority="3107" stopIfTrue="1" operator="equal">
      <formula>#REF!</formula>
    </cfRule>
    <cfRule type="cellIs" dxfId="298" priority="3111" stopIfTrue="1" operator="between">
      <formula>#REF!</formula>
      <formula>#REF!</formula>
    </cfRule>
    <cfRule type="cellIs" dxfId="297" priority="3105" stopIfTrue="1" operator="between">
      <formula>#REF!</formula>
      <formula>#REF!</formula>
    </cfRule>
    <cfRule type="cellIs" dxfId="296" priority="3104" stopIfTrue="1" operator="equal">
      <formula>#REF!</formula>
    </cfRule>
    <cfRule type="cellIs" dxfId="295" priority="3103" stopIfTrue="1" operator="equal">
      <formula>#REF!</formula>
    </cfRule>
    <cfRule type="cellIs" dxfId="294" priority="3102" stopIfTrue="1" operator="between">
      <formula>#REF!</formula>
      <formula>#REF!</formula>
    </cfRule>
    <cfRule type="cellIs" dxfId="293" priority="3101" stopIfTrue="1" operator="equal">
      <formula>#REF!</formula>
    </cfRule>
    <cfRule type="cellIs" dxfId="292" priority="3100" stopIfTrue="1" operator="equal">
      <formula>#REF!</formula>
    </cfRule>
    <cfRule type="cellIs" dxfId="291" priority="3099" stopIfTrue="1" operator="between">
      <formula>#REF!</formula>
      <formula>#REF!</formula>
    </cfRule>
    <cfRule type="cellIs" dxfId="290" priority="3098" stopIfTrue="1" operator="equal">
      <formula>#REF!</formula>
    </cfRule>
    <cfRule type="cellIs" dxfId="289" priority="3097" stopIfTrue="1" operator="equal">
      <formula>#REF!</formula>
    </cfRule>
    <cfRule type="cellIs" dxfId="288" priority="3096" stopIfTrue="1" operator="between">
      <formula>#REF!</formula>
      <formula>#REF!</formula>
    </cfRule>
    <cfRule type="cellIs" dxfId="287" priority="3095" stopIfTrue="1" operator="equal">
      <formula>#REF!</formula>
    </cfRule>
    <cfRule type="cellIs" dxfId="286" priority="3094" stopIfTrue="1" operator="equal">
      <formula>#REF!</formula>
    </cfRule>
    <cfRule type="cellIs" dxfId="285" priority="3093" stopIfTrue="1" operator="between">
      <formula>#REF!</formula>
      <formula>#REF!</formula>
    </cfRule>
    <cfRule type="cellIs" dxfId="284" priority="3113" stopIfTrue="1" operator="equal">
      <formula>#REF!</formula>
    </cfRule>
    <cfRule type="cellIs" dxfId="283" priority="3092" stopIfTrue="1" operator="equal">
      <formula>#REF!</formula>
    </cfRule>
    <cfRule type="cellIs" dxfId="282" priority="3106" stopIfTrue="1" operator="equal">
      <formula>#REF!</formula>
    </cfRule>
    <cfRule type="cellIs" dxfId="281" priority="3090" stopIfTrue="1" operator="between">
      <formula>#REF!</formula>
      <formula>#REF!</formula>
    </cfRule>
    <cfRule type="cellIs" dxfId="280" priority="3089" stopIfTrue="1" operator="equal">
      <formula>#REF!</formula>
    </cfRule>
    <cfRule type="cellIs" dxfId="279" priority="3114" stopIfTrue="1" operator="between">
      <formula>#REF!</formula>
      <formula>#REF!</formula>
    </cfRule>
    <cfRule type="cellIs" dxfId="278" priority="3118" stopIfTrue="1" operator="equal">
      <formula>#REF!</formula>
    </cfRule>
    <cfRule type="cellIs" dxfId="277" priority="3123" stopIfTrue="1" operator="between">
      <formula>#REF!</formula>
      <formula>#REF!</formula>
    </cfRule>
    <cfRule type="cellIs" dxfId="276" priority="3112" stopIfTrue="1" operator="equal">
      <formula>#REF!</formula>
    </cfRule>
    <cfRule type="cellIs" dxfId="275" priority="3115" stopIfTrue="1" operator="equal">
      <formula>#REF!</formula>
    </cfRule>
    <cfRule type="cellIs" dxfId="274" priority="3122" stopIfTrue="1" operator="equal">
      <formula>#REF!</formula>
    </cfRule>
    <cfRule type="cellIs" dxfId="273" priority="3110" stopIfTrue="1" operator="equal">
      <formula>#REF!</formula>
    </cfRule>
    <cfRule type="cellIs" dxfId="272" priority="3116" stopIfTrue="1" operator="equal">
      <formula>#REF!</formula>
    </cfRule>
    <cfRule type="cellIs" dxfId="271" priority="3109" stopIfTrue="1" operator="equal">
      <formula>#REF!</formula>
    </cfRule>
    <cfRule type="cellIs" dxfId="270" priority="3119" stopIfTrue="1" operator="equal">
      <formula>#REF!</formula>
    </cfRule>
    <cfRule type="cellIs" dxfId="269" priority="3117" stopIfTrue="1" operator="between">
      <formula>#REF!</formula>
      <formula>#REF!</formula>
    </cfRule>
    <cfRule type="cellIs" dxfId="268" priority="3120" stopIfTrue="1" operator="between">
      <formula>#REF!</formula>
      <formula>#REF!</formula>
    </cfRule>
    <cfRule type="cellIs" dxfId="267" priority="3091" stopIfTrue="1" operator="equal">
      <formula>#REF!</formula>
    </cfRule>
  </conditionalFormatting>
  <conditionalFormatting sqref="DM139:DN139">
    <cfRule type="cellIs" dxfId="266" priority="3085" stopIfTrue="1" operator="equal">
      <formula>#REF!</formula>
    </cfRule>
  </conditionalFormatting>
  <conditionalFormatting sqref="DN139">
    <cfRule type="cellIs" dxfId="265" priority="3081" stopIfTrue="1" operator="between">
      <formula>#REF!</formula>
      <formula>#REF!</formula>
    </cfRule>
    <cfRule type="cellIs" dxfId="264" priority="3086" stopIfTrue="1" operator="equal">
      <formula>#REF!</formula>
    </cfRule>
    <cfRule type="cellIs" dxfId="263" priority="3080" stopIfTrue="1" operator="equal">
      <formula>#REF!</formula>
    </cfRule>
    <cfRule type="cellIs" dxfId="262" priority="3087" stopIfTrue="1" operator="between">
      <formula>#REF!</formula>
      <formula>#REF!</formula>
    </cfRule>
    <cfRule type="cellIs" dxfId="261" priority="3084" stopIfTrue="1" operator="between">
      <formula>#REF!</formula>
      <formula>#REF!</formula>
    </cfRule>
    <cfRule type="cellIs" dxfId="260" priority="3083" stopIfTrue="1" operator="equal">
      <formula>#REF!</formula>
    </cfRule>
    <cfRule type="cellIs" dxfId="259" priority="3082" stopIfTrue="1" operator="equal">
      <formula>#REF!</formula>
    </cfRule>
  </conditionalFormatting>
  <conditionalFormatting sqref="DN139:DN140">
    <cfRule type="cellIs" dxfId="258" priority="3076" stopIfTrue="1" operator="equal">
      <formula>#REF!</formula>
    </cfRule>
  </conditionalFormatting>
  <conditionalFormatting sqref="DN140">
    <cfRule type="cellIs" dxfId="257" priority="3074" stopIfTrue="1" operator="equal">
      <formula>#REF!</formula>
    </cfRule>
    <cfRule type="cellIs" dxfId="256" priority="3063" stopIfTrue="1" operator="between">
      <formula>#REF!</formula>
      <formula>#REF!</formula>
    </cfRule>
    <cfRule type="cellIs" dxfId="255" priority="3070" stopIfTrue="1" operator="equal">
      <formula>#REF!</formula>
    </cfRule>
    <cfRule type="cellIs" dxfId="254" priority="3075" stopIfTrue="1" operator="between">
      <formula>#REF!</formula>
      <formula>#REF!</formula>
    </cfRule>
    <cfRule type="cellIs" dxfId="253" priority="3061" stopIfTrue="1" operator="equal">
      <formula>#REF!</formula>
    </cfRule>
    <cfRule type="cellIs" dxfId="252" priority="3060" stopIfTrue="1" operator="between">
      <formula>#REF!</formula>
      <formula>#REF!</formula>
    </cfRule>
    <cfRule type="cellIs" dxfId="251" priority="3059" stopIfTrue="1" operator="equal">
      <formula>#REF!</formula>
    </cfRule>
    <cfRule type="cellIs" dxfId="250" priority="3069" stopIfTrue="1" operator="between">
      <formula>#REF!</formula>
      <formula>#REF!</formula>
    </cfRule>
    <cfRule type="cellIs" dxfId="249" priority="3068" stopIfTrue="1" operator="equal">
      <formula>#REF!</formula>
    </cfRule>
    <cfRule type="cellIs" dxfId="248" priority="3058" stopIfTrue="1" operator="equal">
      <formula>#REF!</formula>
    </cfRule>
    <cfRule type="cellIs" dxfId="247" priority="3057" stopIfTrue="1" operator="between">
      <formula>#REF!</formula>
      <formula>#REF!</formula>
    </cfRule>
    <cfRule type="cellIs" dxfId="246" priority="3055" stopIfTrue="1" operator="equal">
      <formula>#REF!</formula>
    </cfRule>
    <cfRule type="cellIs" dxfId="245" priority="3044" stopIfTrue="1" operator="equal">
      <formula>#REF!</formula>
    </cfRule>
    <cfRule type="cellIs" dxfId="244" priority="3054" stopIfTrue="1" operator="between">
      <formula>#REF!</formula>
      <formula>#REF!</formula>
    </cfRule>
    <cfRule type="cellIs" dxfId="243" priority="3053" stopIfTrue="1" operator="equal">
      <formula>#REF!</formula>
    </cfRule>
    <cfRule type="cellIs" dxfId="242" priority="3052" stopIfTrue="1" operator="equal">
      <formula>#REF!</formula>
    </cfRule>
    <cfRule type="cellIs" dxfId="241" priority="3056" stopIfTrue="1" operator="equal">
      <formula>#REF!</formula>
    </cfRule>
    <cfRule type="cellIs" dxfId="240" priority="3062" stopIfTrue="1" operator="equal">
      <formula>#REF!</formula>
    </cfRule>
    <cfRule type="cellIs" dxfId="239" priority="3067" stopIfTrue="1" operator="equal">
      <formula>#REF!</formula>
    </cfRule>
    <cfRule type="cellIs" dxfId="238" priority="3066" stopIfTrue="1" operator="between">
      <formula>#REF!</formula>
      <formula>#REF!</formula>
    </cfRule>
    <cfRule type="cellIs" dxfId="237" priority="3073" stopIfTrue="1" operator="equal">
      <formula>#REF!</formula>
    </cfRule>
    <cfRule type="cellIs" dxfId="236" priority="3072" stopIfTrue="1" operator="between">
      <formula>#REF!</formula>
      <formula>#REF!</formula>
    </cfRule>
    <cfRule type="cellIs" dxfId="235" priority="3051" stopIfTrue="1" operator="between">
      <formula>#REF!</formula>
      <formula>#REF!</formula>
    </cfRule>
    <cfRule type="cellIs" dxfId="234" priority="3050" stopIfTrue="1" operator="equal">
      <formula>#REF!</formula>
    </cfRule>
    <cfRule type="cellIs" dxfId="233" priority="3049" stopIfTrue="1" operator="equal">
      <formula>#REF!</formula>
    </cfRule>
    <cfRule type="cellIs" dxfId="232" priority="3048" stopIfTrue="1" operator="between">
      <formula>#REF!</formula>
      <formula>#REF!</formula>
    </cfRule>
    <cfRule type="cellIs" dxfId="231" priority="3071" stopIfTrue="1" operator="equal">
      <formula>#REF!</formula>
    </cfRule>
    <cfRule type="cellIs" dxfId="230" priority="3047" stopIfTrue="1" operator="equal">
      <formula>#REF!</formula>
    </cfRule>
    <cfRule type="cellIs" dxfId="229" priority="3046" stopIfTrue="1" operator="equal">
      <formula>#REF!</formula>
    </cfRule>
    <cfRule type="cellIs" dxfId="228" priority="3045" stopIfTrue="1" operator="between">
      <formula>#REF!</formula>
      <formula>#REF!</formula>
    </cfRule>
    <cfRule type="cellIs" dxfId="227" priority="3065" stopIfTrue="1" operator="equal">
      <formula>#REF!</formula>
    </cfRule>
    <cfRule type="cellIs" dxfId="226" priority="3064" stopIfTrue="1" operator="equal">
      <formula>#REF!</formula>
    </cfRule>
    <cfRule type="cellIs" dxfId="225" priority="3078" stopIfTrue="1" operator="between">
      <formula>#REF!</formula>
      <formula>#REF!</formula>
    </cfRule>
    <cfRule type="cellIs" dxfId="224" priority="3077" stopIfTrue="1" operator="equal">
      <formula>#REF!</formula>
    </cfRule>
  </conditionalFormatting>
  <conditionalFormatting sqref="DN140:DO140">
    <cfRule type="cellIs" dxfId="223" priority="3040" stopIfTrue="1" operator="equal">
      <formula>#REF!</formula>
    </cfRule>
  </conditionalFormatting>
  <conditionalFormatting sqref="DO140">
    <cfRule type="cellIs" dxfId="222" priority="3036" stopIfTrue="1" operator="between">
      <formula>#REF!</formula>
      <formula>#REF!</formula>
    </cfRule>
    <cfRule type="cellIs" dxfId="221" priority="3038" stopIfTrue="1" operator="equal">
      <formula>#REF!</formula>
    </cfRule>
    <cfRule type="cellIs" dxfId="220" priority="3037" stopIfTrue="1" operator="equal">
      <formula>#REF!</formula>
    </cfRule>
    <cfRule type="cellIs" dxfId="219" priority="3035" stopIfTrue="1" operator="equal">
      <formula>#REF!</formula>
    </cfRule>
    <cfRule type="cellIs" dxfId="218" priority="3039" stopIfTrue="1" operator="between">
      <formula>#REF!</formula>
      <formula>#REF!</formula>
    </cfRule>
    <cfRule type="cellIs" dxfId="217" priority="3041" stopIfTrue="1" operator="equal">
      <formula>#REF!</formula>
    </cfRule>
    <cfRule type="cellIs" dxfId="216" priority="3042" stopIfTrue="1" operator="between">
      <formula>#REF!</formula>
      <formula>#REF!</formula>
    </cfRule>
  </conditionalFormatting>
  <conditionalFormatting sqref="DO140:DO141">
    <cfRule type="cellIs" dxfId="215" priority="3031" stopIfTrue="1" operator="equal">
      <formula>#REF!</formula>
    </cfRule>
  </conditionalFormatting>
  <conditionalFormatting sqref="DO141">
    <cfRule type="cellIs" dxfId="214" priority="3001" stopIfTrue="1" operator="equal">
      <formula>#REF!</formula>
    </cfRule>
    <cfRule type="cellIs" dxfId="213" priority="3005" stopIfTrue="1" operator="equal">
      <formula>#REF!</formula>
    </cfRule>
    <cfRule type="cellIs" dxfId="212" priority="3018" stopIfTrue="1" operator="between">
      <formula>#REF!</formula>
      <formula>#REF!</formula>
    </cfRule>
    <cfRule type="cellIs" dxfId="211" priority="3029" stopIfTrue="1" operator="equal">
      <formula>#REF!</formula>
    </cfRule>
    <cfRule type="cellIs" dxfId="210" priority="3002" stopIfTrue="1" operator="equal">
      <formula>#REF!</formula>
    </cfRule>
    <cfRule type="cellIs" dxfId="209" priority="3003" stopIfTrue="1" operator="between">
      <formula>#REF!</formula>
      <formula>#REF!</formula>
    </cfRule>
    <cfRule type="cellIs" dxfId="208" priority="3030" stopIfTrue="1" operator="between">
      <formula>#REF!</formula>
      <formula>#REF!</formula>
    </cfRule>
    <cfRule type="cellIs" dxfId="207" priority="3032" stopIfTrue="1" operator="equal">
      <formula>#REF!</formula>
    </cfRule>
    <cfRule type="cellIs" dxfId="206" priority="3033" stopIfTrue="1" operator="between">
      <formula>#REF!</formula>
      <formula>#REF!</formula>
    </cfRule>
    <cfRule type="cellIs" dxfId="205" priority="3025" stopIfTrue="1" operator="equal">
      <formula>#REF!</formula>
    </cfRule>
    <cfRule type="cellIs" dxfId="204" priority="3006" stopIfTrue="1" operator="between">
      <formula>#REF!</formula>
      <formula>#REF!</formula>
    </cfRule>
    <cfRule type="cellIs" dxfId="203" priority="3004" stopIfTrue="1" operator="equal">
      <formula>#REF!</formula>
    </cfRule>
    <cfRule type="cellIs" dxfId="202" priority="2999" stopIfTrue="1" operator="equal">
      <formula>#REF!</formula>
    </cfRule>
    <cfRule type="cellIs" dxfId="201" priority="3000" stopIfTrue="1" operator="between">
      <formula>#REF!</formula>
      <formula>#REF!</formula>
    </cfRule>
    <cfRule type="cellIs" dxfId="200" priority="3019" stopIfTrue="1" operator="equal">
      <formula>#REF!</formula>
    </cfRule>
    <cfRule type="cellIs" dxfId="199" priority="3020" stopIfTrue="1" operator="equal">
      <formula>#REF!</formula>
    </cfRule>
    <cfRule type="cellIs" dxfId="198" priority="3010" stopIfTrue="1" operator="equal">
      <formula>#REF!</formula>
    </cfRule>
    <cfRule type="cellIs" dxfId="197" priority="3007" stopIfTrue="1" operator="equal">
      <formula>#REF!</formula>
    </cfRule>
    <cfRule type="cellIs" dxfId="196" priority="3021" stopIfTrue="1" operator="between">
      <formula>#REF!</formula>
      <formula>#REF!</formula>
    </cfRule>
    <cfRule type="cellIs" dxfId="195" priority="3022" stopIfTrue="1" operator="equal">
      <formula>#REF!</formula>
    </cfRule>
    <cfRule type="cellIs" dxfId="194" priority="3023" stopIfTrue="1" operator="equal">
      <formula>#REF!</formula>
    </cfRule>
    <cfRule type="cellIs" dxfId="193" priority="3024" stopIfTrue="1" operator="between">
      <formula>#REF!</formula>
      <formula>#REF!</formula>
    </cfRule>
    <cfRule type="cellIs" dxfId="192" priority="3026" stopIfTrue="1" operator="equal">
      <formula>#REF!</formula>
    </cfRule>
    <cfRule type="cellIs" dxfId="191" priority="3027" stopIfTrue="1" operator="between">
      <formula>#REF!</formula>
      <formula>#REF!</formula>
    </cfRule>
    <cfRule type="cellIs" dxfId="190" priority="3011" stopIfTrue="1" operator="equal">
      <formula>#REF!</formula>
    </cfRule>
    <cfRule type="cellIs" dxfId="189" priority="3012" stopIfTrue="1" operator="between">
      <formula>#REF!</formula>
      <formula>#REF!</formula>
    </cfRule>
    <cfRule type="cellIs" dxfId="188" priority="3013" stopIfTrue="1" operator="equal">
      <formula>#REF!</formula>
    </cfRule>
    <cfRule type="cellIs" dxfId="187" priority="3008" stopIfTrue="1" operator="equal">
      <formula>#REF!</formula>
    </cfRule>
    <cfRule type="cellIs" dxfId="186" priority="3014" stopIfTrue="1" operator="equal">
      <formula>#REF!</formula>
    </cfRule>
    <cfRule type="cellIs" dxfId="185" priority="3016" stopIfTrue="1" operator="equal">
      <formula>#REF!</formula>
    </cfRule>
    <cfRule type="cellIs" dxfId="184" priority="3015" stopIfTrue="1" operator="between">
      <formula>#REF!</formula>
      <formula>#REF!</formula>
    </cfRule>
    <cfRule type="cellIs" dxfId="183" priority="3028" stopIfTrue="1" operator="equal">
      <formula>#REF!</formula>
    </cfRule>
    <cfRule type="cellIs" dxfId="182" priority="3009" stopIfTrue="1" operator="between">
      <formula>#REF!</formula>
      <formula>#REF!</formula>
    </cfRule>
    <cfRule type="cellIs" dxfId="181" priority="3017" stopIfTrue="1" operator="equal">
      <formula>#REF!</formula>
    </cfRule>
  </conditionalFormatting>
  <conditionalFormatting sqref="DO141:DP141">
    <cfRule type="cellIs" dxfId="180" priority="2995" stopIfTrue="1" operator="equal">
      <formula>#REF!</formula>
    </cfRule>
  </conditionalFormatting>
  <conditionalFormatting sqref="DP141">
    <cfRule type="cellIs" dxfId="179" priority="2993" stopIfTrue="1" operator="equal">
      <formula>#REF!</formula>
    </cfRule>
    <cfRule type="cellIs" dxfId="178" priority="2997" stopIfTrue="1" operator="between">
      <formula>#REF!</formula>
      <formula>#REF!</formula>
    </cfRule>
    <cfRule type="cellIs" dxfId="177" priority="2994" stopIfTrue="1" operator="between">
      <formula>#REF!</formula>
      <formula>#REF!</formula>
    </cfRule>
    <cfRule type="cellIs" dxfId="176" priority="2992" stopIfTrue="1" operator="equal">
      <formula>#REF!</formula>
    </cfRule>
    <cfRule type="cellIs" dxfId="175" priority="2991" stopIfTrue="1" operator="between">
      <formula>#REF!</formula>
      <formula>#REF!</formula>
    </cfRule>
    <cfRule type="cellIs" dxfId="174" priority="2990" stopIfTrue="1" operator="equal">
      <formula>#REF!</formula>
    </cfRule>
    <cfRule type="cellIs" dxfId="173" priority="2996" stopIfTrue="1" operator="equal">
      <formula>#REF!</formula>
    </cfRule>
  </conditionalFormatting>
  <conditionalFormatting sqref="DP141:DP142">
    <cfRule type="cellIs" dxfId="172" priority="2986" stopIfTrue="1" operator="equal">
      <formula>#REF!</formula>
    </cfRule>
  </conditionalFormatting>
  <conditionalFormatting sqref="DP142">
    <cfRule type="cellIs" dxfId="171" priority="2967" stopIfTrue="1" operator="between">
      <formula>#REF!</formula>
      <formula>#REF!</formula>
    </cfRule>
    <cfRule type="cellIs" dxfId="170" priority="2968" stopIfTrue="1" operator="equal">
      <formula>#REF!</formula>
    </cfRule>
    <cfRule type="cellIs" dxfId="169" priority="2969" stopIfTrue="1" operator="equal">
      <formula>#REF!</formula>
    </cfRule>
    <cfRule type="cellIs" dxfId="168" priority="2970" stopIfTrue="1" operator="between">
      <formula>#REF!</formula>
      <formula>#REF!</formula>
    </cfRule>
    <cfRule type="cellIs" dxfId="167" priority="2971" stopIfTrue="1" operator="equal">
      <formula>#REF!</formula>
    </cfRule>
    <cfRule type="cellIs" dxfId="166" priority="2972" stopIfTrue="1" operator="equal">
      <formula>#REF!</formula>
    </cfRule>
    <cfRule type="cellIs" dxfId="165" priority="2973" stopIfTrue="1" operator="between">
      <formula>#REF!</formula>
      <formula>#REF!</formula>
    </cfRule>
    <cfRule type="cellIs" dxfId="164" priority="2975" stopIfTrue="1" operator="equal">
      <formula>#REF!</formula>
    </cfRule>
    <cfRule type="cellIs" dxfId="163" priority="2976" stopIfTrue="1" operator="between">
      <formula>#REF!</formula>
      <formula>#REF!</formula>
    </cfRule>
    <cfRule type="cellIs" dxfId="162" priority="2978" stopIfTrue="1" operator="equal">
      <formula>#REF!</formula>
    </cfRule>
    <cfRule type="cellIs" dxfId="161" priority="2979" stopIfTrue="1" operator="between">
      <formula>#REF!</formula>
      <formula>#REF!</formula>
    </cfRule>
    <cfRule type="cellIs" dxfId="160" priority="2980" stopIfTrue="1" operator="equal">
      <formula>#REF!</formula>
    </cfRule>
    <cfRule type="cellIs" dxfId="159" priority="2981" stopIfTrue="1" operator="equal">
      <formula>#REF!</formula>
    </cfRule>
    <cfRule type="cellIs" dxfId="158" priority="2982" stopIfTrue="1" operator="between">
      <formula>#REF!</formula>
      <formula>#REF!</formula>
    </cfRule>
    <cfRule type="cellIs" dxfId="157" priority="2983" stopIfTrue="1" operator="equal">
      <formula>#REF!</formula>
    </cfRule>
    <cfRule type="cellIs" dxfId="156" priority="2984" stopIfTrue="1" operator="equal">
      <formula>#REF!</formula>
    </cfRule>
    <cfRule type="cellIs" dxfId="155" priority="2985" stopIfTrue="1" operator="between">
      <formula>#REF!</formula>
      <formula>#REF!</formula>
    </cfRule>
    <cfRule type="cellIs" dxfId="154" priority="2977" stopIfTrue="1" operator="equal">
      <formula>#REF!</formula>
    </cfRule>
    <cfRule type="cellIs" dxfId="153" priority="2987" stopIfTrue="1" operator="equal">
      <formula>#REF!</formula>
    </cfRule>
    <cfRule type="cellIs" dxfId="152" priority="2988" stopIfTrue="1" operator="between">
      <formula>#REF!</formula>
      <formula>#REF!</formula>
    </cfRule>
    <cfRule type="cellIs" dxfId="151" priority="2974" stopIfTrue="1" operator="equal">
      <formula>#REF!</formula>
    </cfRule>
    <cfRule type="cellIs" dxfId="150" priority="2963" stopIfTrue="1" operator="equal">
      <formula>#REF!</formula>
    </cfRule>
    <cfRule type="cellIs" dxfId="149" priority="2964" stopIfTrue="1" operator="between">
      <formula>#REF!</formula>
      <formula>#REF!</formula>
    </cfRule>
    <cfRule type="cellIs" dxfId="148" priority="2965" stopIfTrue="1" operator="equal">
      <formula>#REF!</formula>
    </cfRule>
    <cfRule type="cellIs" dxfId="147" priority="2966" stopIfTrue="1" operator="equal">
      <formula>#REF!</formula>
    </cfRule>
    <cfRule type="cellIs" dxfId="146" priority="2962" stopIfTrue="1" operator="equal">
      <formula>#REF!</formula>
    </cfRule>
    <cfRule type="cellIs" dxfId="145" priority="2954" stopIfTrue="1" operator="equal">
      <formula>#REF!</formula>
    </cfRule>
    <cfRule type="cellIs" dxfId="144" priority="2955" stopIfTrue="1" operator="between">
      <formula>#REF!</formula>
      <formula>#REF!</formula>
    </cfRule>
    <cfRule type="cellIs" dxfId="143" priority="2956" stopIfTrue="1" operator="equal">
      <formula>#REF!</formula>
    </cfRule>
    <cfRule type="cellIs" dxfId="142" priority="2957" stopIfTrue="1" operator="equal">
      <formula>#REF!</formula>
    </cfRule>
    <cfRule type="cellIs" dxfId="141" priority="2958" stopIfTrue="1" operator="between">
      <formula>#REF!</formula>
      <formula>#REF!</formula>
    </cfRule>
    <cfRule type="cellIs" dxfId="140" priority="2959" stopIfTrue="1" operator="equal">
      <formula>#REF!</formula>
    </cfRule>
    <cfRule type="cellIs" dxfId="139" priority="2960" stopIfTrue="1" operator="equal">
      <formula>#REF!</formula>
    </cfRule>
    <cfRule type="cellIs" dxfId="138" priority="2961" stopIfTrue="1" operator="between">
      <formula>#REF!</formula>
      <formula>#REF!</formula>
    </cfRule>
  </conditionalFormatting>
  <conditionalFormatting sqref="DP142:DQ142">
    <cfRule type="cellIs" dxfId="137" priority="2950" stopIfTrue="1" operator="equal">
      <formula>#REF!</formula>
    </cfRule>
  </conditionalFormatting>
  <conditionalFormatting sqref="DQ142">
    <cfRule type="cellIs" dxfId="136" priority="2945" stopIfTrue="1" operator="equal">
      <formula>#REF!</formula>
    </cfRule>
    <cfRule type="cellIs" dxfId="135" priority="2946" stopIfTrue="1" operator="between">
      <formula>#REF!</formula>
      <formula>#REF!</formula>
    </cfRule>
    <cfRule type="cellIs" dxfId="134" priority="2947" stopIfTrue="1" operator="equal">
      <formula>#REF!</formula>
    </cfRule>
    <cfRule type="cellIs" dxfId="133" priority="2948" stopIfTrue="1" operator="equal">
      <formula>#REF!</formula>
    </cfRule>
    <cfRule type="cellIs" dxfId="132" priority="2949" stopIfTrue="1" operator="between">
      <formula>#REF!</formula>
      <formula>#REF!</formula>
    </cfRule>
    <cfRule type="cellIs" dxfId="131" priority="2951" stopIfTrue="1" operator="equal">
      <formula>#REF!</formula>
    </cfRule>
    <cfRule type="cellIs" dxfId="130" priority="2952" stopIfTrue="1" operator="between">
      <formula>#REF!</formula>
      <formula>#REF!</formula>
    </cfRule>
  </conditionalFormatting>
  <conditionalFormatting sqref="DQ142:DQ143">
    <cfRule type="cellIs" dxfId="129" priority="2941" stopIfTrue="1" operator="equal">
      <formula>#REF!</formula>
    </cfRule>
  </conditionalFormatting>
  <conditionalFormatting sqref="DQ143">
    <cfRule type="cellIs" dxfId="128" priority="2924" stopIfTrue="1" operator="equal">
      <formula>#REF!</formula>
    </cfRule>
    <cfRule type="cellIs" dxfId="127" priority="2926" stopIfTrue="1" operator="equal">
      <formula>#REF!</formula>
    </cfRule>
    <cfRule type="cellIs" dxfId="126" priority="2927" stopIfTrue="1" operator="equal">
      <formula>#REF!</formula>
    </cfRule>
    <cfRule type="cellIs" dxfId="125" priority="2928" stopIfTrue="1" operator="between">
      <formula>#REF!</formula>
      <formula>#REF!</formula>
    </cfRule>
    <cfRule type="cellIs" dxfId="124" priority="2929" stopIfTrue="1" operator="equal">
      <formula>#REF!</formula>
    </cfRule>
    <cfRule type="cellIs" dxfId="123" priority="2930" stopIfTrue="1" operator="equal">
      <formula>#REF!</formula>
    </cfRule>
    <cfRule type="cellIs" dxfId="122" priority="2931" stopIfTrue="1" operator="between">
      <formula>#REF!</formula>
      <formula>#REF!</formula>
    </cfRule>
    <cfRule type="cellIs" dxfId="121" priority="2932" stopIfTrue="1" operator="equal">
      <formula>#REF!</formula>
    </cfRule>
    <cfRule type="cellIs" dxfId="120" priority="2933" stopIfTrue="1" operator="equal">
      <formula>#REF!</formula>
    </cfRule>
    <cfRule type="cellIs" dxfId="119" priority="2934" stopIfTrue="1" operator="between">
      <formula>#REF!</formula>
      <formula>#REF!</formula>
    </cfRule>
    <cfRule type="cellIs" dxfId="118" priority="2935" stopIfTrue="1" operator="equal">
      <formula>#REF!</formula>
    </cfRule>
    <cfRule type="cellIs" dxfId="117" priority="2936" stopIfTrue="1" operator="equal">
      <formula>#REF!</formula>
    </cfRule>
    <cfRule type="cellIs" dxfId="116" priority="2937" stopIfTrue="1" operator="between">
      <formula>#REF!</formula>
      <formula>#REF!</formula>
    </cfRule>
    <cfRule type="cellIs" dxfId="115" priority="2938" stopIfTrue="1" operator="equal">
      <formula>#REF!</formula>
    </cfRule>
    <cfRule type="cellIs" dxfId="114" priority="2939" stopIfTrue="1" operator="equal">
      <formula>#REF!</formula>
    </cfRule>
    <cfRule type="cellIs" dxfId="113" priority="2940" stopIfTrue="1" operator="between">
      <formula>#REF!</formula>
      <formula>#REF!</formula>
    </cfRule>
    <cfRule type="cellIs" dxfId="112" priority="2942" stopIfTrue="1" operator="equal">
      <formula>#REF!</formula>
    </cfRule>
    <cfRule type="cellIs" dxfId="111" priority="2943" stopIfTrue="1" operator="between">
      <formula>#REF!</formula>
      <formula>#REF!</formula>
    </cfRule>
    <cfRule type="cellIs" dxfId="110" priority="2917" stopIfTrue="1" operator="equal">
      <formula>#REF!</formula>
    </cfRule>
    <cfRule type="cellIs" dxfId="109" priority="2920" stopIfTrue="1" operator="equal">
      <formula>#REF!</formula>
    </cfRule>
    <cfRule type="cellIs" dxfId="108" priority="2919" stopIfTrue="1" operator="between">
      <formula>#REF!</formula>
      <formula>#REF!</formula>
    </cfRule>
    <cfRule type="cellIs" dxfId="107" priority="2918" stopIfTrue="1" operator="equal">
      <formula>#REF!</formula>
    </cfRule>
    <cfRule type="cellIs" dxfId="106" priority="2916" stopIfTrue="1" operator="between">
      <formula>#REF!</formula>
      <formula>#REF!</formula>
    </cfRule>
    <cfRule type="cellIs" dxfId="105" priority="2915" stopIfTrue="1" operator="equal">
      <formula>#REF!</formula>
    </cfRule>
    <cfRule type="cellIs" dxfId="104" priority="2914" stopIfTrue="1" operator="equal">
      <formula>#REF!</formula>
    </cfRule>
    <cfRule type="cellIs" dxfId="103" priority="2913" stopIfTrue="1" operator="between">
      <formula>#REF!</formula>
      <formula>#REF!</formula>
    </cfRule>
    <cfRule type="cellIs" dxfId="102" priority="2912" stopIfTrue="1" operator="equal">
      <formula>#REF!</formula>
    </cfRule>
    <cfRule type="cellIs" dxfId="101" priority="2911" stopIfTrue="1" operator="equal">
      <formula>#REF!</formula>
    </cfRule>
    <cfRule type="cellIs" dxfId="100" priority="2910" stopIfTrue="1" operator="between">
      <formula>#REF!</formula>
      <formula>#REF!</formula>
    </cfRule>
    <cfRule type="cellIs" dxfId="99" priority="2923" stopIfTrue="1" operator="equal">
      <formula>#REF!</formula>
    </cfRule>
    <cfRule type="cellIs" dxfId="98" priority="2922" stopIfTrue="1" operator="between">
      <formula>#REF!</formula>
      <formula>#REF!</formula>
    </cfRule>
    <cfRule type="cellIs" dxfId="97" priority="2921" stopIfTrue="1" operator="equal">
      <formula>#REF!</formula>
    </cfRule>
    <cfRule type="cellIs" dxfId="96" priority="2925" stopIfTrue="1" operator="between">
      <formula>#REF!</formula>
      <formula>#REF!</formula>
    </cfRule>
    <cfRule type="cellIs" dxfId="95" priority="2909" stopIfTrue="1" operator="equal">
      <formula>#REF!</formula>
    </cfRule>
  </conditionalFormatting>
  <conditionalFormatting sqref="DQ143:DR143">
    <cfRule type="cellIs" dxfId="94" priority="2905" stopIfTrue="1" operator="equal">
      <formula>#REF!</formula>
    </cfRule>
  </conditionalFormatting>
  <conditionalFormatting sqref="DR143">
    <cfRule type="cellIs" dxfId="93" priority="2904" stopIfTrue="1" operator="between">
      <formula>#REF!</formula>
      <formula>#REF!</formula>
    </cfRule>
    <cfRule type="cellIs" dxfId="92" priority="2906" stopIfTrue="1" operator="equal">
      <formula>#REF!</formula>
    </cfRule>
    <cfRule type="cellIs" dxfId="91" priority="2907" stopIfTrue="1" operator="between">
      <formula>#REF!</formula>
      <formula>#REF!</formula>
    </cfRule>
    <cfRule type="cellIs" dxfId="90" priority="2901" stopIfTrue="1" operator="between">
      <formula>#REF!</formula>
      <formula>#REF!</formula>
    </cfRule>
    <cfRule type="cellIs" dxfId="89" priority="2900" stopIfTrue="1" operator="equal">
      <formula>#REF!</formula>
    </cfRule>
    <cfRule type="cellIs" dxfId="88" priority="2902" stopIfTrue="1" operator="equal">
      <formula>#REF!</formula>
    </cfRule>
    <cfRule type="cellIs" dxfId="87" priority="2903" stopIfTrue="1" operator="equal">
      <formula>#REF!</formula>
    </cfRule>
  </conditionalFormatting>
  <conditionalFormatting sqref="DR143:DR173">
    <cfRule type="cellIs" dxfId="86" priority="2851" stopIfTrue="1" operator="equal">
      <formula>#REF!</formula>
    </cfRule>
  </conditionalFormatting>
  <conditionalFormatting sqref="DR144:DR173">
    <cfRule type="cellIs" dxfId="85" priority="2822" stopIfTrue="1" operator="equal">
      <formula>#REF!</formula>
    </cfRule>
    <cfRule type="cellIs" dxfId="84" priority="2821" stopIfTrue="1" operator="equal">
      <formula>#REF!</formula>
    </cfRule>
    <cfRule type="cellIs" dxfId="83" priority="2847" stopIfTrue="1" operator="between">
      <formula>#REF!</formula>
      <formula>#REF!</formula>
    </cfRule>
    <cfRule type="cellIs" dxfId="82" priority="2848" stopIfTrue="1" operator="equal">
      <formula>#REF!</formula>
    </cfRule>
    <cfRule type="cellIs" dxfId="81" priority="2849" stopIfTrue="1" operator="equal">
      <formula>#REF!</formula>
    </cfRule>
    <cfRule type="cellIs" dxfId="80" priority="2850" stopIfTrue="1" operator="between">
      <formula>#REF!</formula>
      <formula>#REF!</formula>
    </cfRule>
    <cfRule type="cellIs" dxfId="79" priority="2852" stopIfTrue="1" operator="equal">
      <formula>#REF!</formula>
    </cfRule>
    <cfRule type="cellIs" dxfId="78" priority="2838" stopIfTrue="1" operator="between">
      <formula>#REF!</formula>
      <formula>#REF!</formula>
    </cfRule>
    <cfRule type="cellIs" dxfId="77" priority="2840" stopIfTrue="1" operator="equal">
      <formula>#REF!</formula>
    </cfRule>
    <cfRule type="cellIs" dxfId="76" priority="2846" stopIfTrue="1" operator="equal">
      <formula>#REF!</formula>
    </cfRule>
    <cfRule type="cellIs" dxfId="75" priority="2853" stopIfTrue="1" operator="between">
      <formula>#REF!</formula>
      <formula>#REF!</formula>
    </cfRule>
    <cfRule type="cellIs" dxfId="74" priority="2836" stopIfTrue="1" operator="equal">
      <formula>#REF!</formula>
    </cfRule>
    <cfRule type="cellIs" dxfId="73" priority="2835" stopIfTrue="1" operator="between">
      <formula>#REF!</formula>
      <formula>#REF!</formula>
    </cfRule>
    <cfRule type="cellIs" dxfId="72" priority="2841" stopIfTrue="1" operator="between">
      <formula>#REF!</formula>
      <formula>#REF!</formula>
    </cfRule>
    <cfRule type="cellIs" dxfId="71" priority="2842" stopIfTrue="1" operator="equal">
      <formula>#REF!</formula>
    </cfRule>
    <cfRule type="cellIs" dxfId="70" priority="2820" stopIfTrue="1" operator="between">
      <formula>#REF!</formula>
      <formula>#REF!</formula>
    </cfRule>
    <cfRule type="cellIs" dxfId="69" priority="2837" stopIfTrue="1" operator="equal">
      <formula>#REF!</formula>
    </cfRule>
    <cfRule type="cellIs" dxfId="68" priority="2834" stopIfTrue="1" operator="equal">
      <formula>#REF!</formula>
    </cfRule>
    <cfRule type="cellIs" dxfId="67" priority="2833" stopIfTrue="1" operator="equal">
      <formula>#REF!</formula>
    </cfRule>
    <cfRule type="cellIs" dxfId="66" priority="2819" stopIfTrue="1" operator="equal">
      <formula>#REF!</formula>
    </cfRule>
    <cfRule type="cellIs" dxfId="65" priority="2823" stopIfTrue="1" operator="between">
      <formula>#REF!</formula>
      <formula>#REF!</formula>
    </cfRule>
    <cfRule type="cellIs" dxfId="64" priority="2843" stopIfTrue="1" operator="equal">
      <formula>#REF!</formula>
    </cfRule>
    <cfRule type="cellIs" dxfId="63" priority="2844" stopIfTrue="1" operator="between">
      <formula>#REF!</formula>
      <formula>#REF!</formula>
    </cfRule>
    <cfRule type="cellIs" dxfId="62" priority="2832" stopIfTrue="1" operator="between">
      <formula>#REF!</formula>
      <formula>#REF!</formula>
    </cfRule>
    <cfRule type="cellIs" dxfId="61" priority="2827" stopIfTrue="1" operator="equal">
      <formula>#REF!</formula>
    </cfRule>
    <cfRule type="cellIs" dxfId="60" priority="2826" stopIfTrue="1" operator="between">
      <formula>#REF!</formula>
      <formula>#REF!</formula>
    </cfRule>
    <cfRule type="cellIs" dxfId="59" priority="2831" stopIfTrue="1" operator="equal">
      <formula>#REF!</formula>
    </cfRule>
    <cfRule type="cellIs" dxfId="58" priority="2830" stopIfTrue="1" operator="equal">
      <formula>#REF!</formula>
    </cfRule>
    <cfRule type="cellIs" dxfId="57" priority="2829" stopIfTrue="1" operator="between">
      <formula>#REF!</formula>
      <formula>#REF!</formula>
    </cfRule>
    <cfRule type="cellIs" dxfId="56" priority="2825" stopIfTrue="1" operator="equal">
      <formula>#REF!</formula>
    </cfRule>
    <cfRule type="cellIs" dxfId="55" priority="2828" stopIfTrue="1" operator="equal">
      <formula>#REF!</formula>
    </cfRule>
    <cfRule type="cellIs" dxfId="54" priority="2845" stopIfTrue="1" operator="equal">
      <formula>#REF!</formula>
    </cfRule>
    <cfRule type="cellIs" dxfId="53" priority="2839" stopIfTrue="1" operator="equal">
      <formula>#REF!</formula>
    </cfRule>
    <cfRule type="cellIs" dxfId="52" priority="2824" stopIfTrue="1" operator="equal">
      <formula>#REF!</formula>
    </cfRule>
  </conditionalFormatting>
  <conditionalFormatting sqref="DR174:DR199">
    <cfRule type="cellIs" dxfId="51" priority="41" stopIfTrue="1" operator="equal">
      <formula>#REF!</formula>
    </cfRule>
    <cfRule type="cellIs" dxfId="50" priority="33" stopIfTrue="1" operator="between">
      <formula>#REF!</formula>
      <formula>#REF!</formula>
    </cfRule>
    <cfRule type="cellIs" dxfId="49" priority="32" stopIfTrue="1" operator="equal">
      <formula>#REF!</formula>
    </cfRule>
    <cfRule type="cellIs" dxfId="48" priority="31" stopIfTrue="1" operator="equal">
      <formula>#REF!</formula>
    </cfRule>
    <cfRule type="cellIs" dxfId="47" priority="30" stopIfTrue="1" operator="between">
      <formula>#REF!</formula>
      <formula>#REF!</formula>
    </cfRule>
    <cfRule type="cellIs" dxfId="46" priority="11" stopIfTrue="1" operator="equal">
      <formula>#REF!</formula>
    </cfRule>
    <cfRule type="cellIs" dxfId="45" priority="27" stopIfTrue="1" operator="between">
      <formula>#REF!</formula>
      <formula>#REF!</formula>
    </cfRule>
    <cfRule type="cellIs" dxfId="44" priority="29" stopIfTrue="1" operator="equal">
      <formula>#REF!</formula>
    </cfRule>
    <cfRule type="cellIs" dxfId="43" priority="45" stopIfTrue="1" operator="between">
      <formula>#REF!</formula>
      <formula>#REF!</formula>
    </cfRule>
    <cfRule type="cellIs" dxfId="42" priority="44" stopIfTrue="1" operator="equal">
      <formula>#REF!</formula>
    </cfRule>
    <cfRule type="cellIs" dxfId="41" priority="43" stopIfTrue="1" operator="equal">
      <formula>#REF!</formula>
    </cfRule>
    <cfRule type="cellIs" dxfId="40" priority="42" stopIfTrue="1" operator="between">
      <formula>#REF!</formula>
      <formula>#REF!</formula>
    </cfRule>
    <cfRule type="cellIs" dxfId="39" priority="28" stopIfTrue="1" operator="equal">
      <formula>#REF!</formula>
    </cfRule>
    <cfRule type="cellIs" dxfId="38" priority="40" stopIfTrue="1" operator="equal">
      <formula>#REF!</formula>
    </cfRule>
    <cfRule type="cellIs" dxfId="37" priority="39" stopIfTrue="1" operator="between">
      <formula>#REF!</formula>
      <formula>#REF!</formula>
    </cfRule>
    <cfRule type="cellIs" dxfId="36" priority="38" stopIfTrue="1" operator="equal">
      <formula>#REF!</formula>
    </cfRule>
    <cfRule type="cellIs" dxfId="35" priority="37" stopIfTrue="1" operator="equal">
      <formula>#REF!</formula>
    </cfRule>
    <cfRule type="cellIs" dxfId="34" priority="36" stopIfTrue="1" operator="between">
      <formula>#REF!</formula>
      <formula>#REF!</formula>
    </cfRule>
    <cfRule type="cellIs" dxfId="33" priority="35" stopIfTrue="1" operator="equal">
      <formula>#REF!</formula>
    </cfRule>
    <cfRule type="cellIs" dxfId="32" priority="34" stopIfTrue="1" operator="equal">
      <formula>#REF!</formula>
    </cfRule>
    <cfRule type="cellIs" dxfId="31" priority="26" stopIfTrue="1" operator="equal">
      <formula>#REF!</formula>
    </cfRule>
    <cfRule type="cellIs" dxfId="30" priority="25" stopIfTrue="1" operator="equal">
      <formula>#REF!</formula>
    </cfRule>
    <cfRule type="cellIs" dxfId="29" priority="24" stopIfTrue="1" operator="between">
      <formula>#REF!</formula>
      <formula>#REF!</formula>
    </cfRule>
    <cfRule type="cellIs" dxfId="28" priority="23" stopIfTrue="1" operator="equal">
      <formula>#REF!</formula>
    </cfRule>
    <cfRule type="cellIs" dxfId="27" priority="22" stopIfTrue="1" operator="equal">
      <formula>#REF!</formula>
    </cfRule>
    <cfRule type="cellIs" dxfId="26" priority="21" stopIfTrue="1" operator="between">
      <formula>#REF!</formula>
      <formula>#REF!</formula>
    </cfRule>
    <cfRule type="cellIs" dxfId="25" priority="20" stopIfTrue="1" operator="equal">
      <formula>#REF!</formula>
    </cfRule>
    <cfRule type="cellIs" dxfId="24" priority="19" stopIfTrue="1" operator="equal">
      <formula>#REF!</formula>
    </cfRule>
    <cfRule type="cellIs" dxfId="23" priority="18" stopIfTrue="1" operator="between">
      <formula>#REF!</formula>
      <formula>#REF!</formula>
    </cfRule>
    <cfRule type="cellIs" dxfId="22" priority="17" stopIfTrue="1" operator="equal">
      <formula>#REF!</formula>
    </cfRule>
    <cfRule type="cellIs" dxfId="21" priority="16" stopIfTrue="1" operator="equal">
      <formula>#REF!</formula>
    </cfRule>
    <cfRule type="cellIs" dxfId="20" priority="15" stopIfTrue="1" operator="between">
      <formula>#REF!</formula>
      <formula>#REF!</formula>
    </cfRule>
    <cfRule type="cellIs" dxfId="19" priority="14" stopIfTrue="1" operator="equal">
      <formula>#REF!</formula>
    </cfRule>
    <cfRule type="cellIs" dxfId="18" priority="13" stopIfTrue="1" operator="equal">
      <formula>#REF!</formula>
    </cfRule>
    <cfRule type="cellIs" dxfId="17" priority="12" stopIfTrue="1" operator="between">
      <formula>#REF!</formula>
      <formula>#REF!</formula>
    </cfRule>
  </conditionalFormatting>
  <conditionalFormatting sqref="DR144:DS173">
    <cfRule type="cellIs" dxfId="16" priority="2815" stopIfTrue="1" operator="equal">
      <formula>#REF!</formula>
    </cfRule>
  </conditionalFormatting>
  <conditionalFormatting sqref="DR174:DS199">
    <cfRule type="cellIs" dxfId="15" priority="4" stopIfTrue="1" operator="equal">
      <formula>#REF!</formula>
    </cfRule>
  </conditionalFormatting>
  <conditionalFormatting sqref="DS144:DS173">
    <cfRule type="cellIs" dxfId="14" priority="2814" stopIfTrue="1" operator="between">
      <formula>#REF!</formula>
      <formula>#REF!</formula>
    </cfRule>
    <cfRule type="cellIs" dxfId="13" priority="2816" stopIfTrue="1" operator="equal">
      <formula>#REF!</formula>
    </cfRule>
    <cfRule type="cellIs" dxfId="12" priority="2817" stopIfTrue="1" operator="between">
      <formula>#REF!</formula>
      <formula>#REF!</formula>
    </cfRule>
    <cfRule type="cellIs" dxfId="11" priority="2810" stopIfTrue="1" operator="equal">
      <formula>#REF!</formula>
    </cfRule>
    <cfRule type="cellIs" dxfId="10" priority="2811" stopIfTrue="1" operator="between">
      <formula>#REF!</formula>
      <formula>#REF!</formula>
    </cfRule>
    <cfRule type="cellIs" dxfId="9" priority="2812" stopIfTrue="1" operator="equal">
      <formula>#REF!</formula>
    </cfRule>
    <cfRule type="cellIs" dxfId="8" priority="2813" stopIfTrue="1" operator="equal">
      <formula>#REF!</formula>
    </cfRule>
  </conditionalFormatting>
  <conditionalFormatting sqref="DS144:DS199">
    <cfRule type="cellIs" dxfId="7" priority="7" stopIfTrue="1" operator="equal">
      <formula>#REF!</formula>
    </cfRule>
  </conditionalFormatting>
  <conditionalFormatting sqref="DS174:DS199">
    <cfRule type="cellIs" dxfId="6" priority="8" stopIfTrue="1" operator="equal">
      <formula>#REF!</formula>
    </cfRule>
    <cfRule type="cellIs" dxfId="5" priority="6" stopIfTrue="1" operator="between">
      <formula>#REF!</formula>
      <formula>#REF!</formula>
    </cfRule>
    <cfRule type="cellIs" dxfId="4" priority="5" stopIfTrue="1" operator="equal">
      <formula>#REF!</formula>
    </cfRule>
    <cfRule type="cellIs" dxfId="3" priority="9" stopIfTrue="1" operator="between">
      <formula>#REF!</formula>
      <formula>#REF!</formula>
    </cfRule>
    <cfRule type="cellIs" dxfId="2" priority="3" stopIfTrue="1" operator="between">
      <formula>#REF!</formula>
      <formula>#REF!</formula>
    </cfRule>
    <cfRule type="cellIs" dxfId="1" priority="2" stopIfTrue="1" operator="equal">
      <formula>#REF!</formula>
    </cfRule>
    <cfRule type="cellIs" dxfId="0" priority="1" stopIfTrue="1" operator="equal">
      <formula>#REF!</formula>
    </cfRule>
  </conditionalFormatting>
  <pageMargins left="0.75" right="0.75" top="1" bottom="1" header="0.5" footer="0.5"/>
  <pageSetup paperSize="9" scale="30" orientation="landscape" r:id="rId1"/>
  <headerFooter alignWithMargins="0"/>
  <rowBreaks count="1" manualBreakCount="1">
    <brk id="3"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GG200"/>
  <sheetViews>
    <sheetView topLeftCell="B1" zoomScaleNormal="100" workbookViewId="0">
      <pane xSplit="1" ySplit="12" topLeftCell="FU187" activePane="bottomRight" state="frozen"/>
      <selection activeCell="B1" sqref="B1"/>
      <selection pane="topRight" activeCell="C1" sqref="C1"/>
      <selection pane="bottomLeft" activeCell="B13" sqref="B13"/>
      <selection pane="bottomRight" activeCell="B1" sqref="B1"/>
    </sheetView>
  </sheetViews>
  <sheetFormatPr defaultColWidth="7" defaultRowHeight="12.75" x14ac:dyDescent="0.2"/>
  <cols>
    <col min="1" max="1" width="0" hidden="1" customWidth="1"/>
    <col min="2" max="2" width="34.7109375" customWidth="1"/>
    <col min="107" max="121" width="7" customWidth="1"/>
    <col min="130" max="141" width="0" hidden="1" customWidth="1"/>
  </cols>
  <sheetData>
    <row r="1" spans="1:189" ht="18" x14ac:dyDescent="0.25">
      <c r="B1" s="31" t="s">
        <v>273</v>
      </c>
    </row>
    <row r="2" spans="1:189" x14ac:dyDescent="0.2">
      <c r="C2" s="32"/>
      <c r="D2" s="32"/>
      <c r="E2" s="32"/>
      <c r="F2" s="32"/>
      <c r="G2" s="32"/>
      <c r="H2" s="32"/>
      <c r="I2" s="32"/>
      <c r="J2" s="32"/>
      <c r="K2" s="32"/>
      <c r="L2" s="32"/>
      <c r="M2" s="32"/>
      <c r="N2" s="32"/>
      <c r="O2" s="32"/>
      <c r="P2" s="32"/>
      <c r="Q2" s="32"/>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c r="BD2" s="32"/>
      <c r="BE2" s="32"/>
      <c r="BF2" s="32"/>
      <c r="BG2" s="32"/>
      <c r="BH2" s="32"/>
      <c r="BI2" s="32"/>
      <c r="BJ2" s="32"/>
      <c r="BK2" s="32"/>
      <c r="BL2" s="32"/>
      <c r="BM2" s="32"/>
      <c r="BN2" s="32"/>
      <c r="BO2" s="32"/>
      <c r="BP2" s="32"/>
      <c r="BQ2" s="32"/>
      <c r="BR2" s="32"/>
      <c r="BS2" s="32"/>
      <c r="BT2" s="32"/>
      <c r="BU2" s="32"/>
      <c r="BV2" s="32"/>
      <c r="BW2" s="32"/>
      <c r="BX2" s="32"/>
      <c r="BY2" s="32"/>
      <c r="BZ2" s="32"/>
      <c r="CA2" s="32"/>
      <c r="CB2" s="32"/>
      <c r="CC2" s="32"/>
      <c r="CD2" s="32"/>
      <c r="CE2" s="32"/>
      <c r="CF2" s="32"/>
      <c r="CG2" s="32"/>
      <c r="CH2" s="32"/>
      <c r="CI2" s="32"/>
      <c r="CJ2" s="32"/>
      <c r="CK2" s="32"/>
      <c r="CL2" s="32"/>
      <c r="CM2" s="32"/>
      <c r="CN2" s="32"/>
      <c r="CO2" s="32"/>
      <c r="CP2" s="32"/>
      <c r="CQ2" s="32"/>
      <c r="CR2" s="32"/>
      <c r="CS2" s="32"/>
      <c r="CT2" s="32"/>
      <c r="CU2" s="32"/>
      <c r="CV2" s="32"/>
      <c r="CW2" s="32"/>
      <c r="CX2" s="32"/>
      <c r="CY2" s="32"/>
      <c r="CZ2" s="32"/>
      <c r="DA2" s="32"/>
      <c r="DB2" s="32"/>
      <c r="DC2" s="32"/>
      <c r="DD2" s="32"/>
      <c r="DE2" s="32"/>
      <c r="DF2" s="32"/>
      <c r="DG2" s="32"/>
      <c r="DH2" s="32"/>
      <c r="DI2" s="32"/>
      <c r="DJ2" s="32"/>
      <c r="DK2" s="32"/>
      <c r="DL2" s="32"/>
      <c r="DM2" s="32"/>
      <c r="DN2" s="32"/>
      <c r="DO2" s="32"/>
      <c r="DP2" s="32"/>
      <c r="DQ2" s="32"/>
      <c r="DR2" s="32"/>
      <c r="DS2" s="32"/>
      <c r="DT2" s="32"/>
      <c r="DU2" s="32"/>
      <c r="DV2" s="32"/>
      <c r="DW2" s="32"/>
      <c r="DX2" s="32"/>
      <c r="DY2" s="32"/>
      <c r="DZ2" s="32"/>
      <c r="EA2" s="32"/>
      <c r="EB2" s="32"/>
      <c r="EC2" s="32"/>
      <c r="ED2" s="32"/>
      <c r="EE2" s="32"/>
      <c r="EF2" s="32"/>
      <c r="EG2" s="32"/>
      <c r="EH2" s="32"/>
      <c r="EI2" s="32"/>
      <c r="EJ2" s="32"/>
      <c r="EK2" s="32"/>
      <c r="EL2" s="32"/>
      <c r="EM2" s="32"/>
      <c r="EN2" s="32"/>
      <c r="EO2" s="32"/>
      <c r="EP2" s="32"/>
      <c r="EQ2" s="32"/>
      <c r="ER2" s="32"/>
      <c r="ES2" s="32"/>
      <c r="ET2" s="32"/>
      <c r="EU2" s="32"/>
      <c r="EV2" s="32"/>
      <c r="EW2" s="32"/>
      <c r="EX2" s="32"/>
      <c r="EY2" s="32"/>
      <c r="EZ2" s="32"/>
      <c r="FA2" s="32"/>
      <c r="FB2" s="32"/>
      <c r="FC2" s="32"/>
      <c r="FD2" s="32"/>
      <c r="FE2" s="32"/>
      <c r="FF2" s="32"/>
      <c r="FG2" s="32"/>
      <c r="FH2" s="32"/>
      <c r="FI2" s="32"/>
      <c r="FJ2" s="32"/>
      <c r="FK2" s="32"/>
      <c r="FL2" s="32"/>
      <c r="FM2" s="32"/>
      <c r="FN2" s="32"/>
      <c r="FO2" s="32"/>
      <c r="FP2" s="32"/>
      <c r="FQ2" s="32"/>
      <c r="FR2" s="32"/>
      <c r="FS2" s="32"/>
      <c r="FT2" s="32"/>
      <c r="FU2" s="32"/>
      <c r="FV2" s="32"/>
      <c r="FW2" s="32"/>
      <c r="FX2" s="32"/>
      <c r="FY2" s="32"/>
      <c r="FZ2" s="32"/>
      <c r="GA2" s="32"/>
      <c r="GB2" s="32"/>
      <c r="GC2" s="32"/>
      <c r="GD2" s="32"/>
      <c r="GE2" s="32"/>
      <c r="GF2" s="32"/>
      <c r="GG2" s="32"/>
    </row>
    <row r="3" spans="1:189" x14ac:dyDescent="0.2">
      <c r="B3" s="32" t="s">
        <v>262</v>
      </c>
      <c r="C3" s="32"/>
      <c r="D3" s="32"/>
      <c r="E3" s="32"/>
      <c r="F3" s="32"/>
      <c r="G3" s="32"/>
      <c r="H3" s="32"/>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P3" s="32"/>
      <c r="AQ3" s="32"/>
      <c r="AR3" s="32"/>
      <c r="AS3" s="32"/>
      <c r="AT3" s="32"/>
      <c r="AU3" s="32"/>
      <c r="AV3" s="32"/>
      <c r="AW3" s="32"/>
      <c r="AX3" s="32"/>
      <c r="AY3" s="32"/>
      <c r="AZ3" s="32"/>
      <c r="BA3" s="32"/>
      <c r="BB3" s="32"/>
      <c r="BC3" s="32"/>
      <c r="BD3" s="32"/>
      <c r="BE3" s="32"/>
      <c r="BF3" s="32"/>
      <c r="BG3" s="32"/>
      <c r="BH3" s="32"/>
      <c r="BI3" s="32"/>
      <c r="BJ3" s="32"/>
      <c r="BK3" s="32"/>
      <c r="BL3" s="32"/>
      <c r="BM3" s="32"/>
      <c r="BN3" s="32"/>
      <c r="BO3" s="32"/>
      <c r="BP3" s="32"/>
      <c r="BQ3" s="32"/>
      <c r="BR3" s="32"/>
      <c r="BS3" s="32"/>
      <c r="BT3" s="32"/>
      <c r="BU3" s="32"/>
      <c r="BV3" s="32"/>
      <c r="BW3" s="32"/>
      <c r="BX3" s="32"/>
      <c r="BY3" s="32"/>
      <c r="BZ3" s="32"/>
      <c r="CA3" s="32"/>
      <c r="CB3" s="32"/>
      <c r="CC3" s="32"/>
      <c r="CD3" s="32"/>
      <c r="CE3" s="32"/>
      <c r="CF3" s="32"/>
      <c r="CG3" s="32"/>
      <c r="CH3" s="32"/>
      <c r="CI3" s="32"/>
      <c r="CJ3" s="32"/>
      <c r="CK3" s="32"/>
      <c r="CL3" s="32"/>
      <c r="CM3" s="32"/>
      <c r="CN3" s="32"/>
      <c r="CO3" s="32"/>
      <c r="CP3" s="32"/>
      <c r="CQ3" s="32"/>
      <c r="CR3" s="32"/>
      <c r="CS3" s="32"/>
      <c r="CT3" s="32"/>
      <c r="CU3" s="32"/>
      <c r="CV3" s="32"/>
      <c r="CW3" s="32"/>
      <c r="CX3" s="32"/>
      <c r="CY3" s="32"/>
      <c r="CZ3" s="32"/>
      <c r="DA3" s="32"/>
      <c r="DB3" s="32"/>
      <c r="DC3" s="32"/>
      <c r="DD3" s="32"/>
      <c r="DE3" s="32"/>
      <c r="DF3" s="32"/>
      <c r="DG3" s="32"/>
      <c r="DH3" s="32"/>
      <c r="DI3" s="32"/>
      <c r="DJ3" s="32"/>
      <c r="DK3" s="32"/>
      <c r="DL3" s="32"/>
      <c r="DM3" s="32"/>
      <c r="DN3" s="32"/>
      <c r="DO3" s="32"/>
      <c r="DP3" s="32"/>
      <c r="DQ3" s="32"/>
      <c r="DR3" s="32"/>
      <c r="DS3" s="32"/>
      <c r="DT3" s="32"/>
      <c r="DU3" s="32"/>
      <c r="DV3" s="32"/>
      <c r="DW3" s="32"/>
      <c r="DX3" s="32"/>
      <c r="DY3" s="32"/>
      <c r="DZ3" s="32"/>
      <c r="EA3" s="32"/>
      <c r="EB3" s="32"/>
      <c r="EC3" s="32"/>
      <c r="ED3" s="32"/>
      <c r="EE3" s="32"/>
      <c r="EF3" s="32"/>
      <c r="EG3" s="32"/>
      <c r="EH3" s="32"/>
      <c r="EI3" s="32"/>
      <c r="EJ3" s="32"/>
      <c r="EK3" s="32"/>
      <c r="EL3" s="32"/>
      <c r="EM3" s="32"/>
      <c r="EN3" s="32"/>
      <c r="EO3" s="32"/>
      <c r="EP3" s="32"/>
      <c r="EQ3" s="32"/>
      <c r="ER3" s="32"/>
      <c r="ES3" s="32"/>
      <c r="ET3" s="32"/>
      <c r="EU3" s="32"/>
      <c r="EV3" s="32"/>
      <c r="EW3" s="32"/>
      <c r="EX3" s="32"/>
      <c r="EY3" s="32"/>
      <c r="EZ3" s="32"/>
      <c r="FA3" s="32"/>
      <c r="FB3" s="32"/>
      <c r="FC3" s="32"/>
      <c r="FD3" s="32"/>
      <c r="FE3" s="32"/>
      <c r="FF3" s="32"/>
      <c r="FG3" s="32"/>
      <c r="FH3" s="32"/>
      <c r="FI3" s="32"/>
      <c r="FJ3" s="32"/>
      <c r="FK3" s="32"/>
      <c r="FL3" s="32"/>
      <c r="FM3" s="32"/>
      <c r="FN3" s="32"/>
      <c r="FO3" s="32"/>
      <c r="FP3" s="32"/>
      <c r="FQ3" s="32"/>
      <c r="FR3" s="32"/>
      <c r="FS3" s="32"/>
      <c r="FT3" s="32"/>
      <c r="FU3" s="32"/>
      <c r="FV3" s="32"/>
      <c r="FW3" s="32"/>
      <c r="FX3" s="32"/>
      <c r="FY3" s="32"/>
      <c r="FZ3" s="32"/>
      <c r="GA3" s="32"/>
      <c r="GB3" s="32"/>
      <c r="GC3" s="32"/>
      <c r="GD3" s="32"/>
      <c r="GE3" s="32"/>
      <c r="GF3" s="32"/>
      <c r="GG3" s="32"/>
    </row>
    <row r="4" spans="1:189" x14ac:dyDescent="0.2">
      <c r="B4" s="89" t="s">
        <v>267</v>
      </c>
      <c r="C4" s="32"/>
      <c r="D4" s="32"/>
      <c r="E4" s="32"/>
      <c r="F4" s="32"/>
      <c r="G4" s="32"/>
      <c r="H4" s="32"/>
      <c r="I4" s="32"/>
      <c r="J4" s="32"/>
      <c r="K4" s="32"/>
      <c r="L4" s="32"/>
      <c r="M4" s="32"/>
      <c r="N4" s="32"/>
      <c r="O4" s="32"/>
      <c r="P4" s="32"/>
      <c r="Q4" s="32"/>
      <c r="R4" s="32"/>
      <c r="S4" s="32"/>
      <c r="T4" s="32"/>
      <c r="U4" s="32"/>
      <c r="V4" s="32"/>
      <c r="W4" s="32"/>
      <c r="X4" s="32"/>
      <c r="Y4" s="32"/>
      <c r="Z4" s="32"/>
      <c r="AA4" s="32"/>
      <c r="AB4" s="32"/>
      <c r="AC4" s="32"/>
      <c r="AD4" s="32"/>
      <c r="AE4" s="32"/>
      <c r="AF4" s="32"/>
      <c r="AG4" s="32"/>
      <c r="AH4" s="32"/>
      <c r="AI4" s="32"/>
      <c r="AJ4" s="32"/>
      <c r="AK4" s="32"/>
      <c r="AL4" s="32"/>
      <c r="AM4" s="32"/>
      <c r="AN4" s="32"/>
      <c r="AO4" s="32"/>
      <c r="AP4" s="32"/>
      <c r="AQ4" s="32"/>
      <c r="AR4" s="32"/>
      <c r="AS4" s="32"/>
      <c r="AT4" s="32"/>
      <c r="AU4" s="32"/>
      <c r="AV4" s="32"/>
      <c r="AW4" s="32"/>
      <c r="AX4" s="32"/>
      <c r="AY4" s="32"/>
      <c r="AZ4" s="32"/>
      <c r="BA4" s="32"/>
      <c r="BB4" s="32"/>
      <c r="BC4" s="32"/>
      <c r="BD4" s="32"/>
      <c r="BE4" s="32"/>
      <c r="BF4" s="32"/>
      <c r="BG4" s="32"/>
      <c r="BH4" s="32"/>
      <c r="BI4" s="32"/>
      <c r="BJ4" s="32"/>
      <c r="BK4" s="32"/>
      <c r="BL4" s="32"/>
      <c r="BM4" s="32"/>
      <c r="BN4" s="32"/>
      <c r="BO4" s="32"/>
      <c r="BP4" s="32"/>
      <c r="BQ4" s="32"/>
      <c r="BR4" s="32"/>
      <c r="BS4" s="32"/>
      <c r="BT4" s="32"/>
      <c r="BU4" s="32"/>
      <c r="BV4" s="32"/>
      <c r="BW4" s="32"/>
      <c r="BX4" s="32"/>
      <c r="BY4" s="32"/>
      <c r="BZ4" s="32"/>
      <c r="CA4" s="32"/>
      <c r="CB4" s="32"/>
      <c r="CC4" s="32"/>
      <c r="CD4" s="32"/>
      <c r="CE4" s="32"/>
      <c r="CF4" s="32"/>
      <c r="CG4" s="32"/>
      <c r="CH4" s="32"/>
      <c r="CI4" s="32"/>
      <c r="CJ4" s="32"/>
      <c r="CK4" s="32"/>
      <c r="CL4" s="32"/>
      <c r="CM4" s="32"/>
      <c r="CN4" s="32"/>
      <c r="CO4" s="32"/>
      <c r="CP4" s="32"/>
      <c r="CQ4" s="32"/>
      <c r="CR4" s="32"/>
      <c r="CS4" s="32"/>
      <c r="CT4" s="32"/>
      <c r="CU4" s="32"/>
      <c r="CV4" s="32"/>
      <c r="CW4" s="32"/>
      <c r="CX4" s="32"/>
      <c r="CY4" s="32"/>
      <c r="CZ4" s="32"/>
      <c r="DA4" s="32"/>
      <c r="DB4" s="32"/>
      <c r="DC4" s="32"/>
      <c r="DD4" s="32"/>
      <c r="DE4" s="32"/>
      <c r="DF4" s="32"/>
      <c r="DG4" s="32"/>
      <c r="DH4" s="32"/>
      <c r="DI4" s="32"/>
      <c r="DJ4" s="32"/>
      <c r="DK4" s="32"/>
      <c r="DL4" s="32"/>
      <c r="DM4" s="32"/>
      <c r="DN4" s="32"/>
      <c r="DO4" s="32"/>
      <c r="DP4" s="32"/>
      <c r="DQ4" s="32"/>
      <c r="DR4" s="32"/>
      <c r="DS4" s="32"/>
      <c r="DT4" s="32"/>
      <c r="DU4" s="32"/>
      <c r="DV4" s="32"/>
      <c r="DW4" s="32"/>
      <c r="DX4" s="32"/>
      <c r="DY4" s="32"/>
      <c r="DZ4" s="32"/>
      <c r="EA4" s="32"/>
      <c r="EB4" s="32"/>
      <c r="EC4" s="32"/>
      <c r="ED4" s="32"/>
      <c r="EE4" s="32"/>
      <c r="EF4" s="32"/>
      <c r="EG4" s="32"/>
      <c r="EH4" s="32"/>
      <c r="EI4" s="32"/>
      <c r="EJ4" s="32"/>
      <c r="EK4" s="32"/>
      <c r="EL4" s="32"/>
      <c r="EM4" s="32"/>
      <c r="EN4" s="32"/>
      <c r="EO4" s="32"/>
      <c r="EP4" s="32"/>
      <c r="EQ4" s="32"/>
      <c r="ER4" s="32"/>
      <c r="ES4" s="32"/>
      <c r="ET4" s="32"/>
      <c r="EU4" s="32"/>
      <c r="EV4" s="32"/>
      <c r="EW4" s="32"/>
      <c r="EX4" s="32"/>
      <c r="EY4" s="32"/>
      <c r="EZ4" s="32"/>
      <c r="FA4" s="32"/>
      <c r="FB4" s="32"/>
      <c r="FC4" s="32"/>
      <c r="FD4" s="32"/>
      <c r="FE4" s="32"/>
      <c r="FF4" s="32"/>
      <c r="FG4" s="32"/>
      <c r="FH4" s="32"/>
      <c r="FI4" s="32"/>
      <c r="FJ4" s="32"/>
      <c r="FK4" s="32"/>
      <c r="FL4" s="32"/>
      <c r="FM4" s="32"/>
      <c r="FN4" s="32"/>
      <c r="FO4" s="32"/>
      <c r="FP4" s="32"/>
      <c r="FQ4" s="32"/>
      <c r="FR4" s="32"/>
      <c r="FS4" s="32"/>
      <c r="FT4" s="32"/>
      <c r="FU4" s="32"/>
      <c r="FV4" s="32"/>
      <c r="FW4" s="32"/>
      <c r="FX4" s="32"/>
      <c r="FY4" s="32"/>
      <c r="FZ4" s="32"/>
      <c r="GA4" s="32"/>
      <c r="GB4" s="32"/>
      <c r="GC4" s="32"/>
      <c r="GD4" s="32"/>
      <c r="GE4" s="32"/>
      <c r="GF4" s="32"/>
      <c r="GG4" s="32"/>
    </row>
    <row r="5" spans="1:189" ht="13.5" thickBot="1" x14ac:dyDescent="0.25"/>
    <row r="6" spans="1:189" s="51" customFormat="1" ht="25.5" customHeight="1" thickBot="1" x14ac:dyDescent="0.25">
      <c r="B6" s="55" t="s">
        <v>259</v>
      </c>
      <c r="C6" s="75">
        <v>40330</v>
      </c>
      <c r="D6" s="75">
        <v>40360</v>
      </c>
      <c r="E6" s="75">
        <v>40391</v>
      </c>
      <c r="F6" s="75">
        <v>40422</v>
      </c>
      <c r="G6" s="75">
        <v>40452</v>
      </c>
      <c r="H6" s="75">
        <v>40483</v>
      </c>
      <c r="I6" s="75">
        <v>40513</v>
      </c>
      <c r="J6" s="75">
        <v>40544</v>
      </c>
      <c r="K6" s="75">
        <v>40575</v>
      </c>
      <c r="L6" s="75">
        <v>40603</v>
      </c>
      <c r="M6" s="75">
        <v>40634</v>
      </c>
      <c r="N6" s="75">
        <v>40664</v>
      </c>
      <c r="O6" s="75">
        <v>40695</v>
      </c>
      <c r="P6" s="75">
        <v>40725</v>
      </c>
      <c r="Q6" s="75">
        <v>40756</v>
      </c>
      <c r="R6" s="75">
        <v>40787</v>
      </c>
      <c r="S6" s="75">
        <v>40817</v>
      </c>
      <c r="T6" s="75">
        <v>40848</v>
      </c>
      <c r="U6" s="75">
        <v>40878</v>
      </c>
      <c r="V6" s="75">
        <v>40909</v>
      </c>
      <c r="W6" s="75">
        <v>40940</v>
      </c>
      <c r="X6" s="75">
        <v>40969</v>
      </c>
      <c r="Y6" s="75">
        <v>41000</v>
      </c>
      <c r="Z6" s="75">
        <v>41030</v>
      </c>
      <c r="AA6" s="75">
        <v>41061</v>
      </c>
      <c r="AB6" s="75">
        <v>41091</v>
      </c>
      <c r="AC6" s="75">
        <v>41122</v>
      </c>
      <c r="AD6" s="75">
        <v>41153</v>
      </c>
      <c r="AE6" s="75">
        <v>41183</v>
      </c>
      <c r="AF6" s="75">
        <v>41214</v>
      </c>
      <c r="AG6" s="75">
        <v>41244</v>
      </c>
      <c r="AH6" s="75">
        <v>41275</v>
      </c>
      <c r="AI6" s="75">
        <v>41306</v>
      </c>
      <c r="AJ6" s="75">
        <v>41334</v>
      </c>
      <c r="AK6" s="75">
        <v>41365</v>
      </c>
      <c r="AL6" s="75">
        <v>41395</v>
      </c>
      <c r="AM6" s="75">
        <v>41426</v>
      </c>
      <c r="AN6" s="75">
        <v>41456</v>
      </c>
      <c r="AO6" s="75">
        <v>41487</v>
      </c>
      <c r="AP6" s="75">
        <v>41518</v>
      </c>
      <c r="AQ6" s="75">
        <v>41548</v>
      </c>
      <c r="AR6" s="75">
        <v>41579</v>
      </c>
      <c r="AS6" s="75">
        <v>41609</v>
      </c>
      <c r="AT6" s="75">
        <v>41640</v>
      </c>
      <c r="AU6" s="75">
        <v>41671</v>
      </c>
      <c r="AV6" s="75">
        <v>41699</v>
      </c>
      <c r="AW6" s="75">
        <v>41730</v>
      </c>
      <c r="AX6" s="75">
        <v>41760</v>
      </c>
      <c r="AY6" s="75">
        <v>41791</v>
      </c>
      <c r="AZ6" s="75">
        <v>41821</v>
      </c>
      <c r="BA6" s="75">
        <v>41852</v>
      </c>
      <c r="BB6" s="75">
        <v>41883</v>
      </c>
      <c r="BC6" s="75">
        <v>41913</v>
      </c>
      <c r="BD6" s="75">
        <v>41944</v>
      </c>
      <c r="BE6" s="75">
        <v>41974</v>
      </c>
      <c r="BF6" s="75">
        <v>42005</v>
      </c>
      <c r="BG6" s="75">
        <v>42036</v>
      </c>
      <c r="BH6" s="75">
        <v>42064</v>
      </c>
      <c r="BI6" s="75">
        <v>42095</v>
      </c>
      <c r="BJ6" s="75">
        <v>42125</v>
      </c>
      <c r="BK6" s="75">
        <v>42156</v>
      </c>
      <c r="BL6" s="75">
        <v>42186</v>
      </c>
      <c r="BM6" s="75">
        <v>42217</v>
      </c>
      <c r="BN6" s="75">
        <v>42248</v>
      </c>
      <c r="BO6" s="75">
        <v>42278</v>
      </c>
      <c r="BP6" s="75">
        <v>42309</v>
      </c>
      <c r="BQ6" s="75">
        <v>42339</v>
      </c>
      <c r="BR6" s="75">
        <v>42370</v>
      </c>
      <c r="BS6" s="75">
        <v>42401</v>
      </c>
      <c r="BT6" s="75">
        <v>42430</v>
      </c>
      <c r="BU6" s="75">
        <v>42461</v>
      </c>
      <c r="BV6" s="75">
        <v>42491</v>
      </c>
      <c r="BW6" s="75">
        <v>42522</v>
      </c>
      <c r="BX6" s="75">
        <v>42552</v>
      </c>
      <c r="BY6" s="75">
        <v>42583</v>
      </c>
      <c r="BZ6" s="75">
        <v>42614</v>
      </c>
      <c r="CA6" s="75">
        <v>42644</v>
      </c>
      <c r="CB6" s="75">
        <v>42675</v>
      </c>
      <c r="CC6" s="75">
        <v>42705</v>
      </c>
      <c r="CD6" s="75">
        <v>42736</v>
      </c>
      <c r="CE6" s="75">
        <v>42767</v>
      </c>
      <c r="CF6" s="75">
        <v>42795</v>
      </c>
      <c r="CG6" s="75">
        <v>42826</v>
      </c>
      <c r="CH6" s="75">
        <v>42856</v>
      </c>
      <c r="CI6" s="75">
        <v>42887</v>
      </c>
      <c r="CJ6" s="75">
        <v>42917</v>
      </c>
      <c r="CK6" s="75">
        <v>42948</v>
      </c>
      <c r="CL6" s="75">
        <v>42979</v>
      </c>
      <c r="CM6" s="75">
        <v>43009</v>
      </c>
      <c r="CN6" s="75">
        <v>43040</v>
      </c>
      <c r="CO6" s="75">
        <v>43070</v>
      </c>
      <c r="CP6" s="75">
        <v>43101</v>
      </c>
      <c r="CQ6" s="75">
        <v>43132</v>
      </c>
      <c r="CR6" s="75">
        <v>43160</v>
      </c>
      <c r="CS6" s="75">
        <v>43191</v>
      </c>
      <c r="CT6" s="75">
        <v>43221</v>
      </c>
      <c r="CU6" s="75">
        <v>43252</v>
      </c>
      <c r="CV6" s="75">
        <v>43282</v>
      </c>
      <c r="CW6" s="75">
        <v>43313</v>
      </c>
      <c r="CX6" s="75">
        <v>43344</v>
      </c>
      <c r="CY6" s="75">
        <v>43374</v>
      </c>
      <c r="CZ6" s="75">
        <v>43405</v>
      </c>
      <c r="DA6" s="75">
        <v>43435</v>
      </c>
      <c r="DB6" s="75">
        <v>43466</v>
      </c>
      <c r="DC6" s="75">
        <v>43497</v>
      </c>
      <c r="DD6" s="75">
        <v>43525</v>
      </c>
      <c r="DE6" s="75">
        <v>43556</v>
      </c>
      <c r="DF6" s="75">
        <v>43586</v>
      </c>
      <c r="DG6" s="75">
        <v>43617</v>
      </c>
      <c r="DH6" s="75">
        <v>43647</v>
      </c>
      <c r="DI6" s="75">
        <v>43678</v>
      </c>
      <c r="DJ6" s="75">
        <v>43709</v>
      </c>
      <c r="DK6" s="75">
        <v>43739</v>
      </c>
      <c r="DL6" s="75">
        <v>43770</v>
      </c>
      <c r="DM6" s="75">
        <v>43800</v>
      </c>
      <c r="DN6" s="75">
        <v>43831</v>
      </c>
      <c r="DO6" s="75">
        <v>43862</v>
      </c>
      <c r="DP6" s="75">
        <v>43891</v>
      </c>
      <c r="DQ6" s="75">
        <v>43922</v>
      </c>
      <c r="DR6" s="75">
        <v>43952</v>
      </c>
      <c r="DS6" s="75">
        <v>43983</v>
      </c>
      <c r="DT6" s="75">
        <v>44013</v>
      </c>
      <c r="DU6" s="75">
        <v>44044</v>
      </c>
      <c r="DV6" s="75">
        <v>44075</v>
      </c>
      <c r="DW6" s="75">
        <v>44105</v>
      </c>
      <c r="DX6" s="75">
        <v>44136</v>
      </c>
      <c r="DY6" s="75">
        <v>44166</v>
      </c>
      <c r="DZ6" s="75">
        <v>44197</v>
      </c>
      <c r="EA6" s="75">
        <v>44228</v>
      </c>
      <c r="EB6" s="75">
        <v>44256</v>
      </c>
      <c r="EC6" s="75">
        <v>44287</v>
      </c>
      <c r="ED6" s="75">
        <v>44317</v>
      </c>
      <c r="EE6" s="75">
        <v>44348</v>
      </c>
      <c r="EF6" s="75">
        <v>44378</v>
      </c>
      <c r="EG6" s="75">
        <v>44409</v>
      </c>
      <c r="EH6" s="75">
        <v>44440</v>
      </c>
      <c r="EI6" s="75">
        <v>44470</v>
      </c>
      <c r="EJ6" s="75">
        <v>44501</v>
      </c>
      <c r="EK6" s="75">
        <v>44531</v>
      </c>
      <c r="EL6" s="75">
        <v>44562</v>
      </c>
      <c r="EM6" s="75">
        <v>44593</v>
      </c>
      <c r="EN6" s="75">
        <v>44621</v>
      </c>
      <c r="EO6" s="75">
        <v>44652</v>
      </c>
      <c r="EP6" s="75">
        <v>44682</v>
      </c>
      <c r="EQ6" s="75">
        <v>44713</v>
      </c>
      <c r="ER6" s="75">
        <v>44743</v>
      </c>
      <c r="ES6" s="75">
        <v>44774</v>
      </c>
      <c r="ET6" s="75">
        <v>44805</v>
      </c>
      <c r="EU6" s="75">
        <v>44835</v>
      </c>
      <c r="EV6" s="75">
        <v>44866</v>
      </c>
      <c r="EW6" s="75">
        <v>44896</v>
      </c>
      <c r="EX6" s="75">
        <v>44927</v>
      </c>
      <c r="EY6" s="75">
        <v>44958</v>
      </c>
      <c r="EZ6" s="75">
        <v>44986</v>
      </c>
      <c r="FA6" s="75">
        <v>45017</v>
      </c>
      <c r="FB6" s="75">
        <v>45047</v>
      </c>
      <c r="FC6" s="75">
        <v>45078</v>
      </c>
      <c r="FD6" s="75">
        <v>45108</v>
      </c>
      <c r="FE6" s="75">
        <v>45139</v>
      </c>
      <c r="FF6" s="75">
        <v>45170</v>
      </c>
      <c r="FG6" s="75">
        <v>45200</v>
      </c>
      <c r="FH6" s="75">
        <v>45231</v>
      </c>
      <c r="FI6" s="75">
        <v>45261</v>
      </c>
      <c r="FJ6" s="75">
        <v>45292</v>
      </c>
      <c r="FK6" s="75">
        <v>45323</v>
      </c>
      <c r="FL6" s="75">
        <v>45352</v>
      </c>
      <c r="FM6" s="75">
        <v>45383</v>
      </c>
      <c r="FN6" s="75">
        <v>45413</v>
      </c>
      <c r="FO6" s="75">
        <v>45444</v>
      </c>
      <c r="FP6" s="75">
        <v>45474</v>
      </c>
      <c r="FQ6" s="75">
        <v>45505</v>
      </c>
      <c r="FR6" s="75">
        <v>45536</v>
      </c>
      <c r="FS6" s="75">
        <v>45566</v>
      </c>
      <c r="FT6" s="75">
        <v>45597</v>
      </c>
      <c r="FU6" s="75">
        <v>45627</v>
      </c>
      <c r="FV6" s="75">
        <v>45658</v>
      </c>
      <c r="FW6" s="75">
        <v>45689</v>
      </c>
      <c r="FX6" s="75">
        <v>45717</v>
      </c>
      <c r="FY6" s="75">
        <v>45748</v>
      </c>
      <c r="FZ6" s="75">
        <v>45778</v>
      </c>
      <c r="GA6" s="75">
        <v>45809</v>
      </c>
      <c r="GB6" s="75">
        <v>45839</v>
      </c>
      <c r="GC6" s="75">
        <v>45870</v>
      </c>
      <c r="GD6" s="75">
        <v>45901</v>
      </c>
      <c r="GE6" s="75">
        <v>45931</v>
      </c>
      <c r="GF6" s="75">
        <v>45962</v>
      </c>
      <c r="GG6" s="76">
        <v>45992</v>
      </c>
    </row>
    <row r="7" spans="1:189" s="49" customFormat="1" ht="13.5" hidden="1" thickBot="1" x14ac:dyDescent="0.25">
      <c r="B7" s="38" t="s">
        <v>25</v>
      </c>
      <c r="C7" s="52">
        <v>0</v>
      </c>
      <c r="D7" s="52">
        <v>0</v>
      </c>
      <c r="E7" s="52">
        <v>0</v>
      </c>
      <c r="F7" s="52">
        <v>0</v>
      </c>
      <c r="G7" s="52">
        <v>0</v>
      </c>
      <c r="H7" s="52">
        <v>0</v>
      </c>
      <c r="I7" s="52">
        <v>0</v>
      </c>
      <c r="J7" s="52">
        <v>0</v>
      </c>
      <c r="K7" s="52">
        <v>0</v>
      </c>
      <c r="L7" s="52">
        <v>0</v>
      </c>
      <c r="M7" s="52">
        <v>0</v>
      </c>
      <c r="N7" s="52">
        <v>0</v>
      </c>
      <c r="O7" s="52">
        <v>0</v>
      </c>
      <c r="P7" s="52">
        <v>0</v>
      </c>
      <c r="Q7" s="52">
        <v>0</v>
      </c>
      <c r="R7" s="52">
        <v>0</v>
      </c>
      <c r="S7" s="52">
        <v>0</v>
      </c>
      <c r="T7" s="52">
        <v>0</v>
      </c>
      <c r="U7" s="52">
        <v>0</v>
      </c>
      <c r="V7" s="52">
        <v>0</v>
      </c>
      <c r="W7" s="52">
        <v>0</v>
      </c>
      <c r="X7" s="52">
        <v>0</v>
      </c>
      <c r="Y7" s="52">
        <v>0</v>
      </c>
      <c r="Z7" s="52">
        <v>0</v>
      </c>
      <c r="AA7" s="52">
        <v>0</v>
      </c>
      <c r="AB7" s="52">
        <v>0</v>
      </c>
      <c r="AC7" s="52">
        <v>0</v>
      </c>
      <c r="AD7" s="52">
        <v>0</v>
      </c>
      <c r="AE7" s="52">
        <v>0</v>
      </c>
      <c r="AF7" s="52">
        <v>0</v>
      </c>
      <c r="AG7" s="52">
        <v>0</v>
      </c>
      <c r="AH7" s="52">
        <v>0</v>
      </c>
      <c r="AI7" s="52">
        <v>0</v>
      </c>
      <c r="AJ7" s="52">
        <v>0</v>
      </c>
      <c r="AK7" s="52">
        <v>0</v>
      </c>
      <c r="AL7" s="52">
        <v>0</v>
      </c>
      <c r="AM7" s="52">
        <v>0</v>
      </c>
      <c r="AN7" s="52">
        <v>0</v>
      </c>
      <c r="AO7" s="52">
        <v>0</v>
      </c>
      <c r="AP7" s="52">
        <v>0</v>
      </c>
      <c r="AQ7" s="52">
        <v>0</v>
      </c>
      <c r="AR7" s="52">
        <v>0</v>
      </c>
      <c r="AS7" s="52">
        <v>0</v>
      </c>
      <c r="AT7" s="52">
        <v>0</v>
      </c>
      <c r="AU7" s="52">
        <v>0</v>
      </c>
      <c r="AV7" s="52">
        <v>0</v>
      </c>
      <c r="AW7" s="52">
        <v>0</v>
      </c>
      <c r="AX7" s="52">
        <v>0</v>
      </c>
      <c r="AY7" s="52">
        <v>0</v>
      </c>
      <c r="AZ7" s="52">
        <v>0</v>
      </c>
      <c r="BA7" s="52">
        <v>0</v>
      </c>
      <c r="BB7" s="52">
        <v>0</v>
      </c>
      <c r="BC7" s="52">
        <v>0</v>
      </c>
      <c r="BD7" s="52">
        <v>0</v>
      </c>
      <c r="BE7" s="52">
        <v>0</v>
      </c>
      <c r="BF7" s="52">
        <v>0</v>
      </c>
      <c r="BG7" s="52">
        <v>0</v>
      </c>
      <c r="BH7" s="52">
        <v>0</v>
      </c>
      <c r="BI7" s="52">
        <v>0</v>
      </c>
      <c r="BJ7" s="52">
        <v>0</v>
      </c>
      <c r="BK7" s="52">
        <v>0</v>
      </c>
      <c r="BL7" s="52">
        <v>0</v>
      </c>
      <c r="BM7" s="52">
        <v>0</v>
      </c>
      <c r="BN7" s="52">
        <v>0</v>
      </c>
      <c r="BO7" s="52">
        <v>0</v>
      </c>
      <c r="BP7" s="52">
        <v>0</v>
      </c>
      <c r="BQ7" s="52">
        <v>0</v>
      </c>
      <c r="BR7" s="52">
        <v>0</v>
      </c>
      <c r="BS7" s="52">
        <v>0</v>
      </c>
      <c r="BT7" s="52">
        <v>0</v>
      </c>
      <c r="BU7" s="52">
        <v>0</v>
      </c>
      <c r="BV7" s="52">
        <v>0</v>
      </c>
      <c r="BW7" s="52">
        <v>0</v>
      </c>
      <c r="BX7" s="52">
        <v>0</v>
      </c>
      <c r="BY7" s="52">
        <v>0</v>
      </c>
      <c r="BZ7" s="52">
        <v>0</v>
      </c>
      <c r="CA7" s="52">
        <v>0</v>
      </c>
      <c r="CB7" s="52">
        <v>0</v>
      </c>
      <c r="CC7" s="52">
        <v>0</v>
      </c>
      <c r="CD7" s="52">
        <v>0</v>
      </c>
      <c r="CE7" s="52">
        <v>0</v>
      </c>
      <c r="CF7" s="52">
        <v>0</v>
      </c>
      <c r="CG7" s="52">
        <v>0</v>
      </c>
      <c r="CH7" s="52">
        <v>0</v>
      </c>
      <c r="CI7" s="52">
        <v>0</v>
      </c>
      <c r="CJ7" s="52">
        <v>0</v>
      </c>
      <c r="CK7" s="52">
        <v>0</v>
      </c>
      <c r="CL7" s="52">
        <v>0</v>
      </c>
      <c r="CM7" s="52">
        <v>0</v>
      </c>
      <c r="CN7" s="52">
        <v>0</v>
      </c>
      <c r="CO7" s="52">
        <v>0</v>
      </c>
      <c r="CP7" s="52">
        <v>0</v>
      </c>
      <c r="CQ7" s="52">
        <v>0</v>
      </c>
      <c r="CR7" s="52">
        <v>0</v>
      </c>
      <c r="CS7" s="52">
        <v>0</v>
      </c>
      <c r="CT7" s="52">
        <v>0</v>
      </c>
      <c r="CU7" s="52">
        <v>0</v>
      </c>
      <c r="CV7" s="52">
        <v>0</v>
      </c>
      <c r="CW7" s="52">
        <v>0</v>
      </c>
      <c r="CX7" s="52">
        <v>0</v>
      </c>
      <c r="CY7" s="52">
        <v>0</v>
      </c>
      <c r="CZ7" s="52">
        <v>0</v>
      </c>
      <c r="DA7" s="52">
        <v>0</v>
      </c>
      <c r="DB7" s="52">
        <v>0</v>
      </c>
      <c r="DC7" s="52">
        <v>0</v>
      </c>
      <c r="DD7" s="52">
        <v>0</v>
      </c>
      <c r="DE7" s="52">
        <v>0</v>
      </c>
      <c r="DF7" s="52">
        <v>0</v>
      </c>
      <c r="DG7" s="52">
        <v>0</v>
      </c>
      <c r="DH7" s="52">
        <v>0</v>
      </c>
      <c r="DI7" s="52">
        <v>0</v>
      </c>
      <c r="DJ7" s="52">
        <v>0</v>
      </c>
      <c r="DK7" s="52">
        <v>0</v>
      </c>
      <c r="DL7" s="52">
        <v>0</v>
      </c>
      <c r="DM7" s="52">
        <v>0</v>
      </c>
      <c r="DN7" s="52">
        <v>0</v>
      </c>
      <c r="DO7" s="52">
        <v>0</v>
      </c>
      <c r="DP7" s="52">
        <v>0</v>
      </c>
      <c r="DQ7" s="52">
        <v>0</v>
      </c>
      <c r="DR7" s="52">
        <v>0</v>
      </c>
      <c r="DS7" s="52">
        <v>0</v>
      </c>
      <c r="DT7" s="52">
        <v>0</v>
      </c>
      <c r="DU7" s="52">
        <v>0</v>
      </c>
      <c r="DV7" s="52">
        <v>0</v>
      </c>
      <c r="DW7" s="52">
        <v>0</v>
      </c>
      <c r="DX7" s="52">
        <v>0</v>
      </c>
      <c r="DY7" s="52">
        <v>0</v>
      </c>
      <c r="DZ7" s="52">
        <v>0</v>
      </c>
      <c r="EA7" s="52">
        <v>0</v>
      </c>
      <c r="EB7" s="52">
        <v>0</v>
      </c>
      <c r="EC7" s="52">
        <v>0</v>
      </c>
      <c r="ED7" s="52">
        <v>0</v>
      </c>
      <c r="EE7" s="52">
        <v>0</v>
      </c>
      <c r="EF7" s="52">
        <v>0</v>
      </c>
      <c r="EG7" s="52">
        <v>0</v>
      </c>
      <c r="EH7" s="52">
        <v>0</v>
      </c>
      <c r="EI7" s="52">
        <v>0</v>
      </c>
      <c r="EJ7" s="52">
        <v>0</v>
      </c>
      <c r="EK7" s="52">
        <v>0</v>
      </c>
      <c r="EL7" s="52">
        <v>0</v>
      </c>
      <c r="EM7" s="52">
        <v>0</v>
      </c>
      <c r="EN7" s="52">
        <v>0</v>
      </c>
      <c r="EO7" s="52">
        <v>0</v>
      </c>
      <c r="EP7" s="52">
        <v>0</v>
      </c>
      <c r="EQ7" s="52">
        <v>0</v>
      </c>
      <c r="ER7" s="52">
        <v>0</v>
      </c>
      <c r="ES7" s="52">
        <v>0</v>
      </c>
      <c r="ET7" s="52">
        <v>0</v>
      </c>
      <c r="EU7" s="52">
        <v>0</v>
      </c>
      <c r="EV7" s="52">
        <v>0</v>
      </c>
      <c r="EW7" s="52">
        <v>0</v>
      </c>
      <c r="EX7" s="52">
        <v>0</v>
      </c>
      <c r="EY7" s="52">
        <v>0</v>
      </c>
      <c r="EZ7" s="52">
        <v>0</v>
      </c>
      <c r="FA7" s="52">
        <v>0</v>
      </c>
      <c r="FB7" s="52">
        <v>0</v>
      </c>
      <c r="FC7" s="52">
        <v>0</v>
      </c>
      <c r="FD7" s="52">
        <v>0</v>
      </c>
      <c r="FE7" s="52">
        <v>0</v>
      </c>
      <c r="FF7" s="52">
        <v>0</v>
      </c>
      <c r="FG7" s="52">
        <v>0</v>
      </c>
      <c r="FH7" s="52">
        <v>0</v>
      </c>
      <c r="FI7" s="52">
        <v>0</v>
      </c>
      <c r="FJ7" s="52">
        <v>0</v>
      </c>
      <c r="FK7" s="52">
        <v>0</v>
      </c>
      <c r="FL7" s="52">
        <v>0</v>
      </c>
      <c r="FM7" s="52">
        <v>0</v>
      </c>
      <c r="FN7" s="52">
        <v>0</v>
      </c>
      <c r="FO7" s="52">
        <v>0</v>
      </c>
      <c r="FP7" s="52">
        <v>0</v>
      </c>
      <c r="FQ7" s="52">
        <v>0</v>
      </c>
      <c r="FR7" s="52">
        <v>0</v>
      </c>
      <c r="FS7" s="52">
        <v>0</v>
      </c>
      <c r="FT7" s="52">
        <v>0</v>
      </c>
      <c r="FU7" s="52">
        <v>0</v>
      </c>
      <c r="FV7" s="52">
        <v>0</v>
      </c>
      <c r="FW7" s="52">
        <v>0</v>
      </c>
      <c r="FX7" s="52">
        <v>0</v>
      </c>
      <c r="FY7" s="52">
        <v>0</v>
      </c>
      <c r="FZ7" s="52">
        <v>0</v>
      </c>
      <c r="GA7" s="52">
        <v>0</v>
      </c>
      <c r="GB7" s="52">
        <v>0</v>
      </c>
      <c r="GC7" s="52">
        <v>0</v>
      </c>
      <c r="GD7" s="52">
        <v>0</v>
      </c>
      <c r="GE7" s="52">
        <v>0</v>
      </c>
      <c r="GF7" s="52">
        <v>0</v>
      </c>
      <c r="GG7" s="77">
        <v>0</v>
      </c>
    </row>
    <row r="8" spans="1:189" s="49" customFormat="1" ht="13.5" hidden="1" thickBot="1" x14ac:dyDescent="0.25">
      <c r="B8" s="38" t="s">
        <v>21</v>
      </c>
      <c r="C8" s="53">
        <v>0</v>
      </c>
      <c r="D8" s="53">
        <v>0</v>
      </c>
      <c r="E8" s="53">
        <v>0</v>
      </c>
      <c r="F8" s="53">
        <v>0</v>
      </c>
      <c r="G8" s="53">
        <v>0</v>
      </c>
      <c r="H8" s="53">
        <v>0</v>
      </c>
      <c r="I8" s="53">
        <v>0</v>
      </c>
      <c r="J8" s="53">
        <v>0</v>
      </c>
      <c r="K8" s="53">
        <v>0</v>
      </c>
      <c r="L8" s="53">
        <v>0</v>
      </c>
      <c r="M8" s="53">
        <v>0</v>
      </c>
      <c r="N8" s="53">
        <v>0</v>
      </c>
      <c r="O8" s="53">
        <v>0</v>
      </c>
      <c r="P8" s="53">
        <v>0</v>
      </c>
      <c r="Q8" s="53">
        <v>0</v>
      </c>
      <c r="R8" s="53">
        <v>0</v>
      </c>
      <c r="S8" s="53">
        <v>0</v>
      </c>
      <c r="T8" s="53">
        <v>0</v>
      </c>
      <c r="U8" s="53">
        <v>0</v>
      </c>
      <c r="V8" s="53">
        <v>0</v>
      </c>
      <c r="W8" s="53">
        <v>0</v>
      </c>
      <c r="X8" s="53">
        <v>0</v>
      </c>
      <c r="Y8" s="53">
        <v>0</v>
      </c>
      <c r="Z8" s="53">
        <v>0</v>
      </c>
      <c r="AA8" s="53">
        <v>0</v>
      </c>
      <c r="AB8" s="53">
        <v>0</v>
      </c>
      <c r="AC8" s="53">
        <v>0</v>
      </c>
      <c r="AD8" s="53">
        <v>0</v>
      </c>
      <c r="AE8" s="53">
        <v>0</v>
      </c>
      <c r="AF8" s="53">
        <v>0</v>
      </c>
      <c r="AG8" s="53">
        <v>0</v>
      </c>
      <c r="AH8" s="53">
        <v>0</v>
      </c>
      <c r="AI8" s="53">
        <v>0</v>
      </c>
      <c r="AJ8" s="53">
        <v>0</v>
      </c>
      <c r="AK8" s="53">
        <v>0</v>
      </c>
      <c r="AL8" s="53">
        <v>0</v>
      </c>
      <c r="AM8" s="53">
        <v>0</v>
      </c>
      <c r="AN8" s="53">
        <v>0</v>
      </c>
      <c r="AO8" s="53">
        <v>0</v>
      </c>
      <c r="AP8" s="53">
        <v>0</v>
      </c>
      <c r="AQ8" s="53">
        <v>0</v>
      </c>
      <c r="AR8" s="53">
        <v>0</v>
      </c>
      <c r="AS8" s="53">
        <v>0</v>
      </c>
      <c r="AT8" s="53">
        <v>0</v>
      </c>
      <c r="AU8" s="53">
        <v>0</v>
      </c>
      <c r="AV8" s="53">
        <v>0</v>
      </c>
      <c r="AW8" s="53">
        <v>0</v>
      </c>
      <c r="AX8" s="53">
        <v>0</v>
      </c>
      <c r="AY8" s="53">
        <v>0</v>
      </c>
      <c r="AZ8" s="53">
        <v>0</v>
      </c>
      <c r="BA8" s="53">
        <v>0</v>
      </c>
      <c r="BB8" s="53">
        <v>0</v>
      </c>
      <c r="BC8" s="53">
        <v>0</v>
      </c>
      <c r="BD8" s="53">
        <v>0</v>
      </c>
      <c r="BE8" s="53">
        <v>0</v>
      </c>
      <c r="BF8" s="53">
        <v>0</v>
      </c>
      <c r="BG8" s="53">
        <v>0</v>
      </c>
      <c r="BH8" s="53">
        <v>0</v>
      </c>
      <c r="BI8" s="53">
        <v>0</v>
      </c>
      <c r="BJ8" s="53">
        <v>0</v>
      </c>
      <c r="BK8" s="53">
        <v>0</v>
      </c>
      <c r="BL8" s="53">
        <v>0</v>
      </c>
      <c r="BM8" s="53">
        <v>0</v>
      </c>
      <c r="BN8" s="53">
        <v>0</v>
      </c>
      <c r="BO8" s="53">
        <v>0</v>
      </c>
      <c r="BP8" s="53">
        <v>0</v>
      </c>
      <c r="BQ8" s="53">
        <v>0</v>
      </c>
      <c r="BR8" s="53">
        <v>0</v>
      </c>
      <c r="BS8" s="53">
        <v>0</v>
      </c>
      <c r="BT8" s="53">
        <v>0</v>
      </c>
      <c r="BU8" s="53">
        <v>0</v>
      </c>
      <c r="BV8" s="53">
        <v>0</v>
      </c>
      <c r="BW8" s="53">
        <v>0</v>
      </c>
      <c r="BX8" s="53">
        <v>0</v>
      </c>
      <c r="BY8" s="53">
        <v>0</v>
      </c>
      <c r="BZ8" s="53">
        <v>0</v>
      </c>
      <c r="CA8" s="53">
        <v>0</v>
      </c>
      <c r="CB8" s="53">
        <v>0</v>
      </c>
      <c r="CC8" s="53">
        <v>0</v>
      </c>
      <c r="CD8" s="53">
        <v>0</v>
      </c>
      <c r="CE8" s="53">
        <v>0</v>
      </c>
      <c r="CF8" s="53">
        <v>0</v>
      </c>
      <c r="CG8" s="53">
        <v>0</v>
      </c>
      <c r="CH8" s="53">
        <v>0</v>
      </c>
      <c r="CI8" s="53">
        <v>0</v>
      </c>
      <c r="CJ8" s="53">
        <v>0</v>
      </c>
      <c r="CK8" s="53">
        <v>0</v>
      </c>
      <c r="CL8" s="53">
        <v>0</v>
      </c>
      <c r="CM8" s="53">
        <v>0</v>
      </c>
      <c r="CN8" s="53">
        <v>0</v>
      </c>
      <c r="CO8" s="53">
        <v>0</v>
      </c>
      <c r="CP8" s="53">
        <v>0</v>
      </c>
      <c r="CQ8" s="53">
        <v>0</v>
      </c>
      <c r="CR8" s="53">
        <v>0</v>
      </c>
      <c r="CS8" s="53">
        <v>0</v>
      </c>
      <c r="CT8" s="53">
        <v>0</v>
      </c>
      <c r="CU8" s="53">
        <v>0</v>
      </c>
      <c r="CV8" s="53">
        <v>0</v>
      </c>
      <c r="CW8" s="53">
        <v>0</v>
      </c>
      <c r="CX8" s="53">
        <v>0</v>
      </c>
      <c r="CY8" s="53">
        <v>0</v>
      </c>
      <c r="CZ8" s="53">
        <v>0</v>
      </c>
      <c r="DA8" s="53">
        <v>0</v>
      </c>
      <c r="DB8" s="53">
        <v>0</v>
      </c>
      <c r="DC8" s="53">
        <v>0</v>
      </c>
      <c r="DD8" s="53">
        <v>0</v>
      </c>
      <c r="DE8" s="53">
        <v>0</v>
      </c>
      <c r="DF8" s="53">
        <v>0</v>
      </c>
      <c r="DG8" s="53">
        <v>0</v>
      </c>
      <c r="DH8" s="53">
        <v>0</v>
      </c>
      <c r="DI8" s="53">
        <v>0</v>
      </c>
      <c r="DJ8" s="53">
        <v>0</v>
      </c>
      <c r="DK8" s="53">
        <v>0</v>
      </c>
      <c r="DL8" s="53">
        <v>0</v>
      </c>
      <c r="DM8" s="53">
        <v>0</v>
      </c>
      <c r="DN8" s="53">
        <v>0</v>
      </c>
      <c r="DO8" s="53">
        <v>0</v>
      </c>
      <c r="DP8" s="53">
        <v>0</v>
      </c>
      <c r="DQ8" s="53">
        <v>0</v>
      </c>
      <c r="DR8" s="53">
        <v>0</v>
      </c>
      <c r="DS8" s="53">
        <v>0</v>
      </c>
      <c r="DT8" s="53">
        <v>0</v>
      </c>
      <c r="DU8" s="53">
        <v>0</v>
      </c>
      <c r="DV8" s="53">
        <v>0</v>
      </c>
      <c r="DW8" s="53">
        <v>0</v>
      </c>
      <c r="DX8" s="53">
        <v>0</v>
      </c>
      <c r="DY8" s="53">
        <v>0</v>
      </c>
      <c r="DZ8" s="53">
        <v>0</v>
      </c>
      <c r="EA8" s="53">
        <v>0</v>
      </c>
      <c r="EB8" s="53">
        <v>0</v>
      </c>
      <c r="EC8" s="53">
        <v>0</v>
      </c>
      <c r="ED8" s="53">
        <v>0</v>
      </c>
      <c r="EE8" s="53">
        <v>0</v>
      </c>
      <c r="EF8" s="53">
        <v>0</v>
      </c>
      <c r="EG8" s="53">
        <v>0</v>
      </c>
      <c r="EH8" s="53">
        <v>0</v>
      </c>
      <c r="EI8" s="53">
        <v>0</v>
      </c>
      <c r="EJ8" s="53">
        <v>0</v>
      </c>
      <c r="EK8" s="53">
        <v>0</v>
      </c>
      <c r="EL8" s="53">
        <v>0</v>
      </c>
      <c r="EM8" s="53">
        <v>0</v>
      </c>
      <c r="EN8" s="53">
        <v>0</v>
      </c>
      <c r="EO8" s="53">
        <v>0</v>
      </c>
      <c r="EP8" s="53">
        <v>0</v>
      </c>
      <c r="EQ8" s="53">
        <v>0</v>
      </c>
      <c r="ER8" s="53">
        <v>0</v>
      </c>
      <c r="ES8" s="53">
        <v>0</v>
      </c>
      <c r="ET8" s="53">
        <v>0</v>
      </c>
      <c r="EU8" s="53">
        <v>0</v>
      </c>
      <c r="EV8" s="53">
        <v>0</v>
      </c>
      <c r="EW8" s="53">
        <v>0</v>
      </c>
      <c r="EX8" s="53">
        <v>0</v>
      </c>
      <c r="EY8" s="53">
        <v>0</v>
      </c>
      <c r="EZ8" s="53">
        <v>0</v>
      </c>
      <c r="FA8" s="53">
        <v>0</v>
      </c>
      <c r="FB8" s="53">
        <v>0</v>
      </c>
      <c r="FC8" s="53">
        <v>0</v>
      </c>
      <c r="FD8" s="53">
        <v>0</v>
      </c>
      <c r="FE8" s="53">
        <v>0</v>
      </c>
      <c r="FF8" s="53">
        <v>0</v>
      </c>
      <c r="FG8" s="53">
        <v>0</v>
      </c>
      <c r="FH8" s="53">
        <v>0</v>
      </c>
      <c r="FI8" s="53">
        <v>0</v>
      </c>
      <c r="FJ8" s="53">
        <v>0</v>
      </c>
      <c r="FK8" s="53">
        <v>0</v>
      </c>
      <c r="FL8" s="53">
        <v>0</v>
      </c>
      <c r="FM8" s="53">
        <v>0</v>
      </c>
      <c r="FN8" s="53">
        <v>0</v>
      </c>
      <c r="FO8" s="53">
        <v>0</v>
      </c>
      <c r="FP8" s="53">
        <v>0</v>
      </c>
      <c r="FQ8" s="53">
        <v>0</v>
      </c>
      <c r="FR8" s="53">
        <v>0</v>
      </c>
      <c r="FS8" s="53">
        <v>0</v>
      </c>
      <c r="FT8" s="53">
        <v>0</v>
      </c>
      <c r="FU8" s="53">
        <v>0</v>
      </c>
      <c r="FV8" s="53">
        <v>0</v>
      </c>
      <c r="FW8" s="53">
        <v>0</v>
      </c>
      <c r="FX8" s="53">
        <v>0</v>
      </c>
      <c r="FY8" s="53">
        <v>0</v>
      </c>
      <c r="FZ8" s="53">
        <v>0</v>
      </c>
      <c r="GA8" s="53">
        <v>0</v>
      </c>
      <c r="GB8" s="53">
        <v>0</v>
      </c>
      <c r="GC8" s="53">
        <v>0</v>
      </c>
      <c r="GD8" s="53">
        <v>0</v>
      </c>
      <c r="GE8" s="53">
        <v>0</v>
      </c>
      <c r="GF8" s="53">
        <v>0</v>
      </c>
      <c r="GG8" s="78">
        <v>0</v>
      </c>
    </row>
    <row r="9" spans="1:189" s="49" customFormat="1" ht="13.5" thickBot="1" x14ac:dyDescent="0.25">
      <c r="B9" s="38" t="s">
        <v>251</v>
      </c>
      <c r="C9" s="54">
        <v>70.5</v>
      </c>
      <c r="D9" s="54">
        <v>70.7</v>
      </c>
      <c r="E9" s="54">
        <v>70.7</v>
      </c>
      <c r="F9" s="54">
        <v>70.8</v>
      </c>
      <c r="G9" s="54">
        <v>70.599999999999994</v>
      </c>
      <c r="H9" s="54">
        <v>70.400000000000006</v>
      </c>
      <c r="I9" s="54">
        <v>70.5</v>
      </c>
      <c r="J9" s="54">
        <v>70.5</v>
      </c>
      <c r="K9" s="54">
        <v>70.7</v>
      </c>
      <c r="L9" s="54">
        <v>70.7</v>
      </c>
      <c r="M9" s="54">
        <v>70.599999999999994</v>
      </c>
      <c r="N9" s="54">
        <v>70.7</v>
      </c>
      <c r="O9" s="54">
        <v>70.7</v>
      </c>
      <c r="P9" s="54">
        <v>70.5</v>
      </c>
      <c r="Q9" s="54">
        <v>70.400000000000006</v>
      </c>
      <c r="R9" s="54">
        <v>70.2</v>
      </c>
      <c r="S9" s="54">
        <v>70.3</v>
      </c>
      <c r="T9" s="54">
        <v>70.3</v>
      </c>
      <c r="U9" s="54">
        <v>70.3</v>
      </c>
      <c r="V9" s="54">
        <v>70.3</v>
      </c>
      <c r="W9" s="54">
        <v>70.400000000000006</v>
      </c>
      <c r="X9" s="54">
        <v>70.5</v>
      </c>
      <c r="Y9" s="54">
        <v>70.599999999999994</v>
      </c>
      <c r="Z9" s="54">
        <v>70.7</v>
      </c>
      <c r="AA9" s="54">
        <v>71</v>
      </c>
      <c r="AB9" s="54">
        <v>71.2</v>
      </c>
      <c r="AC9" s="54">
        <v>71.3</v>
      </c>
      <c r="AD9" s="54">
        <v>71.2</v>
      </c>
      <c r="AE9" s="54">
        <v>71.2</v>
      </c>
      <c r="AF9" s="54">
        <v>71.400000000000006</v>
      </c>
      <c r="AG9" s="54">
        <v>71.5</v>
      </c>
      <c r="AH9" s="54">
        <v>71.5</v>
      </c>
      <c r="AI9" s="54">
        <v>71.400000000000006</v>
      </c>
      <c r="AJ9" s="54">
        <v>71.400000000000006</v>
      </c>
      <c r="AK9" s="54">
        <v>71.5</v>
      </c>
      <c r="AL9" s="54">
        <v>71.400000000000006</v>
      </c>
      <c r="AM9" s="54">
        <v>71.5</v>
      </c>
      <c r="AN9" s="54">
        <v>71.599999999999994</v>
      </c>
      <c r="AO9" s="54">
        <v>71.7</v>
      </c>
      <c r="AP9" s="54">
        <v>71.8</v>
      </c>
      <c r="AQ9" s="54">
        <v>72</v>
      </c>
      <c r="AR9" s="54">
        <v>72.099999999999994</v>
      </c>
      <c r="AS9" s="54">
        <v>72.099999999999994</v>
      </c>
      <c r="AT9" s="54">
        <v>72.3</v>
      </c>
      <c r="AU9" s="54">
        <v>72.599999999999994</v>
      </c>
      <c r="AV9" s="54">
        <v>72.7</v>
      </c>
      <c r="AW9" s="54">
        <v>72.900000000000006</v>
      </c>
      <c r="AX9" s="54">
        <v>73.099999999999994</v>
      </c>
      <c r="AY9" s="54">
        <v>73</v>
      </c>
      <c r="AZ9" s="54">
        <v>73</v>
      </c>
      <c r="BA9" s="54">
        <v>73</v>
      </c>
      <c r="BB9" s="54">
        <v>73</v>
      </c>
      <c r="BC9" s="54">
        <v>73</v>
      </c>
      <c r="BD9" s="54">
        <v>73</v>
      </c>
      <c r="BE9" s="54">
        <v>73.2</v>
      </c>
      <c r="BF9" s="54">
        <v>73.3</v>
      </c>
      <c r="BG9" s="54">
        <v>73.400000000000006</v>
      </c>
      <c r="BH9" s="54">
        <v>73.5</v>
      </c>
      <c r="BI9" s="54">
        <v>73.400000000000006</v>
      </c>
      <c r="BJ9" s="54">
        <v>73.3</v>
      </c>
      <c r="BK9" s="54">
        <v>73.400000000000006</v>
      </c>
      <c r="BL9" s="54">
        <v>73.5</v>
      </c>
      <c r="BM9" s="54">
        <v>73.599999999999994</v>
      </c>
      <c r="BN9" s="54">
        <v>73.7</v>
      </c>
      <c r="BO9" s="54">
        <v>73.900000000000006</v>
      </c>
      <c r="BP9" s="54">
        <v>74</v>
      </c>
      <c r="BQ9" s="54">
        <v>74.099999999999994</v>
      </c>
      <c r="BR9" s="54">
        <v>74.099999999999994</v>
      </c>
      <c r="BS9" s="54">
        <v>74.099999999999994</v>
      </c>
      <c r="BT9" s="54">
        <v>74.2</v>
      </c>
      <c r="BU9" s="54">
        <v>74.2</v>
      </c>
      <c r="BV9" s="54">
        <v>74.400000000000006</v>
      </c>
      <c r="BW9" s="54">
        <v>74.5</v>
      </c>
      <c r="BX9" s="54">
        <v>74.5</v>
      </c>
      <c r="BY9" s="54">
        <v>74.5</v>
      </c>
      <c r="BZ9" s="54">
        <v>74.5</v>
      </c>
      <c r="CA9" s="54">
        <v>74.400000000000006</v>
      </c>
      <c r="CB9" s="54">
        <v>74.5</v>
      </c>
      <c r="CC9" s="54">
        <v>74.599999999999994</v>
      </c>
      <c r="CD9" s="54">
        <v>74.599999999999994</v>
      </c>
      <c r="CE9" s="54">
        <v>74.599999999999994</v>
      </c>
      <c r="CF9" s="54">
        <v>74.8</v>
      </c>
      <c r="CG9" s="54">
        <v>74.8</v>
      </c>
      <c r="CH9" s="54">
        <v>74.900000000000006</v>
      </c>
      <c r="CI9" s="54">
        <v>75.099999999999994</v>
      </c>
      <c r="CJ9" s="54">
        <v>75.3</v>
      </c>
      <c r="CK9" s="54">
        <v>75.099999999999994</v>
      </c>
      <c r="CL9" s="54">
        <v>75</v>
      </c>
      <c r="CM9" s="54">
        <v>75.099999999999994</v>
      </c>
      <c r="CN9" s="54">
        <v>75.3</v>
      </c>
      <c r="CO9" s="54">
        <v>75.2</v>
      </c>
      <c r="CP9" s="54">
        <v>75.3</v>
      </c>
      <c r="CQ9" s="54">
        <v>75.400000000000006</v>
      </c>
      <c r="CR9" s="54">
        <v>75.599999999999994</v>
      </c>
      <c r="CS9" s="54">
        <v>75.599999999999994</v>
      </c>
      <c r="CT9" s="54">
        <v>75.7</v>
      </c>
      <c r="CU9" s="54">
        <v>75.599999999999994</v>
      </c>
      <c r="CV9" s="54">
        <v>75.5</v>
      </c>
      <c r="CW9" s="54">
        <v>75.5</v>
      </c>
      <c r="CX9" s="54">
        <v>75.5</v>
      </c>
      <c r="CY9" s="54">
        <v>75.7</v>
      </c>
      <c r="CZ9" s="54">
        <v>75.8</v>
      </c>
      <c r="DA9" s="54">
        <v>75.8</v>
      </c>
      <c r="DB9" s="54">
        <v>76.099999999999994</v>
      </c>
      <c r="DC9" s="54">
        <v>76.099999999999994</v>
      </c>
      <c r="DD9" s="54">
        <v>76.099999999999994</v>
      </c>
      <c r="DE9" s="54">
        <v>76.099999999999994</v>
      </c>
      <c r="DF9" s="54">
        <v>76</v>
      </c>
      <c r="DG9" s="54">
        <v>76.099999999999994</v>
      </c>
      <c r="DH9" s="54">
        <v>76.099999999999994</v>
      </c>
      <c r="DI9" s="54">
        <v>75.900000000000006</v>
      </c>
      <c r="DJ9" s="54">
        <v>76</v>
      </c>
      <c r="DK9" s="54">
        <v>76.2</v>
      </c>
      <c r="DL9" s="54">
        <v>76.3</v>
      </c>
      <c r="DM9" s="54">
        <v>76.5</v>
      </c>
      <c r="DN9" s="54">
        <v>76.5</v>
      </c>
      <c r="DO9" s="54">
        <v>76.599999999999994</v>
      </c>
      <c r="DP9" s="54">
        <v>76.599999999999994</v>
      </c>
      <c r="DQ9" s="54">
        <v>76.400000000000006</v>
      </c>
      <c r="DR9" s="54">
        <v>76.400000000000006</v>
      </c>
      <c r="DS9" s="54">
        <v>76.400000000000006</v>
      </c>
      <c r="DT9" s="54">
        <v>76.5</v>
      </c>
      <c r="DU9" s="54">
        <v>75.560540413295854</v>
      </c>
      <c r="DV9" s="54">
        <v>75.3</v>
      </c>
      <c r="DW9" s="54">
        <v>75.2</v>
      </c>
      <c r="DX9" s="54">
        <v>75.2</v>
      </c>
      <c r="DY9" s="54">
        <v>75</v>
      </c>
      <c r="DZ9" s="54">
        <v>75</v>
      </c>
      <c r="EA9" s="54">
        <v>75.099999999999994</v>
      </c>
      <c r="EB9" s="54">
        <v>75.2</v>
      </c>
      <c r="EC9" s="54">
        <v>75.2</v>
      </c>
      <c r="ED9" s="54">
        <v>74.804888625445315</v>
      </c>
      <c r="EE9" s="54">
        <v>75.072312566809956</v>
      </c>
      <c r="EF9" s="54">
        <v>75.221202935474935</v>
      </c>
      <c r="EG9" s="54">
        <v>75.304370541135796</v>
      </c>
      <c r="EH9" s="54">
        <v>75.426778815565996</v>
      </c>
      <c r="EI9" s="54">
        <v>75.461811609719291</v>
      </c>
      <c r="EJ9" s="54">
        <v>75.5</v>
      </c>
      <c r="EK9" s="54">
        <v>75.5</v>
      </c>
      <c r="EL9" s="54">
        <v>75.599999999999994</v>
      </c>
      <c r="EM9" s="54">
        <v>75.485512365979233</v>
      </c>
      <c r="EN9" s="54">
        <v>75.658527259672439</v>
      </c>
      <c r="EO9" s="54">
        <v>75.648992817013806</v>
      </c>
      <c r="EP9" s="54">
        <v>75.866474785436594</v>
      </c>
      <c r="EQ9" s="54">
        <v>75.518216130142292</v>
      </c>
      <c r="ER9" s="54">
        <v>75.424200108727874</v>
      </c>
      <c r="ES9" s="54">
        <v>75.5</v>
      </c>
      <c r="ET9" s="54">
        <v>75.5</v>
      </c>
      <c r="EU9" s="54">
        <v>75.590936946393299</v>
      </c>
      <c r="EV9" s="54">
        <v>75.599999999999994</v>
      </c>
      <c r="EW9" s="54">
        <v>75.630705096071978</v>
      </c>
      <c r="EX9" s="54">
        <v>75.729704068694843</v>
      </c>
      <c r="EY9" s="54">
        <v>75.809139324324988</v>
      </c>
      <c r="EZ9" s="54">
        <v>75.876896123823229</v>
      </c>
      <c r="FA9" s="54">
        <v>75.97214972559577</v>
      </c>
      <c r="FB9" s="54">
        <v>75.973187052034973</v>
      </c>
      <c r="FC9" s="54">
        <v>75.729762820525607</v>
      </c>
      <c r="FD9" s="54">
        <v>75.48366816492188</v>
      </c>
      <c r="FE9" s="54">
        <v>75.270660956270717</v>
      </c>
      <c r="FF9" s="54">
        <v>75.44365216851719</v>
      </c>
      <c r="FG9" s="54">
        <v>75.571135927463047</v>
      </c>
      <c r="FH9" s="54">
        <v>75.687509686140444</v>
      </c>
      <c r="FI9" s="54">
        <v>75.008565237431483</v>
      </c>
      <c r="FJ9" s="54">
        <v>74.998780527386373</v>
      </c>
      <c r="FK9" s="54">
        <v>74.48788745193859</v>
      </c>
      <c r="FL9" s="54">
        <v>74.451315607234932</v>
      </c>
      <c r="FM9" s="54">
        <v>74.298008082043182</v>
      </c>
      <c r="FN9" s="54">
        <v>74.361418750306527</v>
      </c>
      <c r="FO9" s="54">
        <v>74.517671939513392</v>
      </c>
      <c r="FP9" s="54">
        <v>74.785861327691222</v>
      </c>
      <c r="FQ9" s="54">
        <v>75.005738181652305</v>
      </c>
      <c r="FR9" s="54">
        <v>74.811054593512594</v>
      </c>
      <c r="FS9" s="54">
        <v>74.889152678481949</v>
      </c>
      <c r="FT9" s="54">
        <v>74.841084069870902</v>
      </c>
      <c r="FU9" s="54">
        <v>74.938223133424088</v>
      </c>
      <c r="FV9" s="54">
        <v>75.006017765513917</v>
      </c>
      <c r="FW9" s="54">
        <v>75.066049868007099</v>
      </c>
      <c r="FX9" s="54">
        <v>74.999445427577271</v>
      </c>
      <c r="FY9" s="54">
        <v>75.057705153172918</v>
      </c>
      <c r="FZ9" s="54">
        <v>75.241221231307421</v>
      </c>
      <c r="GA9" s="54">
        <v>75.268460915089989</v>
      </c>
      <c r="GB9" s="54">
        <v>75.174093498404631</v>
      </c>
      <c r="GC9" s="54">
        <v>75.063593417860758</v>
      </c>
      <c r="GD9" s="54">
        <v>75.041594544953</v>
      </c>
      <c r="GE9" s="54">
        <v>74.915830656196405</v>
      </c>
      <c r="GF9" s="54">
        <v>75.092991600423687</v>
      </c>
      <c r="GG9" s="79">
        <v>74.959732814126554</v>
      </c>
    </row>
    <row r="10" spans="1:189" s="49" customFormat="1" ht="13.5" thickBot="1" x14ac:dyDescent="0.25">
      <c r="B10" s="38" t="s">
        <v>252</v>
      </c>
      <c r="C10" s="59">
        <v>70.5</v>
      </c>
      <c r="D10" s="59">
        <v>70.7</v>
      </c>
      <c r="E10" s="59">
        <v>70.7</v>
      </c>
      <c r="F10" s="59">
        <v>70.8</v>
      </c>
      <c r="G10" s="59">
        <v>70.599999999999994</v>
      </c>
      <c r="H10" s="59">
        <v>70.400000000000006</v>
      </c>
      <c r="I10" s="59">
        <v>70.5</v>
      </c>
      <c r="J10" s="59">
        <v>70.5</v>
      </c>
      <c r="K10" s="59">
        <v>70.7</v>
      </c>
      <c r="L10" s="59">
        <v>70.7</v>
      </c>
      <c r="M10" s="59">
        <v>70.599999999999994</v>
      </c>
      <c r="N10" s="59">
        <v>70.7</v>
      </c>
      <c r="O10" s="59">
        <v>70.599999999999994</v>
      </c>
      <c r="P10" s="59">
        <v>70.400000000000006</v>
      </c>
      <c r="Q10" s="59">
        <v>70.3</v>
      </c>
      <c r="R10" s="59">
        <v>70.2</v>
      </c>
      <c r="S10" s="59">
        <v>70.3</v>
      </c>
      <c r="T10" s="59">
        <v>70.3</v>
      </c>
      <c r="U10" s="59">
        <v>70.400000000000006</v>
      </c>
      <c r="V10" s="59">
        <v>70.400000000000006</v>
      </c>
      <c r="W10" s="59">
        <v>70.5</v>
      </c>
      <c r="X10" s="59">
        <v>70.599999999999994</v>
      </c>
      <c r="Y10" s="59">
        <v>70.7</v>
      </c>
      <c r="Z10" s="59">
        <v>70.8</v>
      </c>
      <c r="AA10" s="59">
        <v>71</v>
      </c>
      <c r="AB10" s="59">
        <v>71.2</v>
      </c>
      <c r="AC10" s="59">
        <v>71.3</v>
      </c>
      <c r="AD10" s="59">
        <v>71.2</v>
      </c>
      <c r="AE10" s="59">
        <v>71.2</v>
      </c>
      <c r="AF10" s="59">
        <v>71.5</v>
      </c>
      <c r="AG10" s="59">
        <v>71.599999999999994</v>
      </c>
      <c r="AH10" s="59">
        <v>71.5</v>
      </c>
      <c r="AI10" s="59">
        <v>71.400000000000006</v>
      </c>
      <c r="AJ10" s="59">
        <v>71.400000000000006</v>
      </c>
      <c r="AK10" s="59">
        <v>71.5</v>
      </c>
      <c r="AL10" s="59">
        <v>71.400000000000006</v>
      </c>
      <c r="AM10" s="59">
        <v>71.5</v>
      </c>
      <c r="AN10" s="59">
        <v>71.599999999999994</v>
      </c>
      <c r="AO10" s="59">
        <v>71.5</v>
      </c>
      <c r="AP10" s="59">
        <v>71.599999999999994</v>
      </c>
      <c r="AQ10" s="59">
        <v>71.8</v>
      </c>
      <c r="AR10" s="59">
        <v>72</v>
      </c>
      <c r="AS10" s="59">
        <v>72</v>
      </c>
      <c r="AT10" s="59">
        <v>72.099999999999994</v>
      </c>
      <c r="AU10" s="59">
        <v>72.400000000000006</v>
      </c>
      <c r="AV10" s="59">
        <v>72.5</v>
      </c>
      <c r="AW10" s="59">
        <v>72.7</v>
      </c>
      <c r="AX10" s="59">
        <v>72.900000000000006</v>
      </c>
      <c r="AY10" s="59">
        <v>72.8</v>
      </c>
      <c r="AZ10" s="59">
        <v>72.8</v>
      </c>
      <c r="BA10" s="59">
        <v>73</v>
      </c>
      <c r="BB10" s="59">
        <v>73</v>
      </c>
      <c r="BC10" s="59">
        <v>73</v>
      </c>
      <c r="BD10" s="59">
        <v>73</v>
      </c>
      <c r="BE10" s="59">
        <v>73.2</v>
      </c>
      <c r="BF10" s="59">
        <v>73.3</v>
      </c>
      <c r="BG10" s="59">
        <v>73.400000000000006</v>
      </c>
      <c r="BH10" s="59">
        <v>73.5</v>
      </c>
      <c r="BI10" s="59">
        <v>73.400000000000006</v>
      </c>
      <c r="BJ10" s="59">
        <v>73.400000000000006</v>
      </c>
      <c r="BK10" s="59">
        <v>73.400000000000006</v>
      </c>
      <c r="BL10" s="59">
        <v>73.5</v>
      </c>
      <c r="BM10" s="59">
        <v>73.599999999999994</v>
      </c>
      <c r="BN10" s="59">
        <v>73.8</v>
      </c>
      <c r="BO10" s="59">
        <v>73.900000000000006</v>
      </c>
      <c r="BP10" s="59">
        <v>74</v>
      </c>
      <c r="BQ10" s="59">
        <v>74.099999999999994</v>
      </c>
      <c r="BR10" s="59">
        <v>74.099999999999994</v>
      </c>
      <c r="BS10" s="59">
        <v>74.099999999999994</v>
      </c>
      <c r="BT10" s="59">
        <v>74.2</v>
      </c>
      <c r="BU10" s="59">
        <v>74.2</v>
      </c>
      <c r="BV10" s="59">
        <v>74.400000000000006</v>
      </c>
      <c r="BW10" s="59">
        <v>74.400000000000006</v>
      </c>
      <c r="BX10" s="59">
        <v>74.5</v>
      </c>
      <c r="BY10" s="59">
        <v>74.5</v>
      </c>
      <c r="BZ10" s="59">
        <v>74.400000000000006</v>
      </c>
      <c r="CA10" s="59">
        <v>74.400000000000006</v>
      </c>
      <c r="CB10" s="59">
        <v>74.5</v>
      </c>
      <c r="CC10" s="59">
        <v>74.599999999999994</v>
      </c>
      <c r="CD10" s="59">
        <v>74.599999999999994</v>
      </c>
      <c r="CE10" s="59">
        <v>74.599999999999994</v>
      </c>
      <c r="CF10" s="59">
        <v>74.8</v>
      </c>
      <c r="CG10" s="59">
        <v>74.8</v>
      </c>
      <c r="CH10" s="59">
        <v>74.900000000000006</v>
      </c>
      <c r="CI10" s="59">
        <v>75.099999999999994</v>
      </c>
      <c r="CJ10" s="59">
        <v>75.3</v>
      </c>
      <c r="CK10" s="59">
        <v>75.099999999999994</v>
      </c>
      <c r="CL10" s="59">
        <v>75</v>
      </c>
      <c r="CM10" s="59">
        <v>75.099999999999994</v>
      </c>
      <c r="CN10" s="59">
        <v>75.3</v>
      </c>
      <c r="CO10" s="59">
        <v>75.2</v>
      </c>
      <c r="CP10" s="59">
        <v>75.3</v>
      </c>
      <c r="CQ10" s="59">
        <v>75.400000000000006</v>
      </c>
      <c r="CR10" s="59">
        <v>75.599999999999994</v>
      </c>
      <c r="CS10" s="59">
        <v>75.599999999999994</v>
      </c>
      <c r="CT10" s="59">
        <v>75.599999999999994</v>
      </c>
      <c r="CU10" s="59">
        <v>75.5</v>
      </c>
      <c r="CV10" s="59">
        <v>75.5</v>
      </c>
      <c r="CW10" s="59">
        <v>75.599999999999994</v>
      </c>
      <c r="CX10" s="59">
        <v>75.599999999999994</v>
      </c>
      <c r="CY10" s="59">
        <v>75.7</v>
      </c>
      <c r="CZ10" s="59">
        <v>75.8</v>
      </c>
      <c r="DA10" s="59">
        <v>75.8</v>
      </c>
      <c r="DB10" s="59">
        <v>76.099999999999994</v>
      </c>
      <c r="DC10" s="59">
        <v>76.099999999999994</v>
      </c>
      <c r="DD10" s="59">
        <v>76.099999999999994</v>
      </c>
      <c r="DE10" s="59">
        <v>76.099999999999994</v>
      </c>
      <c r="DF10" s="59">
        <v>75.8</v>
      </c>
      <c r="DG10" s="59">
        <v>76.099999999999994</v>
      </c>
      <c r="DH10" s="59">
        <v>76</v>
      </c>
      <c r="DI10" s="59">
        <v>75.900000000000006</v>
      </c>
      <c r="DJ10" s="59">
        <v>76</v>
      </c>
      <c r="DK10" s="59">
        <v>76.2</v>
      </c>
      <c r="DL10" s="59">
        <v>76.3</v>
      </c>
      <c r="DM10" s="59">
        <v>76.5</v>
      </c>
      <c r="DN10" s="59">
        <v>76.5</v>
      </c>
      <c r="DO10" s="59">
        <v>76.599999999999994</v>
      </c>
      <c r="DP10" s="59">
        <v>76.340151606737336</v>
      </c>
      <c r="DQ10" s="59">
        <v>76.023623325676269</v>
      </c>
      <c r="DR10" s="59">
        <v>75.841800029272491</v>
      </c>
      <c r="DS10" s="59">
        <v>75.748394873159526</v>
      </c>
      <c r="DT10" s="59">
        <v>75.625159512623981</v>
      </c>
      <c r="DU10" s="59">
        <v>75.37042605160768</v>
      </c>
      <c r="DV10" s="59">
        <v>75.032893557475006</v>
      </c>
      <c r="DW10" s="59">
        <v>74.935643921654574</v>
      </c>
      <c r="DX10" s="59">
        <v>74.948703090707326</v>
      </c>
      <c r="DY10" s="59">
        <v>74.653900168755683</v>
      </c>
      <c r="DZ10" s="59">
        <v>74.610039835289143</v>
      </c>
      <c r="EA10" s="59">
        <v>74.720603037952714</v>
      </c>
      <c r="EB10" s="59">
        <v>74.724822795561209</v>
      </c>
      <c r="EC10" s="59">
        <v>74.692215176965391</v>
      </c>
      <c r="ED10" s="59">
        <v>74.750852404419049</v>
      </c>
      <c r="EE10" s="59">
        <v>75.019872463169762</v>
      </c>
      <c r="EF10" s="59">
        <v>75.142336390490669</v>
      </c>
      <c r="EG10" s="59">
        <v>75.242012313790454</v>
      </c>
      <c r="EH10" s="59">
        <v>75.336737738508361</v>
      </c>
      <c r="EI10" s="59">
        <v>75.385207923827323</v>
      </c>
      <c r="EJ10" s="59">
        <v>75.417536609317878</v>
      </c>
      <c r="EK10" s="59">
        <v>75.469458847652803</v>
      </c>
      <c r="EL10" s="59">
        <v>75.431988378732541</v>
      </c>
      <c r="EM10" s="59">
        <v>75.465305750384204</v>
      </c>
      <c r="EN10" s="59">
        <v>75.626683571744096</v>
      </c>
      <c r="EO10" s="59">
        <v>75.648992817013806</v>
      </c>
      <c r="EP10" s="59">
        <v>75.866474785436637</v>
      </c>
      <c r="EQ10" s="59">
        <v>75.518216130142292</v>
      </c>
      <c r="ER10" s="59">
        <v>75.424200108727874</v>
      </c>
      <c r="ES10" s="59">
        <v>75.5</v>
      </c>
      <c r="ET10" s="59">
        <v>75.5</v>
      </c>
      <c r="EU10" s="59">
        <v>75.590936946393299</v>
      </c>
      <c r="EV10" s="59">
        <v>75.599999999999994</v>
      </c>
      <c r="EW10" s="59">
        <v>75.186090118403058</v>
      </c>
      <c r="EX10" s="59">
        <v>75.243637062923654</v>
      </c>
      <c r="EY10" s="59">
        <v>75.238481346871339</v>
      </c>
      <c r="EZ10" s="59">
        <v>75.278703155886859</v>
      </c>
      <c r="FA10" s="59">
        <v>75.430690127966372</v>
      </c>
      <c r="FB10" s="59">
        <v>75.460292846986491</v>
      </c>
      <c r="FC10" s="59">
        <v>75.169187769647309</v>
      </c>
      <c r="FD10" s="59">
        <v>74.911923036272327</v>
      </c>
      <c r="FE10" s="59">
        <v>74.744984698606416</v>
      </c>
      <c r="FF10" s="59">
        <v>74.84646884495379</v>
      </c>
      <c r="FG10" s="59">
        <v>74.86939463786932</v>
      </c>
      <c r="FH10" s="59">
        <v>74.85616426701057</v>
      </c>
      <c r="FI10" s="59">
        <v>74.849990215909997</v>
      </c>
      <c r="FJ10" s="59">
        <v>74.659177279638797</v>
      </c>
      <c r="FK10" s="59">
        <v>74.55901190200197</v>
      </c>
      <c r="FL10" s="59">
        <v>74.495675414989066</v>
      </c>
      <c r="FM10" s="59">
        <v>74.396208533706854</v>
      </c>
      <c r="FN10" s="59">
        <v>74.407764323915487</v>
      </c>
      <c r="FO10" s="59">
        <v>74.574397057150151</v>
      </c>
      <c r="FP10" s="59">
        <v>74.722902674145047</v>
      </c>
      <c r="FQ10" s="59">
        <v>74.985703831661851</v>
      </c>
      <c r="FR10" s="59">
        <v>74.937975580477485</v>
      </c>
      <c r="FS10" s="59">
        <v>74.902472586787169</v>
      </c>
      <c r="FT10" s="59">
        <v>74.850934796288655</v>
      </c>
      <c r="FU10" s="59">
        <v>74.956007115185059</v>
      </c>
      <c r="FV10" s="59" t="s">
        <v>300</v>
      </c>
      <c r="FW10" s="59" t="s">
        <v>300</v>
      </c>
      <c r="FX10" s="59" t="s">
        <v>300</v>
      </c>
      <c r="FY10" s="59" t="s">
        <v>300</v>
      </c>
      <c r="FZ10" s="59" t="s">
        <v>300</v>
      </c>
      <c r="GA10" s="59" t="s">
        <v>300</v>
      </c>
      <c r="GB10" s="59" t="s">
        <v>300</v>
      </c>
      <c r="GC10" s="59" t="s">
        <v>300</v>
      </c>
      <c r="GD10" s="59" t="s">
        <v>300</v>
      </c>
      <c r="GE10" s="59" t="s">
        <v>300</v>
      </c>
      <c r="GF10" s="59" t="s">
        <v>300</v>
      </c>
      <c r="GG10" s="80" t="s">
        <v>300</v>
      </c>
    </row>
    <row r="11" spans="1:189" ht="13.5" hidden="1" thickBot="1" x14ac:dyDescent="0.25">
      <c r="B11" s="37" t="s">
        <v>23</v>
      </c>
      <c r="C11" s="60">
        <v>0</v>
      </c>
      <c r="D11" s="60">
        <v>0</v>
      </c>
      <c r="E11" s="60">
        <v>0</v>
      </c>
      <c r="F11" s="60">
        <v>0</v>
      </c>
      <c r="G11" s="60">
        <v>0</v>
      </c>
      <c r="H11" s="60">
        <v>0</v>
      </c>
      <c r="I11" s="60">
        <v>0</v>
      </c>
      <c r="J11" s="60">
        <v>0</v>
      </c>
      <c r="K11" s="60">
        <v>0</v>
      </c>
      <c r="L11" s="60">
        <v>0</v>
      </c>
      <c r="M11" s="60">
        <v>0</v>
      </c>
      <c r="N11" s="60">
        <v>0</v>
      </c>
      <c r="O11" s="60">
        <v>0</v>
      </c>
      <c r="P11" s="60">
        <v>0</v>
      </c>
      <c r="Q11" s="60">
        <v>0</v>
      </c>
      <c r="R11" s="60">
        <v>0</v>
      </c>
      <c r="S11" s="60">
        <v>0</v>
      </c>
      <c r="T11" s="60">
        <v>0</v>
      </c>
      <c r="U11" s="60">
        <v>0</v>
      </c>
      <c r="V11" s="60">
        <v>0</v>
      </c>
      <c r="W11" s="60">
        <v>0</v>
      </c>
      <c r="X11" s="60">
        <v>0</v>
      </c>
      <c r="Y11" s="60">
        <v>0</v>
      </c>
      <c r="Z11" s="60">
        <v>0</v>
      </c>
      <c r="AA11" s="60">
        <v>0</v>
      </c>
      <c r="AB11" s="60">
        <v>0</v>
      </c>
      <c r="AC11" s="60">
        <v>0</v>
      </c>
      <c r="AD11" s="60">
        <v>0</v>
      </c>
      <c r="AE11" s="60">
        <v>0</v>
      </c>
      <c r="AF11" s="60">
        <v>0</v>
      </c>
      <c r="AG11" s="60">
        <v>0</v>
      </c>
      <c r="AH11" s="60">
        <v>0</v>
      </c>
      <c r="AI11" s="60">
        <v>0</v>
      </c>
      <c r="AJ11" s="60">
        <v>0</v>
      </c>
      <c r="AK11" s="60">
        <v>0</v>
      </c>
      <c r="AL11" s="60">
        <v>0</v>
      </c>
      <c r="AM11" s="60">
        <v>0</v>
      </c>
      <c r="AN11" s="60">
        <v>0</v>
      </c>
      <c r="AO11" s="60">
        <v>0</v>
      </c>
      <c r="AP11" s="60">
        <v>0</v>
      </c>
      <c r="AQ11" s="60">
        <v>0</v>
      </c>
      <c r="AR11" s="60">
        <v>0</v>
      </c>
      <c r="AS11" s="60">
        <v>0</v>
      </c>
      <c r="AT11" s="60">
        <v>0</v>
      </c>
      <c r="AU11" s="60">
        <v>0</v>
      </c>
      <c r="AV11" s="60">
        <v>0</v>
      </c>
      <c r="AW11" s="60">
        <v>0</v>
      </c>
      <c r="AX11" s="60">
        <v>0</v>
      </c>
      <c r="AY11" s="60">
        <v>0</v>
      </c>
      <c r="AZ11" s="60">
        <v>0</v>
      </c>
      <c r="BA11" s="60">
        <v>0</v>
      </c>
      <c r="BB11" s="60">
        <v>0</v>
      </c>
      <c r="BC11" s="60">
        <v>0</v>
      </c>
      <c r="BD11" s="60">
        <v>0</v>
      </c>
      <c r="BE11" s="60">
        <v>0</v>
      </c>
      <c r="BF11" s="60">
        <v>0</v>
      </c>
      <c r="BG11" s="60">
        <v>0</v>
      </c>
      <c r="BH11" s="60">
        <v>0</v>
      </c>
      <c r="BI11" s="60">
        <v>0</v>
      </c>
      <c r="BJ11" s="60">
        <v>0</v>
      </c>
      <c r="BK11" s="60">
        <v>0</v>
      </c>
      <c r="BL11" s="60">
        <v>0</v>
      </c>
      <c r="BM11" s="60">
        <v>0</v>
      </c>
      <c r="BN11" s="60">
        <v>0</v>
      </c>
      <c r="BO11" s="60">
        <v>0</v>
      </c>
      <c r="BP11" s="60">
        <v>0</v>
      </c>
      <c r="BQ11" s="60">
        <v>0</v>
      </c>
      <c r="BR11" s="60">
        <v>0</v>
      </c>
      <c r="BS11" s="60">
        <v>0</v>
      </c>
      <c r="BT11" s="60">
        <v>0</v>
      </c>
      <c r="BU11" s="60">
        <v>0</v>
      </c>
      <c r="BV11" s="60">
        <v>0</v>
      </c>
      <c r="BW11" s="60">
        <v>0</v>
      </c>
      <c r="BX11" s="60">
        <v>0</v>
      </c>
      <c r="BY11" s="60">
        <v>0</v>
      </c>
      <c r="BZ11" s="60">
        <v>0</v>
      </c>
      <c r="CA11" s="60">
        <v>0</v>
      </c>
      <c r="CB11" s="60">
        <v>0</v>
      </c>
      <c r="CC11" s="60">
        <v>0</v>
      </c>
      <c r="CD11" s="60">
        <v>0</v>
      </c>
      <c r="CE11" s="60">
        <v>0</v>
      </c>
      <c r="CF11" s="60">
        <v>0</v>
      </c>
      <c r="CG11" s="60">
        <v>0</v>
      </c>
      <c r="CH11" s="60">
        <v>0</v>
      </c>
      <c r="CI11" s="60">
        <v>0</v>
      </c>
      <c r="CJ11" s="60">
        <v>0</v>
      </c>
      <c r="CK11" s="60">
        <v>0</v>
      </c>
      <c r="CL11" s="60">
        <v>0</v>
      </c>
      <c r="CM11" s="60">
        <v>0</v>
      </c>
      <c r="CN11" s="60">
        <v>0</v>
      </c>
      <c r="CO11" s="60">
        <v>0</v>
      </c>
      <c r="CP11" s="60">
        <v>0</v>
      </c>
      <c r="CQ11" s="60">
        <v>0</v>
      </c>
      <c r="CR11" s="60">
        <v>0</v>
      </c>
      <c r="CS11" s="60">
        <v>0</v>
      </c>
      <c r="CT11" s="60">
        <v>0</v>
      </c>
      <c r="CU11" s="60">
        <v>0</v>
      </c>
      <c r="CV11" s="60">
        <v>0</v>
      </c>
      <c r="CW11" s="60">
        <v>0</v>
      </c>
      <c r="CX11" s="60">
        <v>0</v>
      </c>
      <c r="CY11" s="60">
        <v>0</v>
      </c>
      <c r="CZ11" s="60">
        <v>0</v>
      </c>
      <c r="DA11" s="60">
        <v>0</v>
      </c>
      <c r="DB11" s="60">
        <v>0</v>
      </c>
      <c r="DC11" s="60">
        <v>0</v>
      </c>
      <c r="DD11" s="60">
        <v>0</v>
      </c>
      <c r="DE11" s="60">
        <v>0</v>
      </c>
      <c r="DF11" s="60">
        <v>0</v>
      </c>
      <c r="DG11" s="60">
        <v>0</v>
      </c>
      <c r="DH11" s="60">
        <v>0</v>
      </c>
      <c r="DI11" s="60">
        <v>0</v>
      </c>
      <c r="DJ11" s="60">
        <v>0</v>
      </c>
      <c r="DK11" s="60">
        <v>0</v>
      </c>
      <c r="DL11" s="60">
        <v>0</v>
      </c>
      <c r="DM11" s="60">
        <v>0</v>
      </c>
      <c r="DN11" s="60">
        <v>0</v>
      </c>
      <c r="DO11" s="60">
        <v>0</v>
      </c>
      <c r="DP11" s="60">
        <v>0</v>
      </c>
      <c r="DQ11" s="60">
        <v>0</v>
      </c>
      <c r="DR11" s="60">
        <v>0</v>
      </c>
      <c r="DS11" s="60">
        <v>0</v>
      </c>
      <c r="DT11" s="60">
        <v>0</v>
      </c>
      <c r="DU11" s="60">
        <v>0</v>
      </c>
      <c r="DV11" s="60">
        <v>0</v>
      </c>
      <c r="DW11" s="60">
        <v>0</v>
      </c>
      <c r="DX11" s="60">
        <v>0</v>
      </c>
      <c r="DY11" s="60">
        <v>0</v>
      </c>
      <c r="DZ11" s="60">
        <v>0</v>
      </c>
      <c r="EA11" s="60">
        <v>0</v>
      </c>
      <c r="EB11" s="60">
        <v>0</v>
      </c>
      <c r="EC11" s="60">
        <v>0</v>
      </c>
      <c r="ED11" s="60">
        <v>0</v>
      </c>
      <c r="EE11" s="60">
        <v>0</v>
      </c>
      <c r="EF11" s="60">
        <v>0</v>
      </c>
      <c r="EG11" s="60">
        <v>0</v>
      </c>
      <c r="EH11" s="60">
        <v>0</v>
      </c>
      <c r="EI11" s="60">
        <v>0</v>
      </c>
      <c r="EJ11" s="60">
        <v>0</v>
      </c>
      <c r="EK11" s="60">
        <v>0</v>
      </c>
      <c r="EL11" s="60">
        <v>0</v>
      </c>
      <c r="EM11" s="60">
        <v>0</v>
      </c>
      <c r="EN11" s="60">
        <v>0</v>
      </c>
      <c r="EO11" s="60">
        <v>0</v>
      </c>
      <c r="EP11" s="60">
        <v>0</v>
      </c>
      <c r="EQ11" s="60">
        <v>0</v>
      </c>
      <c r="ER11" s="60">
        <v>0</v>
      </c>
      <c r="ES11" s="60">
        <v>0</v>
      </c>
      <c r="ET11" s="60">
        <v>0</v>
      </c>
      <c r="EU11" s="60">
        <v>0</v>
      </c>
      <c r="EV11" s="60">
        <v>0</v>
      </c>
      <c r="EW11" s="60">
        <v>0</v>
      </c>
      <c r="EX11" s="60">
        <v>0</v>
      </c>
      <c r="EY11" s="60">
        <v>0</v>
      </c>
      <c r="EZ11" s="60">
        <v>0</v>
      </c>
      <c r="FA11" s="60">
        <v>0</v>
      </c>
      <c r="FB11" s="60">
        <v>0</v>
      </c>
      <c r="FC11" s="60">
        <v>0</v>
      </c>
      <c r="FD11" s="60">
        <v>0</v>
      </c>
      <c r="FE11" s="60">
        <v>0</v>
      </c>
      <c r="FF11" s="60">
        <v>0</v>
      </c>
      <c r="FG11" s="60">
        <v>0</v>
      </c>
      <c r="FH11" s="60">
        <v>0</v>
      </c>
      <c r="FI11" s="60">
        <v>0</v>
      </c>
      <c r="FJ11" s="60">
        <v>0</v>
      </c>
      <c r="FK11" s="60">
        <v>0</v>
      </c>
      <c r="FL11" s="60">
        <v>0</v>
      </c>
      <c r="FM11" s="60">
        <v>0</v>
      </c>
      <c r="FN11" s="60">
        <v>0</v>
      </c>
      <c r="FO11" s="60">
        <v>0</v>
      </c>
      <c r="FP11" s="60">
        <v>0</v>
      </c>
      <c r="FQ11" s="60">
        <v>0</v>
      </c>
      <c r="FR11" s="60">
        <v>0</v>
      </c>
      <c r="FS11" s="60">
        <v>0</v>
      </c>
      <c r="FT11" s="60">
        <v>0</v>
      </c>
      <c r="FU11" s="60">
        <v>0</v>
      </c>
      <c r="FV11" s="60">
        <v>0</v>
      </c>
      <c r="FW11" s="60">
        <v>0</v>
      </c>
      <c r="FX11" s="60">
        <v>0</v>
      </c>
      <c r="FY11" s="60">
        <v>0</v>
      </c>
      <c r="FZ11" s="60">
        <v>0</v>
      </c>
      <c r="GA11" s="60">
        <v>0</v>
      </c>
      <c r="GB11" s="60">
        <v>0</v>
      </c>
      <c r="GC11" s="60">
        <v>0</v>
      </c>
      <c r="GD11" s="60">
        <v>0</v>
      </c>
      <c r="GE11" s="60">
        <v>0</v>
      </c>
      <c r="GF11" s="60">
        <v>0</v>
      </c>
      <c r="GG11" s="81">
        <v>0</v>
      </c>
    </row>
    <row r="12" spans="1:189" ht="13.5" hidden="1" thickBot="1" x14ac:dyDescent="0.25">
      <c r="B12" s="37" t="s">
        <v>24</v>
      </c>
      <c r="C12" s="60">
        <v>0</v>
      </c>
      <c r="D12" s="60">
        <v>0</v>
      </c>
      <c r="E12" s="60">
        <v>0</v>
      </c>
      <c r="F12" s="60">
        <v>0</v>
      </c>
      <c r="G12" s="60">
        <v>0</v>
      </c>
      <c r="H12" s="60">
        <v>0</v>
      </c>
      <c r="I12" s="60">
        <v>0</v>
      </c>
      <c r="J12" s="60">
        <v>0</v>
      </c>
      <c r="K12" s="60">
        <v>0</v>
      </c>
      <c r="L12" s="60">
        <v>0</v>
      </c>
      <c r="M12" s="60">
        <v>0</v>
      </c>
      <c r="N12" s="60">
        <v>0</v>
      </c>
      <c r="O12" s="60">
        <v>0</v>
      </c>
      <c r="P12" s="60">
        <v>0</v>
      </c>
      <c r="Q12" s="60">
        <v>0</v>
      </c>
      <c r="R12" s="60">
        <v>0</v>
      </c>
      <c r="S12" s="60">
        <v>0</v>
      </c>
      <c r="T12" s="60">
        <v>0</v>
      </c>
      <c r="U12" s="60">
        <v>0</v>
      </c>
      <c r="V12" s="60">
        <v>0</v>
      </c>
      <c r="W12" s="60">
        <v>0</v>
      </c>
      <c r="X12" s="60">
        <v>0</v>
      </c>
      <c r="Y12" s="60">
        <v>0</v>
      </c>
      <c r="Z12" s="60">
        <v>0</v>
      </c>
      <c r="AA12" s="60">
        <v>0</v>
      </c>
      <c r="AB12" s="60">
        <v>0</v>
      </c>
      <c r="AC12" s="60">
        <v>0</v>
      </c>
      <c r="AD12" s="60">
        <v>0</v>
      </c>
      <c r="AE12" s="60">
        <v>0</v>
      </c>
      <c r="AF12" s="60">
        <v>0</v>
      </c>
      <c r="AG12" s="60">
        <v>0</v>
      </c>
      <c r="AH12" s="60">
        <v>0</v>
      </c>
      <c r="AI12" s="60">
        <v>0</v>
      </c>
      <c r="AJ12" s="60">
        <v>0</v>
      </c>
      <c r="AK12" s="60">
        <v>0</v>
      </c>
      <c r="AL12" s="60">
        <v>0</v>
      </c>
      <c r="AM12" s="60">
        <v>0</v>
      </c>
      <c r="AN12" s="60">
        <v>0</v>
      </c>
      <c r="AO12" s="60">
        <v>0</v>
      </c>
      <c r="AP12" s="60">
        <v>0</v>
      </c>
      <c r="AQ12" s="60">
        <v>0</v>
      </c>
      <c r="AR12" s="60">
        <v>0</v>
      </c>
      <c r="AS12" s="60">
        <v>0</v>
      </c>
      <c r="AT12" s="60">
        <v>0</v>
      </c>
      <c r="AU12" s="60">
        <v>0</v>
      </c>
      <c r="AV12" s="60">
        <v>0</v>
      </c>
      <c r="AW12" s="60">
        <v>0</v>
      </c>
      <c r="AX12" s="60">
        <v>0</v>
      </c>
      <c r="AY12" s="60">
        <v>0</v>
      </c>
      <c r="AZ12" s="60">
        <v>0</v>
      </c>
      <c r="BA12" s="60">
        <v>0</v>
      </c>
      <c r="BB12" s="60">
        <v>0</v>
      </c>
      <c r="BC12" s="60">
        <v>0</v>
      </c>
      <c r="BD12" s="60">
        <v>0</v>
      </c>
      <c r="BE12" s="60">
        <v>0</v>
      </c>
      <c r="BF12" s="60">
        <v>0</v>
      </c>
      <c r="BG12" s="60">
        <v>0</v>
      </c>
      <c r="BH12" s="60">
        <v>0</v>
      </c>
      <c r="BI12" s="60">
        <v>0</v>
      </c>
      <c r="BJ12" s="60">
        <v>0</v>
      </c>
      <c r="BK12" s="60">
        <v>0</v>
      </c>
      <c r="BL12" s="60">
        <v>0</v>
      </c>
      <c r="BM12" s="60">
        <v>0</v>
      </c>
      <c r="BN12" s="60">
        <v>0</v>
      </c>
      <c r="BO12" s="60">
        <v>0</v>
      </c>
      <c r="BP12" s="60">
        <v>0</v>
      </c>
      <c r="BQ12" s="60">
        <v>0</v>
      </c>
      <c r="BR12" s="60">
        <v>0</v>
      </c>
      <c r="BS12" s="60">
        <v>0</v>
      </c>
      <c r="BT12" s="60">
        <v>0</v>
      </c>
      <c r="BU12" s="60">
        <v>0</v>
      </c>
      <c r="BV12" s="60">
        <v>0</v>
      </c>
      <c r="BW12" s="60">
        <v>0</v>
      </c>
      <c r="BX12" s="60">
        <v>0</v>
      </c>
      <c r="BY12" s="60">
        <v>0</v>
      </c>
      <c r="BZ12" s="60">
        <v>0</v>
      </c>
      <c r="CA12" s="60">
        <v>0</v>
      </c>
      <c r="CB12" s="60">
        <v>0</v>
      </c>
      <c r="CC12" s="60">
        <v>0</v>
      </c>
      <c r="CD12" s="60">
        <v>0</v>
      </c>
      <c r="CE12" s="60">
        <v>0</v>
      </c>
      <c r="CF12" s="60">
        <v>0</v>
      </c>
      <c r="CG12" s="60">
        <v>0</v>
      </c>
      <c r="CH12" s="60">
        <v>0</v>
      </c>
      <c r="CI12" s="60">
        <v>0</v>
      </c>
      <c r="CJ12" s="60">
        <v>0</v>
      </c>
      <c r="CK12" s="60">
        <v>0</v>
      </c>
      <c r="CL12" s="60">
        <v>0</v>
      </c>
      <c r="CM12" s="60">
        <v>0</v>
      </c>
      <c r="CN12" s="60">
        <v>0</v>
      </c>
      <c r="CO12" s="60">
        <v>0</v>
      </c>
      <c r="CP12" s="60">
        <v>0</v>
      </c>
      <c r="CQ12" s="60">
        <v>0</v>
      </c>
      <c r="CR12" s="60">
        <v>0</v>
      </c>
      <c r="CS12" s="60">
        <v>0</v>
      </c>
      <c r="CT12" s="60">
        <v>0</v>
      </c>
      <c r="CU12" s="60">
        <v>0</v>
      </c>
      <c r="CV12" s="60">
        <v>0</v>
      </c>
      <c r="CW12" s="60">
        <v>0</v>
      </c>
      <c r="CX12" s="60">
        <v>0</v>
      </c>
      <c r="CY12" s="60">
        <v>0</v>
      </c>
      <c r="CZ12" s="60">
        <v>0</v>
      </c>
      <c r="DA12" s="60">
        <v>0</v>
      </c>
      <c r="DB12" s="60">
        <v>0</v>
      </c>
      <c r="DC12" s="60">
        <v>0</v>
      </c>
      <c r="DD12" s="60">
        <v>0</v>
      </c>
      <c r="DE12" s="60">
        <v>0</v>
      </c>
      <c r="DF12" s="60">
        <v>0</v>
      </c>
      <c r="DG12" s="60">
        <v>0</v>
      </c>
      <c r="DH12" s="60">
        <v>0</v>
      </c>
      <c r="DI12" s="60">
        <v>0</v>
      </c>
      <c r="DJ12" s="60">
        <v>0</v>
      </c>
      <c r="DK12" s="60">
        <v>0</v>
      </c>
      <c r="DL12" s="60">
        <v>0</v>
      </c>
      <c r="DM12" s="60">
        <v>0</v>
      </c>
      <c r="DN12" s="60">
        <v>0</v>
      </c>
      <c r="DO12" s="60">
        <v>0</v>
      </c>
      <c r="DP12" s="60">
        <v>0</v>
      </c>
      <c r="DQ12" s="60">
        <v>0</v>
      </c>
      <c r="DR12" s="60">
        <v>0</v>
      </c>
      <c r="DS12" s="60">
        <v>0</v>
      </c>
      <c r="DT12" s="60">
        <v>0</v>
      </c>
      <c r="DU12" s="60">
        <v>0</v>
      </c>
      <c r="DV12" s="60">
        <v>0</v>
      </c>
      <c r="DW12" s="60">
        <v>0</v>
      </c>
      <c r="DX12" s="60">
        <v>0</v>
      </c>
      <c r="DY12" s="60">
        <v>0</v>
      </c>
      <c r="DZ12" s="60">
        <v>0</v>
      </c>
      <c r="EA12" s="60">
        <v>0</v>
      </c>
      <c r="EB12" s="60">
        <v>0</v>
      </c>
      <c r="EC12" s="60">
        <v>0</v>
      </c>
      <c r="ED12" s="60">
        <v>0</v>
      </c>
      <c r="EE12" s="60">
        <v>0</v>
      </c>
      <c r="EF12" s="60">
        <v>0</v>
      </c>
      <c r="EG12" s="60">
        <v>0</v>
      </c>
      <c r="EH12" s="60">
        <v>0</v>
      </c>
      <c r="EI12" s="60">
        <v>0</v>
      </c>
      <c r="EJ12" s="60">
        <v>0</v>
      </c>
      <c r="EK12" s="60">
        <v>0</v>
      </c>
      <c r="EL12" s="60">
        <v>0</v>
      </c>
      <c r="EM12" s="60">
        <v>0</v>
      </c>
      <c r="EN12" s="60">
        <v>0</v>
      </c>
      <c r="EO12" s="60">
        <v>0</v>
      </c>
      <c r="EP12" s="60">
        <v>0</v>
      </c>
      <c r="EQ12" s="60">
        <v>0</v>
      </c>
      <c r="ER12" s="60">
        <v>0</v>
      </c>
      <c r="ES12" s="60">
        <v>0</v>
      </c>
      <c r="ET12" s="60">
        <v>0</v>
      </c>
      <c r="EU12" s="60">
        <v>0</v>
      </c>
      <c r="EV12" s="60">
        <v>0</v>
      </c>
      <c r="EW12" s="60">
        <v>0</v>
      </c>
      <c r="EX12" s="60">
        <v>0</v>
      </c>
      <c r="EY12" s="60">
        <v>0</v>
      </c>
      <c r="EZ12" s="60">
        <v>0</v>
      </c>
      <c r="FA12" s="60">
        <v>0</v>
      </c>
      <c r="FB12" s="60">
        <v>0</v>
      </c>
      <c r="FC12" s="60">
        <v>0</v>
      </c>
      <c r="FD12" s="60">
        <v>0</v>
      </c>
      <c r="FE12" s="60">
        <v>0</v>
      </c>
      <c r="FF12" s="60">
        <v>0</v>
      </c>
      <c r="FG12" s="60">
        <v>0</v>
      </c>
      <c r="FH12" s="60">
        <v>0</v>
      </c>
      <c r="FI12" s="60">
        <v>0</v>
      </c>
      <c r="FJ12" s="60">
        <v>0</v>
      </c>
      <c r="FK12" s="60">
        <v>0</v>
      </c>
      <c r="FL12" s="60">
        <v>0</v>
      </c>
      <c r="FM12" s="60">
        <v>0</v>
      </c>
      <c r="FN12" s="60">
        <v>0</v>
      </c>
      <c r="FO12" s="60">
        <v>0</v>
      </c>
      <c r="FP12" s="60">
        <v>0</v>
      </c>
      <c r="FQ12" s="60">
        <v>0</v>
      </c>
      <c r="FR12" s="60">
        <v>0</v>
      </c>
      <c r="FS12" s="60">
        <v>0</v>
      </c>
      <c r="FT12" s="60">
        <v>0</v>
      </c>
      <c r="FU12" s="60">
        <v>0</v>
      </c>
      <c r="FV12" s="60">
        <v>0</v>
      </c>
      <c r="FW12" s="60">
        <v>0</v>
      </c>
      <c r="FX12" s="60">
        <v>0</v>
      </c>
      <c r="FY12" s="60">
        <v>0</v>
      </c>
      <c r="FZ12" s="60">
        <v>0</v>
      </c>
      <c r="GA12" s="60">
        <v>0</v>
      </c>
      <c r="GB12" s="60">
        <v>0</v>
      </c>
      <c r="GC12" s="60">
        <v>0</v>
      </c>
      <c r="GD12" s="60">
        <v>0</v>
      </c>
      <c r="GE12" s="60">
        <v>0</v>
      </c>
      <c r="GF12" s="60">
        <v>0</v>
      </c>
      <c r="GG12" s="81">
        <v>0</v>
      </c>
    </row>
    <row r="13" spans="1:189" s="66" customFormat="1" ht="13.5" thickBot="1" x14ac:dyDescent="0.25">
      <c r="A13"/>
      <c r="B13" s="56">
        <v>40391</v>
      </c>
      <c r="C13" s="65"/>
      <c r="D13" s="65"/>
      <c r="E13" s="65"/>
      <c r="F13" s="65"/>
      <c r="G13" s="65"/>
      <c r="H13" s="65"/>
      <c r="I13" s="65"/>
      <c r="J13" s="65"/>
      <c r="K13" s="65"/>
      <c r="L13" s="65"/>
      <c r="M13" s="65"/>
      <c r="N13" s="65"/>
      <c r="O13" s="65"/>
      <c r="P13" s="65"/>
      <c r="Q13" s="65"/>
      <c r="R13" s="65"/>
      <c r="S13" s="65"/>
      <c r="T13" s="65"/>
      <c r="U13" s="65"/>
      <c r="V13" s="65"/>
      <c r="W13" s="65"/>
      <c r="X13" s="65"/>
      <c r="Y13" s="65"/>
      <c r="Z13" s="65"/>
      <c r="AA13" s="65"/>
      <c r="AB13" s="65"/>
      <c r="AC13" s="65"/>
      <c r="AD13" s="65"/>
      <c r="AE13" s="65"/>
      <c r="AF13" s="65"/>
      <c r="AG13" s="65"/>
      <c r="AH13" s="65"/>
      <c r="AI13" s="65"/>
      <c r="AJ13" s="65"/>
      <c r="AK13" s="65"/>
      <c r="AL13" s="65"/>
      <c r="AM13" s="65"/>
      <c r="AN13" s="65"/>
      <c r="AO13" s="65"/>
      <c r="AP13" s="65"/>
      <c r="AQ13" s="65"/>
      <c r="AR13" s="65"/>
      <c r="AS13" s="65"/>
      <c r="AT13" s="65"/>
      <c r="AU13" s="65"/>
      <c r="AV13" s="65"/>
      <c r="AW13" s="65"/>
      <c r="AX13" s="65"/>
      <c r="AY13" s="65"/>
      <c r="AZ13" s="65"/>
      <c r="BA13" s="65"/>
      <c r="BB13" s="65"/>
      <c r="BC13" s="65"/>
      <c r="BD13" s="65"/>
      <c r="BE13" s="65"/>
      <c r="BF13" s="65"/>
      <c r="BG13" s="65"/>
      <c r="BH13" s="65"/>
      <c r="BI13" s="65"/>
      <c r="BJ13" s="65"/>
      <c r="BK13" s="65"/>
      <c r="BL13" s="65"/>
      <c r="BM13" s="65"/>
      <c r="BN13" s="65"/>
      <c r="BO13" s="65"/>
      <c r="BP13" s="65"/>
      <c r="BQ13" s="65"/>
      <c r="BR13" s="65"/>
      <c r="BS13" s="65"/>
      <c r="BT13" s="65"/>
      <c r="BU13" s="65"/>
      <c r="BV13" s="65"/>
      <c r="BW13" s="65"/>
      <c r="BX13" s="65"/>
      <c r="BY13" s="65"/>
      <c r="BZ13" s="65"/>
      <c r="CA13" s="65"/>
      <c r="CB13" s="65"/>
      <c r="CC13" s="65"/>
      <c r="CD13" s="65"/>
      <c r="CE13" s="65"/>
      <c r="CF13" s="65"/>
      <c r="CG13" s="65"/>
      <c r="CH13" s="65"/>
      <c r="CI13" s="65"/>
      <c r="CJ13" s="65"/>
      <c r="CK13" s="65"/>
      <c r="CL13" s="65"/>
      <c r="CM13" s="65"/>
      <c r="CN13" s="65"/>
      <c r="CO13" s="65"/>
      <c r="CP13" s="65"/>
      <c r="CQ13" s="65"/>
      <c r="CR13" s="65"/>
      <c r="CS13" s="65"/>
      <c r="CT13" s="65"/>
      <c r="CU13" s="65"/>
      <c r="CV13" s="65"/>
      <c r="CW13" s="65"/>
      <c r="CX13" s="65"/>
      <c r="CY13" s="65"/>
      <c r="CZ13" s="65"/>
      <c r="DA13" s="65"/>
      <c r="DB13" s="65"/>
      <c r="DC13" s="65"/>
      <c r="DD13" s="65"/>
      <c r="DE13" s="65"/>
      <c r="DF13" s="65"/>
      <c r="DG13" s="65"/>
      <c r="DH13" s="65"/>
      <c r="DI13" s="65"/>
      <c r="DJ13" s="65"/>
      <c r="DK13" s="65"/>
      <c r="DL13" s="65"/>
      <c r="DM13" s="65"/>
      <c r="DN13" s="65"/>
      <c r="DO13" s="65"/>
      <c r="DP13" s="65"/>
      <c r="DQ13" s="65"/>
      <c r="DR13" s="65"/>
      <c r="DS13" s="65"/>
      <c r="DT13" s="65"/>
      <c r="DU13" s="65"/>
      <c r="DV13" s="65"/>
      <c r="DW13" s="65"/>
      <c r="DX13" s="65"/>
      <c r="DY13" s="65"/>
      <c r="DZ13" s="65"/>
      <c r="EA13" s="65"/>
      <c r="EB13" s="65"/>
      <c r="EC13" s="65"/>
      <c r="ED13" s="65"/>
      <c r="EE13" s="65"/>
      <c r="EF13" s="65"/>
      <c r="EG13" s="65"/>
      <c r="EH13" s="65"/>
      <c r="EI13" s="65"/>
      <c r="EJ13" s="65"/>
      <c r="EK13" s="65"/>
      <c r="EL13" s="65"/>
      <c r="EM13" s="65"/>
      <c r="EN13" s="65"/>
      <c r="EO13" s="65"/>
      <c r="EP13" s="65"/>
      <c r="EQ13" s="65"/>
      <c r="ER13" s="65"/>
      <c r="ES13" s="65"/>
      <c r="ET13" s="65"/>
      <c r="EU13" s="65"/>
      <c r="EV13" s="65"/>
      <c r="EW13" s="65"/>
      <c r="EX13" s="65"/>
      <c r="EY13" s="65"/>
      <c r="EZ13" s="65"/>
      <c r="FA13" s="65"/>
      <c r="FB13" s="65"/>
      <c r="FC13" s="65"/>
      <c r="FD13" s="65"/>
      <c r="FE13" s="65"/>
      <c r="FF13" s="65"/>
      <c r="FG13" s="65"/>
      <c r="FH13" s="65"/>
      <c r="FI13" s="65"/>
      <c r="FJ13" s="65"/>
      <c r="FK13" s="65"/>
      <c r="FL13" s="65"/>
      <c r="FM13" s="65"/>
      <c r="FN13" s="65"/>
      <c r="FO13" s="65"/>
      <c r="FP13" s="65"/>
      <c r="FQ13" s="65"/>
      <c r="FR13" s="65"/>
      <c r="FS13" s="65"/>
      <c r="FT13" s="65"/>
      <c r="FU13" s="65"/>
      <c r="FV13" s="65"/>
      <c r="FW13" s="65"/>
      <c r="FX13" s="65"/>
      <c r="FY13" s="65"/>
      <c r="FZ13" s="65"/>
      <c r="GA13" s="65"/>
      <c r="GB13" s="65"/>
      <c r="GC13" s="65"/>
      <c r="GD13" s="65"/>
      <c r="GE13" s="65"/>
      <c r="GF13" s="65"/>
      <c r="GG13" s="163"/>
    </row>
    <row r="14" spans="1:189" s="66" customFormat="1" x14ac:dyDescent="0.2">
      <c r="A14"/>
      <c r="B14" s="56">
        <v>40422</v>
      </c>
      <c r="C14" s="68">
        <v>0</v>
      </c>
      <c r="D14" s="67"/>
      <c r="E14" s="69"/>
      <c r="F14" s="69"/>
      <c r="G14" s="69"/>
      <c r="H14" s="69"/>
      <c r="I14" s="69"/>
      <c r="J14" s="69"/>
      <c r="K14" s="69"/>
      <c r="L14" s="69"/>
      <c r="M14" s="69"/>
      <c r="N14" s="69"/>
      <c r="O14" s="69"/>
      <c r="P14" s="69"/>
      <c r="Q14" s="69"/>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c r="BC14" s="86"/>
      <c r="BD14" s="86"/>
      <c r="BE14" s="86"/>
      <c r="BF14" s="86"/>
      <c r="BG14" s="86"/>
      <c r="BH14" s="86"/>
      <c r="BI14" s="86"/>
      <c r="BJ14" s="86"/>
      <c r="BK14" s="86"/>
      <c r="BL14" s="86"/>
      <c r="BM14" s="86"/>
      <c r="BN14" s="86"/>
      <c r="BO14" s="86"/>
      <c r="BP14" s="86"/>
      <c r="BQ14" s="86"/>
      <c r="BR14" s="86"/>
      <c r="BS14" s="86"/>
      <c r="BT14" s="86"/>
      <c r="BU14" s="86"/>
      <c r="BV14" s="86"/>
      <c r="BW14" s="86"/>
      <c r="BX14" s="86"/>
      <c r="BY14" s="86"/>
      <c r="BZ14" s="86"/>
      <c r="CA14" s="86"/>
      <c r="CB14" s="86"/>
      <c r="CC14" s="86"/>
      <c r="CD14" s="86"/>
      <c r="CE14" s="86"/>
      <c r="CF14" s="86"/>
      <c r="CG14" s="86"/>
      <c r="CH14" s="86"/>
      <c r="CI14" s="86"/>
      <c r="CJ14" s="86"/>
      <c r="CK14" s="86"/>
      <c r="CL14" s="86"/>
      <c r="CM14" s="86"/>
      <c r="CN14" s="86"/>
      <c r="CO14" s="86"/>
      <c r="CP14" s="86"/>
      <c r="CQ14" s="86"/>
      <c r="CR14" s="86"/>
      <c r="CS14" s="86"/>
      <c r="CT14" s="86"/>
      <c r="CU14" s="86"/>
      <c r="CV14" s="86"/>
      <c r="CW14" s="86"/>
      <c r="CX14" s="86"/>
      <c r="CY14" s="86"/>
      <c r="CZ14" s="86"/>
      <c r="DA14" s="86"/>
      <c r="DB14" s="86"/>
      <c r="DC14" s="86"/>
      <c r="DD14" s="86"/>
      <c r="DE14" s="86"/>
      <c r="DF14" s="86"/>
      <c r="DG14" s="86"/>
      <c r="DH14" s="86"/>
      <c r="DI14" s="86"/>
      <c r="DJ14" s="86"/>
      <c r="DK14" s="86"/>
      <c r="DL14" s="86"/>
      <c r="DM14" s="86"/>
      <c r="DN14" s="86"/>
      <c r="DO14" s="86"/>
      <c r="DP14" s="86"/>
      <c r="DQ14" s="86"/>
      <c r="DR14" s="86"/>
      <c r="DS14" s="86"/>
      <c r="DT14" s="86"/>
      <c r="DU14" s="86"/>
      <c r="DV14" s="86"/>
      <c r="DW14" s="86"/>
      <c r="DX14" s="86"/>
      <c r="DY14" s="86"/>
      <c r="DZ14" s="86"/>
      <c r="EA14" s="86"/>
      <c r="EB14" s="86"/>
      <c r="EC14" s="86"/>
      <c r="ED14" s="86"/>
      <c r="EE14" s="86"/>
      <c r="EF14" s="86"/>
      <c r="EG14" s="86"/>
      <c r="EH14" s="86"/>
      <c r="EI14" s="86"/>
      <c r="EJ14" s="86"/>
      <c r="EK14" s="86"/>
      <c r="EL14" s="86"/>
      <c r="EM14" s="86"/>
      <c r="EN14" s="86"/>
      <c r="EO14" s="86"/>
      <c r="EP14" s="86"/>
      <c r="EQ14" s="86"/>
      <c r="ER14" s="86"/>
      <c r="ES14" s="86"/>
      <c r="ET14" s="86"/>
      <c r="EU14" s="86"/>
      <c r="EV14" s="86"/>
      <c r="EW14" s="86"/>
      <c r="EX14" s="86"/>
      <c r="EY14" s="86"/>
      <c r="EZ14" s="86"/>
      <c r="FA14" s="86"/>
      <c r="FB14" s="86"/>
      <c r="FC14" s="86"/>
      <c r="FD14" s="86"/>
      <c r="FE14" s="86"/>
      <c r="FF14" s="86"/>
      <c r="FG14" s="86"/>
      <c r="FH14" s="86"/>
      <c r="FI14" s="86"/>
      <c r="FJ14" s="86"/>
      <c r="FK14" s="86"/>
      <c r="FL14" s="86"/>
      <c r="FM14" s="86"/>
      <c r="FN14" s="86"/>
      <c r="FO14" s="86"/>
      <c r="FP14" s="86"/>
      <c r="FQ14" s="86"/>
      <c r="FR14" s="86"/>
      <c r="FS14" s="86"/>
      <c r="FT14" s="86"/>
      <c r="FU14" s="86"/>
      <c r="FV14" s="86"/>
      <c r="FW14" s="86"/>
      <c r="FX14" s="86"/>
      <c r="FY14" s="86"/>
      <c r="FZ14" s="86"/>
      <c r="GA14" s="86"/>
      <c r="GB14" s="86"/>
      <c r="GC14" s="86"/>
      <c r="GD14" s="86"/>
      <c r="GE14" s="86"/>
      <c r="GF14" s="86"/>
      <c r="GG14" s="164"/>
    </row>
    <row r="15" spans="1:189" s="66" customFormat="1" x14ac:dyDescent="0.2">
      <c r="A15"/>
      <c r="B15" s="82">
        <v>40452</v>
      </c>
      <c r="C15" s="68">
        <v>0</v>
      </c>
      <c r="D15" s="68">
        <v>0</v>
      </c>
      <c r="E15" s="67"/>
      <c r="F15" s="68"/>
      <c r="G15" s="69"/>
      <c r="H15" s="69"/>
      <c r="I15" s="69"/>
      <c r="J15" s="69"/>
      <c r="K15" s="69"/>
      <c r="L15" s="69"/>
      <c r="M15" s="69"/>
      <c r="N15" s="69"/>
      <c r="O15" s="69"/>
      <c r="P15" s="69"/>
      <c r="Q15" s="69"/>
      <c r="R15" s="69"/>
      <c r="S15" s="69"/>
      <c r="T15" s="69"/>
      <c r="U15" s="69"/>
      <c r="V15" s="69"/>
      <c r="W15" s="69"/>
      <c r="X15" s="69"/>
      <c r="Y15" s="69"/>
      <c r="Z15" s="69"/>
      <c r="AA15" s="69"/>
      <c r="AB15" s="69"/>
      <c r="AC15" s="69"/>
      <c r="AD15" s="69"/>
      <c r="AE15" s="69"/>
      <c r="AF15" s="69"/>
      <c r="AG15" s="69"/>
      <c r="AH15" s="69"/>
      <c r="AI15" s="69"/>
      <c r="AJ15" s="69"/>
      <c r="AK15" s="69"/>
      <c r="AL15" s="69"/>
      <c r="AM15" s="69"/>
      <c r="AN15" s="69"/>
      <c r="AO15" s="69"/>
      <c r="AP15" s="69"/>
      <c r="AQ15" s="69"/>
      <c r="AR15" s="69"/>
      <c r="AS15" s="69"/>
      <c r="AT15" s="69"/>
      <c r="AU15" s="69"/>
      <c r="AV15" s="69"/>
      <c r="AW15" s="69"/>
      <c r="AX15" s="69"/>
      <c r="AY15" s="69"/>
      <c r="AZ15" s="69"/>
      <c r="BA15" s="69"/>
      <c r="BB15" s="69"/>
      <c r="BC15" s="69"/>
      <c r="BD15" s="69"/>
      <c r="BE15" s="69"/>
      <c r="BF15" s="69"/>
      <c r="BG15" s="69"/>
      <c r="BH15" s="69"/>
      <c r="BI15" s="69"/>
      <c r="BJ15" s="69"/>
      <c r="BK15" s="69"/>
      <c r="BL15" s="69"/>
      <c r="BM15" s="69"/>
      <c r="BN15" s="69"/>
      <c r="BO15" s="69"/>
      <c r="BP15" s="69"/>
      <c r="BQ15" s="69"/>
      <c r="BR15" s="69"/>
      <c r="BS15" s="69"/>
      <c r="BT15" s="69"/>
      <c r="BU15" s="69"/>
      <c r="BV15" s="69"/>
      <c r="BW15" s="69"/>
      <c r="BX15" s="69"/>
      <c r="BY15" s="69"/>
      <c r="BZ15" s="69"/>
      <c r="CA15" s="69"/>
      <c r="CB15" s="69"/>
      <c r="CC15" s="69"/>
      <c r="CD15" s="69"/>
      <c r="CE15" s="69"/>
      <c r="CF15" s="69"/>
      <c r="CG15" s="69"/>
      <c r="CH15" s="69"/>
      <c r="CI15" s="69"/>
      <c r="CJ15" s="69"/>
      <c r="CK15" s="69"/>
      <c r="CL15" s="69"/>
      <c r="CM15" s="69"/>
      <c r="CN15" s="69"/>
      <c r="CO15" s="69"/>
      <c r="CP15" s="69"/>
      <c r="CQ15" s="69"/>
      <c r="CR15" s="69"/>
      <c r="CS15" s="69"/>
      <c r="CT15" s="69"/>
      <c r="CU15" s="69"/>
      <c r="CV15" s="69"/>
      <c r="CW15" s="69"/>
      <c r="CX15" s="69"/>
      <c r="CY15" s="69"/>
      <c r="CZ15" s="69"/>
      <c r="DA15" s="69"/>
      <c r="DB15" s="69"/>
      <c r="DC15" s="69"/>
      <c r="DD15" s="69"/>
      <c r="DE15" s="69"/>
      <c r="DF15" s="69"/>
      <c r="DG15" s="69"/>
      <c r="DH15" s="69"/>
      <c r="DI15" s="69"/>
      <c r="DJ15" s="69"/>
      <c r="DK15" s="69"/>
      <c r="DL15" s="69"/>
      <c r="DM15" s="69"/>
      <c r="DN15" s="69"/>
      <c r="DO15" s="69"/>
      <c r="DP15" s="69"/>
      <c r="DQ15" s="69"/>
      <c r="DR15" s="69"/>
      <c r="DS15" s="69"/>
      <c r="DT15" s="69"/>
      <c r="DU15" s="69"/>
      <c r="DV15" s="69"/>
      <c r="DW15" s="69"/>
      <c r="DX15" s="69"/>
      <c r="DY15" s="69"/>
      <c r="DZ15" s="69"/>
      <c r="EA15" s="69"/>
      <c r="EB15" s="69"/>
      <c r="EC15" s="69"/>
      <c r="ED15" s="69"/>
      <c r="EE15" s="69"/>
      <c r="EF15" s="69"/>
      <c r="EG15" s="69"/>
      <c r="EH15" s="69"/>
      <c r="EI15" s="69"/>
      <c r="EJ15" s="69"/>
      <c r="EK15" s="69"/>
      <c r="EL15" s="69"/>
      <c r="EM15" s="69"/>
      <c r="EN15" s="69"/>
      <c r="EO15" s="69"/>
      <c r="EP15" s="69"/>
      <c r="EQ15" s="69"/>
      <c r="ER15" s="69"/>
      <c r="ES15" s="69"/>
      <c r="ET15" s="69"/>
      <c r="EU15" s="69"/>
      <c r="EV15" s="69"/>
      <c r="EW15" s="69"/>
      <c r="EX15" s="69"/>
      <c r="EY15" s="69"/>
      <c r="EZ15" s="69"/>
      <c r="FA15" s="69"/>
      <c r="FB15" s="69"/>
      <c r="FC15" s="69"/>
      <c r="FD15" s="69"/>
      <c r="FE15" s="69"/>
      <c r="FF15" s="69"/>
      <c r="FG15" s="69"/>
      <c r="FH15" s="69"/>
      <c r="FI15" s="69"/>
      <c r="FJ15" s="69"/>
      <c r="FK15" s="69"/>
      <c r="FL15" s="69"/>
      <c r="FM15" s="69"/>
      <c r="FN15" s="69"/>
      <c r="FO15" s="69"/>
      <c r="FP15" s="69"/>
      <c r="FQ15" s="69"/>
      <c r="FR15" s="69"/>
      <c r="FS15" s="69"/>
      <c r="FT15" s="69"/>
      <c r="FU15" s="69"/>
      <c r="FV15" s="69"/>
      <c r="FW15" s="69"/>
      <c r="FX15" s="69"/>
      <c r="FY15" s="69"/>
      <c r="FZ15" s="69"/>
      <c r="GA15" s="69"/>
      <c r="GB15" s="69"/>
      <c r="GC15" s="69"/>
      <c r="GD15" s="69"/>
      <c r="GE15" s="69"/>
      <c r="GF15" s="69"/>
      <c r="GG15" s="165"/>
    </row>
    <row r="16" spans="1:189" s="66" customFormat="1" x14ac:dyDescent="0.2">
      <c r="A16"/>
      <c r="B16" s="82">
        <v>40483</v>
      </c>
      <c r="C16" s="68">
        <v>0</v>
      </c>
      <c r="D16" s="68">
        <v>0</v>
      </c>
      <c r="E16" s="68">
        <v>0</v>
      </c>
      <c r="F16" s="67"/>
      <c r="G16" s="68"/>
      <c r="H16" s="69"/>
      <c r="I16" s="69"/>
      <c r="J16" s="69"/>
      <c r="K16" s="69"/>
      <c r="L16" s="69"/>
      <c r="M16" s="69"/>
      <c r="N16" s="69"/>
      <c r="O16" s="69"/>
      <c r="P16" s="69"/>
      <c r="Q16" s="69"/>
      <c r="R16" s="69"/>
      <c r="S16" s="69"/>
      <c r="T16" s="69"/>
      <c r="U16" s="69"/>
      <c r="V16" s="69"/>
      <c r="W16" s="69"/>
      <c r="X16" s="69"/>
      <c r="Y16" s="69"/>
      <c r="Z16" s="69"/>
      <c r="AA16" s="69"/>
      <c r="AB16" s="69"/>
      <c r="AC16" s="69"/>
      <c r="AD16" s="69"/>
      <c r="AE16" s="69"/>
      <c r="AF16" s="69"/>
      <c r="AG16" s="69"/>
      <c r="AH16" s="69"/>
      <c r="AI16" s="69"/>
      <c r="AJ16" s="69"/>
      <c r="AK16" s="69"/>
      <c r="AL16" s="69"/>
      <c r="AM16" s="69"/>
      <c r="AN16" s="69"/>
      <c r="AO16" s="69"/>
      <c r="AP16" s="69"/>
      <c r="AQ16" s="69"/>
      <c r="AR16" s="69"/>
      <c r="AS16" s="69"/>
      <c r="AT16" s="69"/>
      <c r="AU16" s="69"/>
      <c r="AV16" s="69"/>
      <c r="AW16" s="69"/>
      <c r="AX16" s="69"/>
      <c r="AY16" s="69"/>
      <c r="AZ16" s="69"/>
      <c r="BA16" s="69"/>
      <c r="BB16" s="69"/>
      <c r="BC16" s="69"/>
      <c r="BD16" s="69"/>
      <c r="BE16" s="69"/>
      <c r="BF16" s="69"/>
      <c r="BG16" s="69"/>
      <c r="BH16" s="69"/>
      <c r="BI16" s="69"/>
      <c r="BJ16" s="69"/>
      <c r="BK16" s="69"/>
      <c r="BL16" s="69"/>
      <c r="BM16" s="69"/>
      <c r="BN16" s="69"/>
      <c r="BO16" s="69"/>
      <c r="BP16" s="69"/>
      <c r="BQ16" s="69"/>
      <c r="BR16" s="69"/>
      <c r="BS16" s="69"/>
      <c r="BT16" s="69"/>
      <c r="BU16" s="69"/>
      <c r="BV16" s="69"/>
      <c r="BW16" s="69"/>
      <c r="BX16" s="69"/>
      <c r="BY16" s="69"/>
      <c r="BZ16" s="69"/>
      <c r="CA16" s="69"/>
      <c r="CB16" s="69"/>
      <c r="CC16" s="69"/>
      <c r="CD16" s="69"/>
      <c r="CE16" s="69"/>
      <c r="CF16" s="69"/>
      <c r="CG16" s="69"/>
      <c r="CH16" s="69"/>
      <c r="CI16" s="69"/>
      <c r="CJ16" s="69"/>
      <c r="CK16" s="69"/>
      <c r="CL16" s="69"/>
      <c r="CM16" s="69"/>
      <c r="CN16" s="69"/>
      <c r="CO16" s="69"/>
      <c r="CP16" s="69"/>
      <c r="CQ16" s="69"/>
      <c r="CR16" s="69"/>
      <c r="CS16" s="69"/>
      <c r="CT16" s="69"/>
      <c r="CU16" s="69"/>
      <c r="CV16" s="69"/>
      <c r="CW16" s="69"/>
      <c r="CX16" s="69"/>
      <c r="CY16" s="69"/>
      <c r="CZ16" s="69"/>
      <c r="DA16" s="69"/>
      <c r="DB16" s="69"/>
      <c r="DC16" s="69"/>
      <c r="DD16" s="69"/>
      <c r="DE16" s="69"/>
      <c r="DF16" s="69"/>
      <c r="DG16" s="69"/>
      <c r="DH16" s="69"/>
      <c r="DI16" s="69"/>
      <c r="DJ16" s="69"/>
      <c r="DK16" s="69"/>
      <c r="DL16" s="69"/>
      <c r="DM16" s="69"/>
      <c r="DN16" s="69"/>
      <c r="DO16" s="69"/>
      <c r="DP16" s="69"/>
      <c r="DQ16" s="69"/>
      <c r="DR16" s="69"/>
      <c r="DS16" s="69"/>
      <c r="DT16" s="69"/>
      <c r="DU16" s="69"/>
      <c r="DV16" s="69"/>
      <c r="DW16" s="69"/>
      <c r="DX16" s="69"/>
      <c r="DY16" s="69"/>
      <c r="DZ16" s="69"/>
      <c r="EA16" s="69"/>
      <c r="EB16" s="69"/>
      <c r="EC16" s="69"/>
      <c r="ED16" s="69"/>
      <c r="EE16" s="69"/>
      <c r="EF16" s="69"/>
      <c r="EG16" s="69"/>
      <c r="EH16" s="69"/>
      <c r="EI16" s="69"/>
      <c r="EJ16" s="69"/>
      <c r="EK16" s="69"/>
      <c r="EL16" s="69"/>
      <c r="EM16" s="69"/>
      <c r="EN16" s="69"/>
      <c r="EO16" s="69"/>
      <c r="EP16" s="69"/>
      <c r="EQ16" s="69"/>
      <c r="ER16" s="69"/>
      <c r="ES16" s="69"/>
      <c r="ET16" s="69"/>
      <c r="EU16" s="69"/>
      <c r="EV16" s="69"/>
      <c r="EW16" s="69"/>
      <c r="EX16" s="69"/>
      <c r="EY16" s="69"/>
      <c r="EZ16" s="69"/>
      <c r="FA16" s="69"/>
      <c r="FB16" s="69"/>
      <c r="FC16" s="69"/>
      <c r="FD16" s="69"/>
      <c r="FE16" s="69"/>
      <c r="FF16" s="69"/>
      <c r="FG16" s="69"/>
      <c r="FH16" s="69"/>
      <c r="FI16" s="69"/>
      <c r="FJ16" s="69"/>
      <c r="FK16" s="69"/>
      <c r="FL16" s="69"/>
      <c r="FM16" s="69"/>
      <c r="FN16" s="69"/>
      <c r="FO16" s="69"/>
      <c r="FP16" s="69"/>
      <c r="FQ16" s="69"/>
      <c r="FR16" s="69"/>
      <c r="FS16" s="69"/>
      <c r="FT16" s="69"/>
      <c r="FU16" s="69"/>
      <c r="FV16" s="69"/>
      <c r="FW16" s="69"/>
      <c r="FX16" s="69"/>
      <c r="FY16" s="69"/>
      <c r="FZ16" s="69"/>
      <c r="GA16" s="69"/>
      <c r="GB16" s="69"/>
      <c r="GC16" s="69"/>
      <c r="GD16" s="69"/>
      <c r="GE16" s="69"/>
      <c r="GF16" s="69"/>
      <c r="GG16" s="165"/>
    </row>
    <row r="17" spans="1:189" s="66" customFormat="1" x14ac:dyDescent="0.2">
      <c r="A17"/>
      <c r="B17" s="82">
        <v>40513</v>
      </c>
      <c r="C17" s="68">
        <v>0</v>
      </c>
      <c r="D17" s="68">
        <v>0</v>
      </c>
      <c r="E17" s="68">
        <v>0</v>
      </c>
      <c r="F17" s="68">
        <v>0</v>
      </c>
      <c r="G17" s="67"/>
      <c r="H17" s="68"/>
      <c r="I17" s="69"/>
      <c r="J17" s="69"/>
      <c r="K17" s="69"/>
      <c r="L17" s="69"/>
      <c r="M17" s="69"/>
      <c r="N17" s="69"/>
      <c r="O17" s="69"/>
      <c r="P17" s="69"/>
      <c r="Q17" s="69"/>
      <c r="R17" s="69"/>
      <c r="S17" s="69"/>
      <c r="T17" s="69"/>
      <c r="U17" s="69"/>
      <c r="V17" s="69"/>
      <c r="W17" s="69"/>
      <c r="X17" s="69"/>
      <c r="Y17" s="69"/>
      <c r="Z17" s="69"/>
      <c r="AA17" s="69"/>
      <c r="AB17" s="69"/>
      <c r="AC17" s="69"/>
      <c r="AD17" s="69"/>
      <c r="AE17" s="69"/>
      <c r="AF17" s="69"/>
      <c r="AG17" s="69"/>
      <c r="AH17" s="69"/>
      <c r="AI17" s="69"/>
      <c r="AJ17" s="69"/>
      <c r="AK17" s="69"/>
      <c r="AL17" s="69"/>
      <c r="AM17" s="69"/>
      <c r="AN17" s="69"/>
      <c r="AO17" s="69"/>
      <c r="AP17" s="69"/>
      <c r="AQ17" s="69"/>
      <c r="AR17" s="69"/>
      <c r="AS17" s="69"/>
      <c r="AT17" s="69"/>
      <c r="AU17" s="69"/>
      <c r="AV17" s="69"/>
      <c r="AW17" s="69"/>
      <c r="AX17" s="69"/>
      <c r="AY17" s="69"/>
      <c r="AZ17" s="69"/>
      <c r="BA17" s="69"/>
      <c r="BB17" s="69"/>
      <c r="BC17" s="69"/>
      <c r="BD17" s="69"/>
      <c r="BE17" s="69"/>
      <c r="BF17" s="69"/>
      <c r="BG17" s="69"/>
      <c r="BH17" s="69"/>
      <c r="BI17" s="69"/>
      <c r="BJ17" s="69"/>
      <c r="BK17" s="69"/>
      <c r="BL17" s="69"/>
      <c r="BM17" s="69"/>
      <c r="BN17" s="69"/>
      <c r="BO17" s="69"/>
      <c r="BP17" s="69"/>
      <c r="BQ17" s="69"/>
      <c r="BR17" s="69"/>
      <c r="BS17" s="69"/>
      <c r="BT17" s="69"/>
      <c r="BU17" s="69"/>
      <c r="BV17" s="69"/>
      <c r="BW17" s="69"/>
      <c r="BX17" s="69"/>
      <c r="BY17" s="69"/>
      <c r="BZ17" s="69"/>
      <c r="CA17" s="69"/>
      <c r="CB17" s="69"/>
      <c r="CC17" s="69"/>
      <c r="CD17" s="69"/>
      <c r="CE17" s="69"/>
      <c r="CF17" s="69"/>
      <c r="CG17" s="69"/>
      <c r="CH17" s="69"/>
      <c r="CI17" s="69"/>
      <c r="CJ17" s="69"/>
      <c r="CK17" s="69"/>
      <c r="CL17" s="69"/>
      <c r="CM17" s="69"/>
      <c r="CN17" s="69"/>
      <c r="CO17" s="69"/>
      <c r="CP17" s="69"/>
      <c r="CQ17" s="69"/>
      <c r="CR17" s="69"/>
      <c r="CS17" s="69"/>
      <c r="CT17" s="69"/>
      <c r="CU17" s="69"/>
      <c r="CV17" s="69"/>
      <c r="CW17" s="69"/>
      <c r="CX17" s="69"/>
      <c r="CY17" s="69"/>
      <c r="CZ17" s="69"/>
      <c r="DA17" s="69"/>
      <c r="DB17" s="69"/>
      <c r="DC17" s="69"/>
      <c r="DD17" s="69"/>
      <c r="DE17" s="69"/>
      <c r="DF17" s="69"/>
      <c r="DG17" s="69"/>
      <c r="DH17" s="69"/>
      <c r="DI17" s="69"/>
      <c r="DJ17" s="69"/>
      <c r="DK17" s="69"/>
      <c r="DL17" s="69"/>
      <c r="DM17" s="69"/>
      <c r="DN17" s="69"/>
      <c r="DO17" s="69"/>
      <c r="DP17" s="69"/>
      <c r="DQ17" s="69"/>
      <c r="DR17" s="69"/>
      <c r="DS17" s="69"/>
      <c r="DT17" s="69"/>
      <c r="DU17" s="69"/>
      <c r="DV17" s="69"/>
      <c r="DW17" s="69"/>
      <c r="DX17" s="69"/>
      <c r="DY17" s="69"/>
      <c r="DZ17" s="69"/>
      <c r="EA17" s="69"/>
      <c r="EB17" s="69"/>
      <c r="EC17" s="69"/>
      <c r="ED17" s="69"/>
      <c r="EE17" s="69"/>
      <c r="EF17" s="69"/>
      <c r="EG17" s="69"/>
      <c r="EH17" s="69"/>
      <c r="EI17" s="69"/>
      <c r="EJ17" s="69"/>
      <c r="EK17" s="69"/>
      <c r="EL17" s="69"/>
      <c r="EM17" s="69"/>
      <c r="EN17" s="69"/>
      <c r="EO17" s="69"/>
      <c r="EP17" s="69"/>
      <c r="EQ17" s="69"/>
      <c r="ER17" s="69"/>
      <c r="ES17" s="69"/>
      <c r="ET17" s="69"/>
      <c r="EU17" s="69"/>
      <c r="EV17" s="69"/>
      <c r="EW17" s="69"/>
      <c r="EX17" s="69"/>
      <c r="EY17" s="69"/>
      <c r="EZ17" s="69"/>
      <c r="FA17" s="69"/>
      <c r="FB17" s="69"/>
      <c r="FC17" s="69"/>
      <c r="FD17" s="69"/>
      <c r="FE17" s="69"/>
      <c r="FF17" s="69"/>
      <c r="FG17" s="69"/>
      <c r="FH17" s="69"/>
      <c r="FI17" s="69"/>
      <c r="FJ17" s="69"/>
      <c r="FK17" s="69"/>
      <c r="FL17" s="69"/>
      <c r="FM17" s="69"/>
      <c r="FN17" s="69"/>
      <c r="FO17" s="69"/>
      <c r="FP17" s="69"/>
      <c r="FQ17" s="69"/>
      <c r="FR17" s="69"/>
      <c r="FS17" s="69"/>
      <c r="FT17" s="69"/>
      <c r="FU17" s="69"/>
      <c r="FV17" s="69"/>
      <c r="FW17" s="69"/>
      <c r="FX17" s="69"/>
      <c r="FY17" s="69"/>
      <c r="FZ17" s="69"/>
      <c r="GA17" s="69"/>
      <c r="GB17" s="69"/>
      <c r="GC17" s="69"/>
      <c r="GD17" s="69"/>
      <c r="GE17" s="69"/>
      <c r="GF17" s="69"/>
      <c r="GG17" s="165"/>
    </row>
    <row r="18" spans="1:189" s="66" customFormat="1" x14ac:dyDescent="0.2">
      <c r="A18"/>
      <c r="B18" s="82">
        <v>40544</v>
      </c>
      <c r="C18" s="68">
        <v>0</v>
      </c>
      <c r="D18" s="68">
        <v>0</v>
      </c>
      <c r="E18" s="68">
        <v>0</v>
      </c>
      <c r="F18" s="68">
        <v>0</v>
      </c>
      <c r="G18" s="68">
        <v>0</v>
      </c>
      <c r="H18" s="67"/>
      <c r="I18" s="68"/>
      <c r="J18" s="69"/>
      <c r="K18" s="69"/>
      <c r="L18" s="69"/>
      <c r="M18" s="69"/>
      <c r="N18" s="69"/>
      <c r="O18" s="69"/>
      <c r="P18" s="69"/>
      <c r="Q18" s="69"/>
      <c r="R18" s="69"/>
      <c r="S18" s="69"/>
      <c r="T18" s="69"/>
      <c r="U18" s="69"/>
      <c r="V18" s="69"/>
      <c r="W18" s="69"/>
      <c r="X18" s="69"/>
      <c r="Y18" s="69"/>
      <c r="Z18" s="69"/>
      <c r="AA18" s="69"/>
      <c r="AB18" s="69"/>
      <c r="AC18" s="69"/>
      <c r="AD18" s="69"/>
      <c r="AE18" s="69"/>
      <c r="AF18" s="69"/>
      <c r="AG18" s="69"/>
      <c r="AH18" s="69"/>
      <c r="AI18" s="69"/>
      <c r="AJ18" s="69"/>
      <c r="AK18" s="69"/>
      <c r="AL18" s="69"/>
      <c r="AM18" s="69"/>
      <c r="AN18" s="69"/>
      <c r="AO18" s="69"/>
      <c r="AP18" s="69"/>
      <c r="AQ18" s="69"/>
      <c r="AR18" s="69"/>
      <c r="AS18" s="69"/>
      <c r="AT18" s="69"/>
      <c r="AU18" s="69"/>
      <c r="AV18" s="69"/>
      <c r="AW18" s="69"/>
      <c r="AX18" s="69"/>
      <c r="AY18" s="69"/>
      <c r="AZ18" s="69"/>
      <c r="BA18" s="69"/>
      <c r="BB18" s="69"/>
      <c r="BC18" s="69"/>
      <c r="BD18" s="69"/>
      <c r="BE18" s="69"/>
      <c r="BF18" s="69"/>
      <c r="BG18" s="69"/>
      <c r="BH18" s="69"/>
      <c r="BI18" s="69"/>
      <c r="BJ18" s="69"/>
      <c r="BK18" s="69"/>
      <c r="BL18" s="69"/>
      <c r="BM18" s="69"/>
      <c r="BN18" s="69"/>
      <c r="BO18" s="69"/>
      <c r="BP18" s="69"/>
      <c r="BQ18" s="69"/>
      <c r="BR18" s="69"/>
      <c r="BS18" s="69"/>
      <c r="BT18" s="69"/>
      <c r="BU18" s="69"/>
      <c r="BV18" s="69"/>
      <c r="BW18" s="69"/>
      <c r="BX18" s="69"/>
      <c r="BY18" s="69"/>
      <c r="BZ18" s="69"/>
      <c r="CA18" s="69"/>
      <c r="CB18" s="69"/>
      <c r="CC18" s="69"/>
      <c r="CD18" s="69"/>
      <c r="CE18" s="69"/>
      <c r="CF18" s="69"/>
      <c r="CG18" s="69"/>
      <c r="CH18" s="69"/>
      <c r="CI18" s="69"/>
      <c r="CJ18" s="69"/>
      <c r="CK18" s="69"/>
      <c r="CL18" s="69"/>
      <c r="CM18" s="69"/>
      <c r="CN18" s="69"/>
      <c r="CO18" s="69"/>
      <c r="CP18" s="69"/>
      <c r="CQ18" s="69"/>
      <c r="CR18" s="69"/>
      <c r="CS18" s="69"/>
      <c r="CT18" s="69"/>
      <c r="CU18" s="69"/>
      <c r="CV18" s="69"/>
      <c r="CW18" s="69"/>
      <c r="CX18" s="69"/>
      <c r="CY18" s="69"/>
      <c r="CZ18" s="69"/>
      <c r="DA18" s="69"/>
      <c r="DB18" s="69"/>
      <c r="DC18" s="69"/>
      <c r="DD18" s="69"/>
      <c r="DE18" s="69"/>
      <c r="DF18" s="69"/>
      <c r="DG18" s="69"/>
      <c r="DH18" s="69"/>
      <c r="DI18" s="69"/>
      <c r="DJ18" s="69"/>
      <c r="DK18" s="69"/>
      <c r="DL18" s="69"/>
      <c r="DM18" s="69"/>
      <c r="DN18" s="69"/>
      <c r="DO18" s="69"/>
      <c r="DP18" s="69"/>
      <c r="DQ18" s="69"/>
      <c r="DR18" s="69"/>
      <c r="DS18" s="69"/>
      <c r="DT18" s="69"/>
      <c r="DU18" s="69"/>
      <c r="DV18" s="69"/>
      <c r="DW18" s="69"/>
      <c r="DX18" s="69"/>
      <c r="DY18" s="69"/>
      <c r="DZ18" s="69"/>
      <c r="EA18" s="69"/>
      <c r="EB18" s="69"/>
      <c r="EC18" s="69"/>
      <c r="ED18" s="69"/>
      <c r="EE18" s="69"/>
      <c r="EF18" s="69"/>
      <c r="EG18" s="69"/>
      <c r="EH18" s="69"/>
      <c r="EI18" s="69"/>
      <c r="EJ18" s="69"/>
      <c r="EK18" s="69"/>
      <c r="EL18" s="69"/>
      <c r="EM18" s="69"/>
      <c r="EN18" s="69"/>
      <c r="EO18" s="69"/>
      <c r="EP18" s="69"/>
      <c r="EQ18" s="69"/>
      <c r="ER18" s="69"/>
      <c r="ES18" s="69"/>
      <c r="ET18" s="69"/>
      <c r="EU18" s="69"/>
      <c r="EV18" s="69"/>
      <c r="EW18" s="69"/>
      <c r="EX18" s="69"/>
      <c r="EY18" s="69"/>
      <c r="EZ18" s="69"/>
      <c r="FA18" s="69"/>
      <c r="FB18" s="69"/>
      <c r="FC18" s="69"/>
      <c r="FD18" s="69"/>
      <c r="FE18" s="69"/>
      <c r="FF18" s="69"/>
      <c r="FG18" s="69"/>
      <c r="FH18" s="69"/>
      <c r="FI18" s="69"/>
      <c r="FJ18" s="69"/>
      <c r="FK18" s="69"/>
      <c r="FL18" s="69"/>
      <c r="FM18" s="69"/>
      <c r="FN18" s="69"/>
      <c r="FO18" s="69"/>
      <c r="FP18" s="69"/>
      <c r="FQ18" s="69"/>
      <c r="FR18" s="69"/>
      <c r="FS18" s="69"/>
      <c r="FT18" s="69"/>
      <c r="FU18" s="69"/>
      <c r="FV18" s="69"/>
      <c r="FW18" s="69"/>
      <c r="FX18" s="69"/>
      <c r="FY18" s="69"/>
      <c r="FZ18" s="69"/>
      <c r="GA18" s="69"/>
      <c r="GB18" s="69"/>
      <c r="GC18" s="69"/>
      <c r="GD18" s="69"/>
      <c r="GE18" s="69"/>
      <c r="GF18" s="69"/>
      <c r="GG18" s="165"/>
    </row>
    <row r="19" spans="1:189" s="66" customFormat="1" x14ac:dyDescent="0.2">
      <c r="A19"/>
      <c r="B19" s="82">
        <v>40575</v>
      </c>
      <c r="C19" s="68">
        <v>0</v>
      </c>
      <c r="D19" s="68">
        <v>0</v>
      </c>
      <c r="E19" s="68">
        <v>0</v>
      </c>
      <c r="F19" s="68">
        <v>0</v>
      </c>
      <c r="G19" s="68">
        <v>0</v>
      </c>
      <c r="H19" s="68">
        <v>0</v>
      </c>
      <c r="I19" s="67"/>
      <c r="J19" s="68"/>
      <c r="K19" s="69"/>
      <c r="L19" s="69"/>
      <c r="M19" s="69"/>
      <c r="N19" s="69"/>
      <c r="O19" s="69"/>
      <c r="P19" s="69"/>
      <c r="Q19" s="69"/>
      <c r="R19" s="69"/>
      <c r="S19" s="69"/>
      <c r="T19" s="69"/>
      <c r="U19" s="69"/>
      <c r="V19" s="69"/>
      <c r="W19" s="69"/>
      <c r="X19" s="69"/>
      <c r="Y19" s="69"/>
      <c r="Z19" s="69"/>
      <c r="AA19" s="69"/>
      <c r="AB19" s="69"/>
      <c r="AC19" s="69"/>
      <c r="AD19" s="69"/>
      <c r="AE19" s="69"/>
      <c r="AF19" s="69"/>
      <c r="AG19" s="69"/>
      <c r="AH19" s="69"/>
      <c r="AI19" s="69"/>
      <c r="AJ19" s="69"/>
      <c r="AK19" s="69"/>
      <c r="AL19" s="69"/>
      <c r="AM19" s="69"/>
      <c r="AN19" s="69"/>
      <c r="AO19" s="69"/>
      <c r="AP19" s="69"/>
      <c r="AQ19" s="69"/>
      <c r="AR19" s="69"/>
      <c r="AS19" s="69"/>
      <c r="AT19" s="69"/>
      <c r="AU19" s="69"/>
      <c r="AV19" s="69"/>
      <c r="AW19" s="69"/>
      <c r="AX19" s="69"/>
      <c r="AY19" s="69"/>
      <c r="AZ19" s="69"/>
      <c r="BA19" s="69"/>
      <c r="BB19" s="69"/>
      <c r="BC19" s="69"/>
      <c r="BD19" s="69"/>
      <c r="BE19" s="69"/>
      <c r="BF19" s="69"/>
      <c r="BG19" s="69"/>
      <c r="BH19" s="69"/>
      <c r="BI19" s="69"/>
      <c r="BJ19" s="69"/>
      <c r="BK19" s="69"/>
      <c r="BL19" s="69"/>
      <c r="BM19" s="69"/>
      <c r="BN19" s="69"/>
      <c r="BO19" s="69"/>
      <c r="BP19" s="69"/>
      <c r="BQ19" s="69"/>
      <c r="BR19" s="69"/>
      <c r="BS19" s="69"/>
      <c r="BT19" s="69"/>
      <c r="BU19" s="69"/>
      <c r="BV19" s="69"/>
      <c r="BW19" s="69"/>
      <c r="BX19" s="69"/>
      <c r="BY19" s="69"/>
      <c r="BZ19" s="69"/>
      <c r="CA19" s="69"/>
      <c r="CB19" s="69"/>
      <c r="CC19" s="69"/>
      <c r="CD19" s="69"/>
      <c r="CE19" s="69"/>
      <c r="CF19" s="69"/>
      <c r="CG19" s="69"/>
      <c r="CH19" s="69"/>
      <c r="CI19" s="69"/>
      <c r="CJ19" s="69"/>
      <c r="CK19" s="69"/>
      <c r="CL19" s="69"/>
      <c r="CM19" s="69"/>
      <c r="CN19" s="69"/>
      <c r="CO19" s="69"/>
      <c r="CP19" s="69"/>
      <c r="CQ19" s="69"/>
      <c r="CR19" s="69"/>
      <c r="CS19" s="69"/>
      <c r="CT19" s="69"/>
      <c r="CU19" s="69"/>
      <c r="CV19" s="69"/>
      <c r="CW19" s="69"/>
      <c r="CX19" s="69"/>
      <c r="CY19" s="69"/>
      <c r="CZ19" s="69"/>
      <c r="DA19" s="69"/>
      <c r="DB19" s="69"/>
      <c r="DC19" s="69"/>
      <c r="DD19" s="69"/>
      <c r="DE19" s="69"/>
      <c r="DF19" s="69"/>
      <c r="DG19" s="69"/>
      <c r="DH19" s="69"/>
      <c r="DI19" s="69"/>
      <c r="DJ19" s="69"/>
      <c r="DK19" s="69"/>
      <c r="DL19" s="69"/>
      <c r="DM19" s="69"/>
      <c r="DN19" s="69"/>
      <c r="DO19" s="69"/>
      <c r="DP19" s="69"/>
      <c r="DQ19" s="69"/>
      <c r="DR19" s="69"/>
      <c r="DS19" s="69"/>
      <c r="DT19" s="69"/>
      <c r="DU19" s="69"/>
      <c r="DV19" s="69"/>
      <c r="DW19" s="69"/>
      <c r="DX19" s="69"/>
      <c r="DY19" s="69"/>
      <c r="DZ19" s="69"/>
      <c r="EA19" s="69"/>
      <c r="EB19" s="69"/>
      <c r="EC19" s="69"/>
      <c r="ED19" s="69"/>
      <c r="EE19" s="69"/>
      <c r="EF19" s="69"/>
      <c r="EG19" s="69"/>
      <c r="EH19" s="69"/>
      <c r="EI19" s="69"/>
      <c r="EJ19" s="69"/>
      <c r="EK19" s="69"/>
      <c r="EL19" s="69"/>
      <c r="EM19" s="69"/>
      <c r="EN19" s="69"/>
      <c r="EO19" s="69"/>
      <c r="EP19" s="69"/>
      <c r="EQ19" s="69"/>
      <c r="ER19" s="69"/>
      <c r="ES19" s="69"/>
      <c r="ET19" s="69"/>
      <c r="EU19" s="69"/>
      <c r="EV19" s="69"/>
      <c r="EW19" s="69"/>
      <c r="EX19" s="69"/>
      <c r="EY19" s="69"/>
      <c r="EZ19" s="69"/>
      <c r="FA19" s="69"/>
      <c r="FB19" s="69"/>
      <c r="FC19" s="69"/>
      <c r="FD19" s="69"/>
      <c r="FE19" s="69"/>
      <c r="FF19" s="69"/>
      <c r="FG19" s="69"/>
      <c r="FH19" s="69"/>
      <c r="FI19" s="69"/>
      <c r="FJ19" s="69"/>
      <c r="FK19" s="69"/>
      <c r="FL19" s="69"/>
      <c r="FM19" s="69"/>
      <c r="FN19" s="69"/>
      <c r="FO19" s="69"/>
      <c r="FP19" s="69"/>
      <c r="FQ19" s="69"/>
      <c r="FR19" s="69"/>
      <c r="FS19" s="69"/>
      <c r="FT19" s="69"/>
      <c r="FU19" s="69"/>
      <c r="FV19" s="69"/>
      <c r="FW19" s="69"/>
      <c r="FX19" s="69"/>
      <c r="FY19" s="69"/>
      <c r="FZ19" s="69"/>
      <c r="GA19" s="69"/>
      <c r="GB19" s="69"/>
      <c r="GC19" s="69"/>
      <c r="GD19" s="69"/>
      <c r="GE19" s="69"/>
      <c r="GF19" s="69"/>
      <c r="GG19" s="165"/>
    </row>
    <row r="20" spans="1:189" s="66" customFormat="1" x14ac:dyDescent="0.2">
      <c r="A20"/>
      <c r="B20" s="82">
        <v>40603</v>
      </c>
      <c r="C20" s="68">
        <v>0</v>
      </c>
      <c r="D20" s="68">
        <v>0</v>
      </c>
      <c r="E20" s="68">
        <v>0</v>
      </c>
      <c r="F20" s="68">
        <v>0</v>
      </c>
      <c r="G20" s="68">
        <v>0</v>
      </c>
      <c r="H20" s="68">
        <v>0</v>
      </c>
      <c r="I20" s="68">
        <v>0</v>
      </c>
      <c r="J20" s="67"/>
      <c r="K20" s="68"/>
      <c r="L20" s="69"/>
      <c r="M20" s="69"/>
      <c r="N20" s="69"/>
      <c r="O20" s="69"/>
      <c r="P20" s="69"/>
      <c r="Q20" s="69"/>
      <c r="R20" s="69"/>
      <c r="S20" s="69"/>
      <c r="T20" s="69"/>
      <c r="U20" s="69"/>
      <c r="V20" s="69"/>
      <c r="W20" s="69"/>
      <c r="X20" s="69"/>
      <c r="Y20" s="69"/>
      <c r="Z20" s="69"/>
      <c r="AA20" s="69"/>
      <c r="AB20" s="69"/>
      <c r="AC20" s="69"/>
      <c r="AD20" s="69"/>
      <c r="AE20" s="69"/>
      <c r="AF20" s="69"/>
      <c r="AG20" s="69"/>
      <c r="AH20" s="69"/>
      <c r="AI20" s="69"/>
      <c r="AJ20" s="69"/>
      <c r="AK20" s="69"/>
      <c r="AL20" s="69"/>
      <c r="AM20" s="69"/>
      <c r="AN20" s="69"/>
      <c r="AO20" s="69"/>
      <c r="AP20" s="69"/>
      <c r="AQ20" s="69"/>
      <c r="AR20" s="69"/>
      <c r="AS20" s="69"/>
      <c r="AT20" s="69"/>
      <c r="AU20" s="69"/>
      <c r="AV20" s="69"/>
      <c r="AW20" s="69"/>
      <c r="AX20" s="69"/>
      <c r="AY20" s="69"/>
      <c r="AZ20" s="69"/>
      <c r="BA20" s="69"/>
      <c r="BB20" s="69"/>
      <c r="BC20" s="69"/>
      <c r="BD20" s="69"/>
      <c r="BE20" s="69"/>
      <c r="BF20" s="69"/>
      <c r="BG20" s="69"/>
      <c r="BH20" s="69"/>
      <c r="BI20" s="69"/>
      <c r="BJ20" s="69"/>
      <c r="BK20" s="69"/>
      <c r="BL20" s="69"/>
      <c r="BM20" s="69"/>
      <c r="BN20" s="69"/>
      <c r="BO20" s="69"/>
      <c r="BP20" s="69"/>
      <c r="BQ20" s="69"/>
      <c r="BR20" s="69"/>
      <c r="BS20" s="69"/>
      <c r="BT20" s="69"/>
      <c r="BU20" s="69"/>
      <c r="BV20" s="69"/>
      <c r="BW20" s="69"/>
      <c r="BX20" s="69"/>
      <c r="BY20" s="69"/>
      <c r="BZ20" s="69"/>
      <c r="CA20" s="69"/>
      <c r="CB20" s="69"/>
      <c r="CC20" s="69"/>
      <c r="CD20" s="69"/>
      <c r="CE20" s="69"/>
      <c r="CF20" s="69"/>
      <c r="CG20" s="69"/>
      <c r="CH20" s="69"/>
      <c r="CI20" s="69"/>
      <c r="CJ20" s="69"/>
      <c r="CK20" s="69"/>
      <c r="CL20" s="69"/>
      <c r="CM20" s="69"/>
      <c r="CN20" s="69"/>
      <c r="CO20" s="69"/>
      <c r="CP20" s="69"/>
      <c r="CQ20" s="69"/>
      <c r="CR20" s="69"/>
      <c r="CS20" s="69"/>
      <c r="CT20" s="69"/>
      <c r="CU20" s="69"/>
      <c r="CV20" s="69"/>
      <c r="CW20" s="69"/>
      <c r="CX20" s="69"/>
      <c r="CY20" s="69"/>
      <c r="CZ20" s="69"/>
      <c r="DA20" s="69"/>
      <c r="DB20" s="69"/>
      <c r="DC20" s="69"/>
      <c r="DD20" s="69"/>
      <c r="DE20" s="69"/>
      <c r="DF20" s="69"/>
      <c r="DG20" s="69"/>
      <c r="DH20" s="69"/>
      <c r="DI20" s="69"/>
      <c r="DJ20" s="69"/>
      <c r="DK20" s="69"/>
      <c r="DL20" s="69"/>
      <c r="DM20" s="69"/>
      <c r="DN20" s="69"/>
      <c r="DO20" s="69"/>
      <c r="DP20" s="69"/>
      <c r="DQ20" s="69"/>
      <c r="DR20" s="69"/>
      <c r="DS20" s="69"/>
      <c r="DT20" s="69"/>
      <c r="DU20" s="69"/>
      <c r="DV20" s="69"/>
      <c r="DW20" s="69"/>
      <c r="DX20" s="69"/>
      <c r="DY20" s="69"/>
      <c r="DZ20" s="69"/>
      <c r="EA20" s="69"/>
      <c r="EB20" s="69"/>
      <c r="EC20" s="69"/>
      <c r="ED20" s="69"/>
      <c r="EE20" s="69"/>
      <c r="EF20" s="69"/>
      <c r="EG20" s="69"/>
      <c r="EH20" s="69"/>
      <c r="EI20" s="69"/>
      <c r="EJ20" s="69"/>
      <c r="EK20" s="69"/>
      <c r="EL20" s="69"/>
      <c r="EM20" s="69"/>
      <c r="EN20" s="69"/>
      <c r="EO20" s="69"/>
      <c r="EP20" s="69"/>
      <c r="EQ20" s="69"/>
      <c r="ER20" s="69"/>
      <c r="ES20" s="69"/>
      <c r="ET20" s="69"/>
      <c r="EU20" s="69"/>
      <c r="EV20" s="69"/>
      <c r="EW20" s="69"/>
      <c r="EX20" s="69"/>
      <c r="EY20" s="69"/>
      <c r="EZ20" s="69"/>
      <c r="FA20" s="69"/>
      <c r="FB20" s="69"/>
      <c r="FC20" s="69"/>
      <c r="FD20" s="69"/>
      <c r="FE20" s="69"/>
      <c r="FF20" s="69"/>
      <c r="FG20" s="69"/>
      <c r="FH20" s="69"/>
      <c r="FI20" s="69"/>
      <c r="FJ20" s="69"/>
      <c r="FK20" s="69"/>
      <c r="FL20" s="69"/>
      <c r="FM20" s="69"/>
      <c r="FN20" s="69"/>
      <c r="FO20" s="69"/>
      <c r="FP20" s="69"/>
      <c r="FQ20" s="69"/>
      <c r="FR20" s="69"/>
      <c r="FS20" s="69"/>
      <c r="FT20" s="69"/>
      <c r="FU20" s="69"/>
      <c r="FV20" s="69"/>
      <c r="FW20" s="69"/>
      <c r="FX20" s="69"/>
      <c r="FY20" s="69"/>
      <c r="FZ20" s="69"/>
      <c r="GA20" s="69"/>
      <c r="GB20" s="69"/>
      <c r="GC20" s="69"/>
      <c r="GD20" s="69"/>
      <c r="GE20" s="69"/>
      <c r="GF20" s="69"/>
      <c r="GG20" s="165"/>
    </row>
    <row r="21" spans="1:189" s="66" customFormat="1" x14ac:dyDescent="0.2">
      <c r="A21"/>
      <c r="B21" s="82">
        <v>40634</v>
      </c>
      <c r="C21" s="68">
        <v>0</v>
      </c>
      <c r="D21" s="68">
        <v>0</v>
      </c>
      <c r="E21" s="68">
        <v>0</v>
      </c>
      <c r="F21" s="68">
        <v>0</v>
      </c>
      <c r="G21" s="68">
        <v>0</v>
      </c>
      <c r="H21" s="68">
        <v>0</v>
      </c>
      <c r="I21" s="68">
        <v>0</v>
      </c>
      <c r="J21" s="68">
        <v>0</v>
      </c>
      <c r="K21" s="67"/>
      <c r="L21" s="68"/>
      <c r="M21" s="69"/>
      <c r="N21" s="69"/>
      <c r="O21" s="69"/>
      <c r="P21" s="69"/>
      <c r="Q21" s="69"/>
      <c r="R21" s="69"/>
      <c r="S21" s="69"/>
      <c r="T21" s="69"/>
      <c r="U21" s="69"/>
      <c r="V21" s="69"/>
      <c r="W21" s="69"/>
      <c r="X21" s="69"/>
      <c r="Y21" s="69"/>
      <c r="Z21" s="69"/>
      <c r="AA21" s="69"/>
      <c r="AB21" s="69"/>
      <c r="AC21" s="69"/>
      <c r="AD21" s="69"/>
      <c r="AE21" s="69"/>
      <c r="AF21" s="69"/>
      <c r="AG21" s="69"/>
      <c r="AH21" s="69"/>
      <c r="AI21" s="69"/>
      <c r="AJ21" s="69"/>
      <c r="AK21" s="69"/>
      <c r="AL21" s="69"/>
      <c r="AM21" s="69"/>
      <c r="AN21" s="69"/>
      <c r="AO21" s="69"/>
      <c r="AP21" s="69"/>
      <c r="AQ21" s="69"/>
      <c r="AR21" s="69"/>
      <c r="AS21" s="69"/>
      <c r="AT21" s="69"/>
      <c r="AU21" s="69"/>
      <c r="AV21" s="69"/>
      <c r="AW21" s="69"/>
      <c r="AX21" s="69"/>
      <c r="AY21" s="69"/>
      <c r="AZ21" s="69"/>
      <c r="BA21" s="69"/>
      <c r="BB21" s="69"/>
      <c r="BC21" s="69"/>
      <c r="BD21" s="69"/>
      <c r="BE21" s="69"/>
      <c r="BF21" s="69"/>
      <c r="BG21" s="69"/>
      <c r="BH21" s="69"/>
      <c r="BI21" s="69"/>
      <c r="BJ21" s="69"/>
      <c r="BK21" s="69"/>
      <c r="BL21" s="69"/>
      <c r="BM21" s="69"/>
      <c r="BN21" s="69"/>
      <c r="BO21" s="69"/>
      <c r="BP21" s="69"/>
      <c r="BQ21" s="69"/>
      <c r="BR21" s="69"/>
      <c r="BS21" s="69"/>
      <c r="BT21" s="69"/>
      <c r="BU21" s="69"/>
      <c r="BV21" s="69"/>
      <c r="BW21" s="69"/>
      <c r="BX21" s="69"/>
      <c r="BY21" s="69"/>
      <c r="BZ21" s="69"/>
      <c r="CA21" s="69"/>
      <c r="CB21" s="69"/>
      <c r="CC21" s="69"/>
      <c r="CD21" s="69"/>
      <c r="CE21" s="69"/>
      <c r="CF21" s="69"/>
      <c r="CG21" s="69"/>
      <c r="CH21" s="69"/>
      <c r="CI21" s="69"/>
      <c r="CJ21" s="69"/>
      <c r="CK21" s="69"/>
      <c r="CL21" s="69"/>
      <c r="CM21" s="69"/>
      <c r="CN21" s="69"/>
      <c r="CO21" s="69"/>
      <c r="CP21" s="69"/>
      <c r="CQ21" s="69"/>
      <c r="CR21" s="69"/>
      <c r="CS21" s="69"/>
      <c r="CT21" s="69"/>
      <c r="CU21" s="69"/>
      <c r="CV21" s="69"/>
      <c r="CW21" s="69"/>
      <c r="CX21" s="69"/>
      <c r="CY21" s="69"/>
      <c r="CZ21" s="69"/>
      <c r="DA21" s="69"/>
      <c r="DB21" s="69"/>
      <c r="DC21" s="69"/>
      <c r="DD21" s="69"/>
      <c r="DE21" s="69"/>
      <c r="DF21" s="69"/>
      <c r="DG21" s="69"/>
      <c r="DH21" s="69"/>
      <c r="DI21" s="69"/>
      <c r="DJ21" s="69"/>
      <c r="DK21" s="69"/>
      <c r="DL21" s="69"/>
      <c r="DM21" s="69"/>
      <c r="DN21" s="69"/>
      <c r="DO21" s="69"/>
      <c r="DP21" s="69"/>
      <c r="DQ21" s="69"/>
      <c r="DR21" s="69"/>
      <c r="DS21" s="69"/>
      <c r="DT21" s="69"/>
      <c r="DU21" s="69"/>
      <c r="DV21" s="69"/>
      <c r="DW21" s="69"/>
      <c r="DX21" s="69"/>
      <c r="DY21" s="69"/>
      <c r="DZ21" s="69"/>
      <c r="EA21" s="69"/>
      <c r="EB21" s="69"/>
      <c r="EC21" s="69"/>
      <c r="ED21" s="69"/>
      <c r="EE21" s="69"/>
      <c r="EF21" s="69"/>
      <c r="EG21" s="69"/>
      <c r="EH21" s="69"/>
      <c r="EI21" s="69"/>
      <c r="EJ21" s="69"/>
      <c r="EK21" s="69"/>
      <c r="EL21" s="69"/>
      <c r="EM21" s="69"/>
      <c r="EN21" s="69"/>
      <c r="EO21" s="69"/>
      <c r="EP21" s="69"/>
      <c r="EQ21" s="69"/>
      <c r="ER21" s="69"/>
      <c r="ES21" s="69"/>
      <c r="ET21" s="69"/>
      <c r="EU21" s="69"/>
      <c r="EV21" s="69"/>
      <c r="EW21" s="69"/>
      <c r="EX21" s="69"/>
      <c r="EY21" s="69"/>
      <c r="EZ21" s="69"/>
      <c r="FA21" s="69"/>
      <c r="FB21" s="69"/>
      <c r="FC21" s="69"/>
      <c r="FD21" s="69"/>
      <c r="FE21" s="69"/>
      <c r="FF21" s="69"/>
      <c r="FG21" s="69"/>
      <c r="FH21" s="69"/>
      <c r="FI21" s="69"/>
      <c r="FJ21" s="69"/>
      <c r="FK21" s="69"/>
      <c r="FL21" s="69"/>
      <c r="FM21" s="69"/>
      <c r="FN21" s="69"/>
      <c r="FO21" s="69"/>
      <c r="FP21" s="69"/>
      <c r="FQ21" s="69"/>
      <c r="FR21" s="69"/>
      <c r="FS21" s="69"/>
      <c r="FT21" s="69"/>
      <c r="FU21" s="69"/>
      <c r="FV21" s="69"/>
      <c r="FW21" s="69"/>
      <c r="FX21" s="69"/>
      <c r="FY21" s="69"/>
      <c r="FZ21" s="69"/>
      <c r="GA21" s="69"/>
      <c r="GB21" s="69"/>
      <c r="GC21" s="69"/>
      <c r="GD21" s="69"/>
      <c r="GE21" s="69"/>
      <c r="GF21" s="69"/>
      <c r="GG21" s="165"/>
    </row>
    <row r="22" spans="1:189" s="66" customFormat="1" x14ac:dyDescent="0.2">
      <c r="A22"/>
      <c r="B22" s="82">
        <v>40664</v>
      </c>
      <c r="C22" s="68">
        <v>0</v>
      </c>
      <c r="D22" s="68">
        <v>0</v>
      </c>
      <c r="E22" s="68">
        <v>0</v>
      </c>
      <c r="F22" s="68">
        <v>0</v>
      </c>
      <c r="G22" s="68">
        <v>0</v>
      </c>
      <c r="H22" s="68">
        <v>0</v>
      </c>
      <c r="I22" s="68">
        <v>0</v>
      </c>
      <c r="J22" s="68">
        <v>0</v>
      </c>
      <c r="K22" s="68">
        <v>0</v>
      </c>
      <c r="L22" s="67"/>
      <c r="M22" s="68"/>
      <c r="N22" s="69"/>
      <c r="O22" s="69"/>
      <c r="P22" s="69"/>
      <c r="Q22" s="69"/>
      <c r="R22" s="69"/>
      <c r="S22" s="69"/>
      <c r="T22" s="69"/>
      <c r="U22" s="69"/>
      <c r="V22" s="69"/>
      <c r="W22" s="69"/>
      <c r="X22" s="69"/>
      <c r="Y22" s="69"/>
      <c r="Z22" s="69"/>
      <c r="AA22" s="69"/>
      <c r="AB22" s="69"/>
      <c r="AC22" s="69"/>
      <c r="AD22" s="69"/>
      <c r="AE22" s="69"/>
      <c r="AF22" s="69"/>
      <c r="AG22" s="69"/>
      <c r="AH22" s="69"/>
      <c r="AI22" s="69"/>
      <c r="AJ22" s="69"/>
      <c r="AK22" s="69"/>
      <c r="AL22" s="69"/>
      <c r="AM22" s="69"/>
      <c r="AN22" s="69"/>
      <c r="AO22" s="69"/>
      <c r="AP22" s="69"/>
      <c r="AQ22" s="69"/>
      <c r="AR22" s="69"/>
      <c r="AS22" s="69"/>
      <c r="AT22" s="69"/>
      <c r="AU22" s="69"/>
      <c r="AV22" s="69"/>
      <c r="AW22" s="69"/>
      <c r="AX22" s="69"/>
      <c r="AY22" s="69"/>
      <c r="AZ22" s="69"/>
      <c r="BA22" s="69"/>
      <c r="BB22" s="69"/>
      <c r="BC22" s="69"/>
      <c r="BD22" s="69"/>
      <c r="BE22" s="69"/>
      <c r="BF22" s="69"/>
      <c r="BG22" s="69"/>
      <c r="BH22" s="69"/>
      <c r="BI22" s="69"/>
      <c r="BJ22" s="69"/>
      <c r="BK22" s="69"/>
      <c r="BL22" s="69"/>
      <c r="BM22" s="69"/>
      <c r="BN22" s="69"/>
      <c r="BO22" s="69"/>
      <c r="BP22" s="69"/>
      <c r="BQ22" s="69"/>
      <c r="BR22" s="69"/>
      <c r="BS22" s="69"/>
      <c r="BT22" s="69"/>
      <c r="BU22" s="69"/>
      <c r="BV22" s="69"/>
      <c r="BW22" s="69"/>
      <c r="BX22" s="69"/>
      <c r="BY22" s="69"/>
      <c r="BZ22" s="69"/>
      <c r="CA22" s="69"/>
      <c r="CB22" s="69"/>
      <c r="CC22" s="69"/>
      <c r="CD22" s="69"/>
      <c r="CE22" s="69"/>
      <c r="CF22" s="69"/>
      <c r="CG22" s="69"/>
      <c r="CH22" s="69"/>
      <c r="CI22" s="69"/>
      <c r="CJ22" s="69"/>
      <c r="CK22" s="69"/>
      <c r="CL22" s="69"/>
      <c r="CM22" s="69"/>
      <c r="CN22" s="69"/>
      <c r="CO22" s="69"/>
      <c r="CP22" s="69"/>
      <c r="CQ22" s="69"/>
      <c r="CR22" s="69"/>
      <c r="CS22" s="69"/>
      <c r="CT22" s="69"/>
      <c r="CU22" s="69"/>
      <c r="CV22" s="69"/>
      <c r="CW22" s="69"/>
      <c r="CX22" s="69"/>
      <c r="CY22" s="69"/>
      <c r="CZ22" s="69"/>
      <c r="DA22" s="69"/>
      <c r="DB22" s="69"/>
      <c r="DC22" s="69"/>
      <c r="DD22" s="69"/>
      <c r="DE22" s="69"/>
      <c r="DF22" s="69"/>
      <c r="DG22" s="69"/>
      <c r="DH22" s="69"/>
      <c r="DI22" s="69"/>
      <c r="DJ22" s="69"/>
      <c r="DK22" s="69"/>
      <c r="DL22" s="69"/>
      <c r="DM22" s="69"/>
      <c r="DN22" s="69"/>
      <c r="DO22" s="69"/>
      <c r="DP22" s="69"/>
      <c r="DQ22" s="69"/>
      <c r="DR22" s="69"/>
      <c r="DS22" s="69"/>
      <c r="DT22" s="69"/>
      <c r="DU22" s="69"/>
      <c r="DV22" s="69"/>
      <c r="DW22" s="69"/>
      <c r="DX22" s="69"/>
      <c r="DY22" s="69"/>
      <c r="DZ22" s="69"/>
      <c r="EA22" s="69"/>
      <c r="EB22" s="69"/>
      <c r="EC22" s="69"/>
      <c r="ED22" s="69"/>
      <c r="EE22" s="69"/>
      <c r="EF22" s="69"/>
      <c r="EG22" s="69"/>
      <c r="EH22" s="69"/>
      <c r="EI22" s="69"/>
      <c r="EJ22" s="69"/>
      <c r="EK22" s="69"/>
      <c r="EL22" s="69"/>
      <c r="EM22" s="69"/>
      <c r="EN22" s="69"/>
      <c r="EO22" s="69"/>
      <c r="EP22" s="69"/>
      <c r="EQ22" s="69"/>
      <c r="ER22" s="69"/>
      <c r="ES22" s="69"/>
      <c r="ET22" s="69"/>
      <c r="EU22" s="69"/>
      <c r="EV22" s="69"/>
      <c r="EW22" s="69"/>
      <c r="EX22" s="69"/>
      <c r="EY22" s="69"/>
      <c r="EZ22" s="69"/>
      <c r="FA22" s="69"/>
      <c r="FB22" s="69"/>
      <c r="FC22" s="69"/>
      <c r="FD22" s="69"/>
      <c r="FE22" s="69"/>
      <c r="FF22" s="69"/>
      <c r="FG22" s="69"/>
      <c r="FH22" s="69"/>
      <c r="FI22" s="69"/>
      <c r="FJ22" s="69"/>
      <c r="FK22" s="69"/>
      <c r="FL22" s="69"/>
      <c r="FM22" s="69"/>
      <c r="FN22" s="69"/>
      <c r="FO22" s="69"/>
      <c r="FP22" s="69"/>
      <c r="FQ22" s="69"/>
      <c r="FR22" s="69"/>
      <c r="FS22" s="69"/>
      <c r="FT22" s="69"/>
      <c r="FU22" s="69"/>
      <c r="FV22" s="69"/>
      <c r="FW22" s="69"/>
      <c r="FX22" s="69"/>
      <c r="FY22" s="69"/>
      <c r="FZ22" s="69"/>
      <c r="GA22" s="69"/>
      <c r="GB22" s="69"/>
      <c r="GC22" s="69"/>
      <c r="GD22" s="69"/>
      <c r="GE22" s="69"/>
      <c r="GF22" s="69"/>
      <c r="GG22" s="165"/>
    </row>
    <row r="23" spans="1:189" s="66" customFormat="1" x14ac:dyDescent="0.2">
      <c r="A23"/>
      <c r="B23" s="82">
        <v>40695</v>
      </c>
      <c r="C23" s="68">
        <v>0</v>
      </c>
      <c r="D23" s="68">
        <v>0</v>
      </c>
      <c r="E23" s="68">
        <v>0</v>
      </c>
      <c r="F23" s="68">
        <v>0</v>
      </c>
      <c r="G23" s="68">
        <v>0</v>
      </c>
      <c r="H23" s="68">
        <v>0</v>
      </c>
      <c r="I23" s="68">
        <v>0</v>
      </c>
      <c r="J23" s="68">
        <v>0</v>
      </c>
      <c r="K23" s="68">
        <v>0</v>
      </c>
      <c r="L23" s="68">
        <v>0</v>
      </c>
      <c r="M23" s="67"/>
      <c r="N23" s="68"/>
      <c r="O23" s="69"/>
      <c r="P23" s="69"/>
      <c r="Q23" s="69"/>
      <c r="R23" s="69"/>
      <c r="S23" s="69"/>
      <c r="T23" s="69"/>
      <c r="U23" s="69"/>
      <c r="V23" s="69"/>
      <c r="W23" s="69"/>
      <c r="X23" s="69"/>
      <c r="Y23" s="69"/>
      <c r="Z23" s="69"/>
      <c r="AA23" s="69"/>
      <c r="AB23" s="69"/>
      <c r="AC23" s="69"/>
      <c r="AD23" s="69"/>
      <c r="AE23" s="69"/>
      <c r="AF23" s="69"/>
      <c r="AG23" s="69"/>
      <c r="AH23" s="69"/>
      <c r="AI23" s="69"/>
      <c r="AJ23" s="69"/>
      <c r="AK23" s="69"/>
      <c r="AL23" s="69"/>
      <c r="AM23" s="69"/>
      <c r="AN23" s="69"/>
      <c r="AO23" s="69"/>
      <c r="AP23" s="69"/>
      <c r="AQ23" s="69"/>
      <c r="AR23" s="69"/>
      <c r="AS23" s="69"/>
      <c r="AT23" s="69"/>
      <c r="AU23" s="69"/>
      <c r="AV23" s="69"/>
      <c r="AW23" s="69"/>
      <c r="AX23" s="69"/>
      <c r="AY23" s="69"/>
      <c r="AZ23" s="69"/>
      <c r="BA23" s="69"/>
      <c r="BB23" s="69"/>
      <c r="BC23" s="69"/>
      <c r="BD23" s="69"/>
      <c r="BE23" s="69"/>
      <c r="BF23" s="69"/>
      <c r="BG23" s="69"/>
      <c r="BH23" s="69"/>
      <c r="BI23" s="69"/>
      <c r="BJ23" s="69"/>
      <c r="BK23" s="69"/>
      <c r="BL23" s="69"/>
      <c r="BM23" s="69"/>
      <c r="BN23" s="69"/>
      <c r="BO23" s="69"/>
      <c r="BP23" s="69"/>
      <c r="BQ23" s="69"/>
      <c r="BR23" s="69"/>
      <c r="BS23" s="69"/>
      <c r="BT23" s="69"/>
      <c r="BU23" s="69"/>
      <c r="BV23" s="69"/>
      <c r="BW23" s="69"/>
      <c r="BX23" s="69"/>
      <c r="BY23" s="69"/>
      <c r="BZ23" s="69"/>
      <c r="CA23" s="69"/>
      <c r="CB23" s="69"/>
      <c r="CC23" s="69"/>
      <c r="CD23" s="69"/>
      <c r="CE23" s="69"/>
      <c r="CF23" s="69"/>
      <c r="CG23" s="69"/>
      <c r="CH23" s="69"/>
      <c r="CI23" s="69"/>
      <c r="CJ23" s="69"/>
      <c r="CK23" s="69"/>
      <c r="CL23" s="69"/>
      <c r="CM23" s="69"/>
      <c r="CN23" s="69"/>
      <c r="CO23" s="69"/>
      <c r="CP23" s="69"/>
      <c r="CQ23" s="69"/>
      <c r="CR23" s="69"/>
      <c r="CS23" s="69"/>
      <c r="CT23" s="69"/>
      <c r="CU23" s="69"/>
      <c r="CV23" s="69"/>
      <c r="CW23" s="69"/>
      <c r="CX23" s="69"/>
      <c r="CY23" s="69"/>
      <c r="CZ23" s="69"/>
      <c r="DA23" s="69"/>
      <c r="DB23" s="69"/>
      <c r="DC23" s="69"/>
      <c r="DD23" s="69"/>
      <c r="DE23" s="69"/>
      <c r="DF23" s="69"/>
      <c r="DG23" s="69"/>
      <c r="DH23" s="69"/>
      <c r="DI23" s="69"/>
      <c r="DJ23" s="69"/>
      <c r="DK23" s="69"/>
      <c r="DL23" s="69"/>
      <c r="DM23" s="69"/>
      <c r="DN23" s="69"/>
      <c r="DO23" s="69"/>
      <c r="DP23" s="69"/>
      <c r="DQ23" s="69"/>
      <c r="DR23" s="69"/>
      <c r="DS23" s="69"/>
      <c r="DT23" s="69"/>
      <c r="DU23" s="69"/>
      <c r="DV23" s="69"/>
      <c r="DW23" s="69"/>
      <c r="DX23" s="69"/>
      <c r="DY23" s="69"/>
      <c r="DZ23" s="69"/>
      <c r="EA23" s="69"/>
      <c r="EB23" s="69"/>
      <c r="EC23" s="69"/>
      <c r="ED23" s="69"/>
      <c r="EE23" s="69"/>
      <c r="EF23" s="69"/>
      <c r="EG23" s="69"/>
      <c r="EH23" s="69"/>
      <c r="EI23" s="69"/>
      <c r="EJ23" s="69"/>
      <c r="EK23" s="69"/>
      <c r="EL23" s="69"/>
      <c r="EM23" s="69"/>
      <c r="EN23" s="69"/>
      <c r="EO23" s="69"/>
      <c r="EP23" s="69"/>
      <c r="EQ23" s="69"/>
      <c r="ER23" s="69"/>
      <c r="ES23" s="69"/>
      <c r="ET23" s="69"/>
      <c r="EU23" s="69"/>
      <c r="EV23" s="69"/>
      <c r="EW23" s="69"/>
      <c r="EX23" s="69"/>
      <c r="EY23" s="69"/>
      <c r="EZ23" s="69"/>
      <c r="FA23" s="69"/>
      <c r="FB23" s="69"/>
      <c r="FC23" s="69"/>
      <c r="FD23" s="69"/>
      <c r="FE23" s="69"/>
      <c r="FF23" s="69"/>
      <c r="FG23" s="69"/>
      <c r="FH23" s="69"/>
      <c r="FI23" s="69"/>
      <c r="FJ23" s="69"/>
      <c r="FK23" s="69"/>
      <c r="FL23" s="69"/>
      <c r="FM23" s="69"/>
      <c r="FN23" s="69"/>
      <c r="FO23" s="69"/>
      <c r="FP23" s="69"/>
      <c r="FQ23" s="69"/>
      <c r="FR23" s="69"/>
      <c r="FS23" s="69"/>
      <c r="FT23" s="69"/>
      <c r="FU23" s="69"/>
      <c r="FV23" s="69"/>
      <c r="FW23" s="69"/>
      <c r="FX23" s="69"/>
      <c r="FY23" s="69"/>
      <c r="FZ23" s="69"/>
      <c r="GA23" s="69"/>
      <c r="GB23" s="69"/>
      <c r="GC23" s="69"/>
      <c r="GD23" s="69"/>
      <c r="GE23" s="69"/>
      <c r="GF23" s="69"/>
      <c r="GG23" s="165"/>
    </row>
    <row r="24" spans="1:189" s="66" customFormat="1" x14ac:dyDescent="0.2">
      <c r="A24"/>
      <c r="B24" s="82">
        <v>40725</v>
      </c>
      <c r="C24" s="68">
        <v>0</v>
      </c>
      <c r="D24" s="68">
        <v>0</v>
      </c>
      <c r="E24" s="68">
        <v>0</v>
      </c>
      <c r="F24" s="68">
        <v>0</v>
      </c>
      <c r="G24" s="68">
        <v>0</v>
      </c>
      <c r="H24" s="68">
        <v>0</v>
      </c>
      <c r="I24" s="68">
        <v>0</v>
      </c>
      <c r="J24" s="68">
        <v>0</v>
      </c>
      <c r="K24" s="68">
        <v>0</v>
      </c>
      <c r="L24" s="68">
        <v>0</v>
      </c>
      <c r="M24" s="68">
        <v>0</v>
      </c>
      <c r="N24" s="67"/>
      <c r="O24" s="68"/>
      <c r="P24" s="69"/>
      <c r="Q24" s="69"/>
      <c r="R24" s="69"/>
      <c r="S24" s="69"/>
      <c r="T24" s="69"/>
      <c r="U24" s="69"/>
      <c r="V24" s="69"/>
      <c r="W24" s="69"/>
      <c r="X24" s="69"/>
      <c r="Y24" s="69"/>
      <c r="Z24" s="69"/>
      <c r="AA24" s="69"/>
      <c r="AB24" s="69"/>
      <c r="AC24" s="69"/>
      <c r="AD24" s="69"/>
      <c r="AE24" s="69"/>
      <c r="AF24" s="69"/>
      <c r="AG24" s="69"/>
      <c r="AH24" s="69"/>
      <c r="AI24" s="69"/>
      <c r="AJ24" s="69"/>
      <c r="AK24" s="69"/>
      <c r="AL24" s="69"/>
      <c r="AM24" s="69"/>
      <c r="AN24" s="69"/>
      <c r="AO24" s="69"/>
      <c r="AP24" s="69"/>
      <c r="AQ24" s="69"/>
      <c r="AR24" s="69"/>
      <c r="AS24" s="69"/>
      <c r="AT24" s="69"/>
      <c r="AU24" s="69"/>
      <c r="AV24" s="69"/>
      <c r="AW24" s="69"/>
      <c r="AX24" s="69"/>
      <c r="AY24" s="69"/>
      <c r="AZ24" s="69"/>
      <c r="BA24" s="69"/>
      <c r="BB24" s="69"/>
      <c r="BC24" s="69"/>
      <c r="BD24" s="69"/>
      <c r="BE24" s="69"/>
      <c r="BF24" s="69"/>
      <c r="BG24" s="69"/>
      <c r="BH24" s="69"/>
      <c r="BI24" s="69"/>
      <c r="BJ24" s="69"/>
      <c r="BK24" s="69"/>
      <c r="BL24" s="69"/>
      <c r="BM24" s="69"/>
      <c r="BN24" s="69"/>
      <c r="BO24" s="69"/>
      <c r="BP24" s="69"/>
      <c r="BQ24" s="69"/>
      <c r="BR24" s="69"/>
      <c r="BS24" s="69"/>
      <c r="BT24" s="69"/>
      <c r="BU24" s="69"/>
      <c r="BV24" s="69"/>
      <c r="BW24" s="69"/>
      <c r="BX24" s="69"/>
      <c r="BY24" s="69"/>
      <c r="BZ24" s="69"/>
      <c r="CA24" s="69"/>
      <c r="CB24" s="69"/>
      <c r="CC24" s="69"/>
      <c r="CD24" s="69"/>
      <c r="CE24" s="69"/>
      <c r="CF24" s="69"/>
      <c r="CG24" s="69"/>
      <c r="CH24" s="69"/>
      <c r="CI24" s="69"/>
      <c r="CJ24" s="69"/>
      <c r="CK24" s="69"/>
      <c r="CL24" s="69"/>
      <c r="CM24" s="69"/>
      <c r="CN24" s="69"/>
      <c r="CO24" s="69"/>
      <c r="CP24" s="69"/>
      <c r="CQ24" s="69"/>
      <c r="CR24" s="69"/>
      <c r="CS24" s="69"/>
      <c r="CT24" s="69"/>
      <c r="CU24" s="69"/>
      <c r="CV24" s="69"/>
      <c r="CW24" s="69"/>
      <c r="CX24" s="69"/>
      <c r="CY24" s="69"/>
      <c r="CZ24" s="69"/>
      <c r="DA24" s="69"/>
      <c r="DB24" s="69"/>
      <c r="DC24" s="69"/>
      <c r="DD24" s="69"/>
      <c r="DE24" s="69"/>
      <c r="DF24" s="69"/>
      <c r="DG24" s="69"/>
      <c r="DH24" s="69"/>
      <c r="DI24" s="69"/>
      <c r="DJ24" s="69"/>
      <c r="DK24" s="69"/>
      <c r="DL24" s="69"/>
      <c r="DM24" s="69"/>
      <c r="DN24" s="69"/>
      <c r="DO24" s="69"/>
      <c r="DP24" s="69"/>
      <c r="DQ24" s="69"/>
      <c r="DR24" s="69"/>
      <c r="DS24" s="69"/>
      <c r="DT24" s="69"/>
      <c r="DU24" s="69"/>
      <c r="DV24" s="69"/>
      <c r="DW24" s="69"/>
      <c r="DX24" s="69"/>
      <c r="DY24" s="69"/>
      <c r="DZ24" s="69"/>
      <c r="EA24" s="69"/>
      <c r="EB24" s="69"/>
      <c r="EC24" s="69"/>
      <c r="ED24" s="69"/>
      <c r="EE24" s="69"/>
      <c r="EF24" s="69"/>
      <c r="EG24" s="69"/>
      <c r="EH24" s="69"/>
      <c r="EI24" s="69"/>
      <c r="EJ24" s="69"/>
      <c r="EK24" s="69"/>
      <c r="EL24" s="69"/>
      <c r="EM24" s="69"/>
      <c r="EN24" s="69"/>
      <c r="EO24" s="69"/>
      <c r="EP24" s="69"/>
      <c r="EQ24" s="69"/>
      <c r="ER24" s="69"/>
      <c r="ES24" s="69"/>
      <c r="ET24" s="69"/>
      <c r="EU24" s="69"/>
      <c r="EV24" s="69"/>
      <c r="EW24" s="69"/>
      <c r="EX24" s="69"/>
      <c r="EY24" s="69"/>
      <c r="EZ24" s="69"/>
      <c r="FA24" s="69"/>
      <c r="FB24" s="69"/>
      <c r="FC24" s="69"/>
      <c r="FD24" s="69"/>
      <c r="FE24" s="69"/>
      <c r="FF24" s="69"/>
      <c r="FG24" s="69"/>
      <c r="FH24" s="69"/>
      <c r="FI24" s="69"/>
      <c r="FJ24" s="69"/>
      <c r="FK24" s="69"/>
      <c r="FL24" s="69"/>
      <c r="FM24" s="69"/>
      <c r="FN24" s="69"/>
      <c r="FO24" s="69"/>
      <c r="FP24" s="69"/>
      <c r="FQ24" s="69"/>
      <c r="FR24" s="69"/>
      <c r="FS24" s="69"/>
      <c r="FT24" s="69"/>
      <c r="FU24" s="69"/>
      <c r="FV24" s="69"/>
      <c r="FW24" s="69"/>
      <c r="FX24" s="69"/>
      <c r="FY24" s="69"/>
      <c r="FZ24" s="69"/>
      <c r="GA24" s="69"/>
      <c r="GB24" s="69"/>
      <c r="GC24" s="69"/>
      <c r="GD24" s="69"/>
      <c r="GE24" s="69"/>
      <c r="GF24" s="69"/>
      <c r="GG24" s="165"/>
    </row>
    <row r="25" spans="1:189" s="66" customFormat="1" x14ac:dyDescent="0.2">
      <c r="A25"/>
      <c r="B25" s="82">
        <v>40756</v>
      </c>
      <c r="C25" s="94">
        <v>0</v>
      </c>
      <c r="D25" s="68">
        <v>0</v>
      </c>
      <c r="E25" s="68">
        <v>0</v>
      </c>
      <c r="F25" s="68">
        <v>0</v>
      </c>
      <c r="G25" s="68">
        <v>0</v>
      </c>
      <c r="H25" s="68">
        <v>0</v>
      </c>
      <c r="I25" s="68">
        <v>0</v>
      </c>
      <c r="J25" s="68">
        <v>0</v>
      </c>
      <c r="K25" s="68">
        <v>0</v>
      </c>
      <c r="L25" s="68">
        <v>0</v>
      </c>
      <c r="M25" s="68">
        <v>0</v>
      </c>
      <c r="N25" s="68">
        <v>0</v>
      </c>
      <c r="O25" s="67"/>
      <c r="P25" s="68"/>
      <c r="Q25" s="69"/>
      <c r="R25" s="69"/>
      <c r="S25" s="69"/>
      <c r="T25" s="69"/>
      <c r="U25" s="69"/>
      <c r="V25" s="69"/>
      <c r="W25" s="69"/>
      <c r="X25" s="69"/>
      <c r="Y25" s="69"/>
      <c r="Z25" s="69"/>
      <c r="AA25" s="69"/>
      <c r="AB25" s="69"/>
      <c r="AC25" s="69"/>
      <c r="AD25" s="69"/>
      <c r="AE25" s="69"/>
      <c r="AF25" s="69"/>
      <c r="AG25" s="69"/>
      <c r="AH25" s="69"/>
      <c r="AI25" s="69"/>
      <c r="AJ25" s="69"/>
      <c r="AK25" s="69"/>
      <c r="AL25" s="69"/>
      <c r="AM25" s="69"/>
      <c r="AN25" s="69"/>
      <c r="AO25" s="69"/>
      <c r="AP25" s="69"/>
      <c r="AQ25" s="69"/>
      <c r="AR25" s="69"/>
      <c r="AS25" s="69"/>
      <c r="AT25" s="69"/>
      <c r="AU25" s="69"/>
      <c r="AV25" s="69"/>
      <c r="AW25" s="69"/>
      <c r="AX25" s="69"/>
      <c r="AY25" s="69"/>
      <c r="AZ25" s="69"/>
      <c r="BA25" s="69"/>
      <c r="BB25" s="69"/>
      <c r="BC25" s="69"/>
      <c r="BD25" s="69"/>
      <c r="BE25" s="69"/>
      <c r="BF25" s="69"/>
      <c r="BG25" s="69"/>
      <c r="BH25" s="69"/>
      <c r="BI25" s="69"/>
      <c r="BJ25" s="69"/>
      <c r="BK25" s="69"/>
      <c r="BL25" s="69"/>
      <c r="BM25" s="69"/>
      <c r="BN25" s="69"/>
      <c r="BO25" s="69"/>
      <c r="BP25" s="69"/>
      <c r="BQ25" s="69"/>
      <c r="BR25" s="69"/>
      <c r="BS25" s="69"/>
      <c r="BT25" s="69"/>
      <c r="BU25" s="69"/>
      <c r="BV25" s="69"/>
      <c r="BW25" s="69"/>
      <c r="BX25" s="69"/>
      <c r="BY25" s="69"/>
      <c r="BZ25" s="69"/>
      <c r="CA25" s="69"/>
      <c r="CB25" s="69"/>
      <c r="CC25" s="69"/>
      <c r="CD25" s="69"/>
      <c r="CE25" s="69"/>
      <c r="CF25" s="69"/>
      <c r="CG25" s="69"/>
      <c r="CH25" s="69"/>
      <c r="CI25" s="69"/>
      <c r="CJ25" s="69"/>
      <c r="CK25" s="69"/>
      <c r="CL25" s="69"/>
      <c r="CM25" s="69"/>
      <c r="CN25" s="69"/>
      <c r="CO25" s="69"/>
      <c r="CP25" s="69"/>
      <c r="CQ25" s="69"/>
      <c r="CR25" s="69"/>
      <c r="CS25" s="69"/>
      <c r="CT25" s="69"/>
      <c r="CU25" s="69"/>
      <c r="CV25" s="69"/>
      <c r="CW25" s="69"/>
      <c r="CX25" s="69"/>
      <c r="CY25" s="69"/>
      <c r="CZ25" s="69"/>
      <c r="DA25" s="69"/>
      <c r="DB25" s="69"/>
      <c r="DC25" s="69"/>
      <c r="DD25" s="69"/>
      <c r="DE25" s="69"/>
      <c r="DF25" s="69"/>
      <c r="DG25" s="69"/>
      <c r="DH25" s="69"/>
      <c r="DI25" s="69"/>
      <c r="DJ25" s="69"/>
      <c r="DK25" s="69"/>
      <c r="DL25" s="69"/>
      <c r="DM25" s="69"/>
      <c r="DN25" s="69"/>
      <c r="DO25" s="69"/>
      <c r="DP25" s="69"/>
      <c r="DQ25" s="69"/>
      <c r="DR25" s="69"/>
      <c r="DS25" s="69"/>
      <c r="DT25" s="69"/>
      <c r="DU25" s="69"/>
      <c r="DV25" s="69"/>
      <c r="DW25" s="69"/>
      <c r="DX25" s="69"/>
      <c r="DY25" s="69"/>
      <c r="DZ25" s="69"/>
      <c r="EA25" s="69"/>
      <c r="EB25" s="69"/>
      <c r="EC25" s="69"/>
      <c r="ED25" s="69"/>
      <c r="EE25" s="69"/>
      <c r="EF25" s="69"/>
      <c r="EG25" s="69"/>
      <c r="EH25" s="69"/>
      <c r="EI25" s="69"/>
      <c r="EJ25" s="69"/>
      <c r="EK25" s="69"/>
      <c r="EL25" s="69"/>
      <c r="EM25" s="69"/>
      <c r="EN25" s="69"/>
      <c r="EO25" s="69"/>
      <c r="EP25" s="69"/>
      <c r="EQ25" s="69"/>
      <c r="ER25" s="69"/>
      <c r="ES25" s="69"/>
      <c r="ET25" s="69"/>
      <c r="EU25" s="69"/>
      <c r="EV25" s="69"/>
      <c r="EW25" s="69"/>
      <c r="EX25" s="69"/>
      <c r="EY25" s="69"/>
      <c r="EZ25" s="69"/>
      <c r="FA25" s="69"/>
      <c r="FB25" s="69"/>
      <c r="FC25" s="69"/>
      <c r="FD25" s="69"/>
      <c r="FE25" s="69"/>
      <c r="FF25" s="69"/>
      <c r="FG25" s="69"/>
      <c r="FH25" s="69"/>
      <c r="FI25" s="69"/>
      <c r="FJ25" s="69"/>
      <c r="FK25" s="69"/>
      <c r="FL25" s="69"/>
      <c r="FM25" s="69"/>
      <c r="FN25" s="69"/>
      <c r="FO25" s="69"/>
      <c r="FP25" s="69"/>
      <c r="FQ25" s="69"/>
      <c r="FR25" s="69"/>
      <c r="FS25" s="69"/>
      <c r="FT25" s="69"/>
      <c r="FU25" s="69"/>
      <c r="FV25" s="69"/>
      <c r="FW25" s="69"/>
      <c r="FX25" s="69"/>
      <c r="FY25" s="69"/>
      <c r="FZ25" s="69"/>
      <c r="GA25" s="69"/>
      <c r="GB25" s="69"/>
      <c r="GC25" s="69"/>
      <c r="GD25" s="69"/>
      <c r="GE25" s="69"/>
      <c r="GF25" s="69"/>
      <c r="GG25" s="165"/>
    </row>
    <row r="26" spans="1:189" s="66" customFormat="1" x14ac:dyDescent="0.2">
      <c r="A26"/>
      <c r="B26" s="82">
        <v>40787</v>
      </c>
      <c r="C26" s="68">
        <v>0</v>
      </c>
      <c r="D26" s="94">
        <v>0</v>
      </c>
      <c r="E26" s="68">
        <v>0</v>
      </c>
      <c r="F26" s="68">
        <v>0</v>
      </c>
      <c r="G26" s="68">
        <v>0</v>
      </c>
      <c r="H26" s="68">
        <v>0</v>
      </c>
      <c r="I26" s="68">
        <v>0</v>
      </c>
      <c r="J26" s="68">
        <v>0</v>
      </c>
      <c r="K26" s="68">
        <v>0</v>
      </c>
      <c r="L26" s="68">
        <v>0</v>
      </c>
      <c r="M26" s="68">
        <v>0</v>
      </c>
      <c r="N26" s="68">
        <v>0</v>
      </c>
      <c r="O26" s="68">
        <v>0</v>
      </c>
      <c r="P26" s="67"/>
      <c r="Q26" s="68"/>
      <c r="R26" s="69"/>
      <c r="S26" s="69"/>
      <c r="T26" s="69"/>
      <c r="U26" s="69"/>
      <c r="V26" s="69"/>
      <c r="W26" s="69"/>
      <c r="X26" s="69"/>
      <c r="Y26" s="69"/>
      <c r="Z26" s="69"/>
      <c r="AA26" s="69"/>
      <c r="AB26" s="69"/>
      <c r="AC26" s="69"/>
      <c r="AD26" s="69"/>
      <c r="AE26" s="69"/>
      <c r="AF26" s="69"/>
      <c r="AG26" s="69"/>
      <c r="AH26" s="69"/>
      <c r="AI26" s="69"/>
      <c r="AJ26" s="69"/>
      <c r="AK26" s="69"/>
      <c r="AL26" s="69"/>
      <c r="AM26" s="69"/>
      <c r="AN26" s="69"/>
      <c r="AO26" s="69"/>
      <c r="AP26" s="69"/>
      <c r="AQ26" s="69"/>
      <c r="AR26" s="69"/>
      <c r="AS26" s="69"/>
      <c r="AT26" s="69"/>
      <c r="AU26" s="69"/>
      <c r="AV26" s="69"/>
      <c r="AW26" s="69"/>
      <c r="AX26" s="69"/>
      <c r="AY26" s="69"/>
      <c r="AZ26" s="69"/>
      <c r="BA26" s="69"/>
      <c r="BB26" s="69"/>
      <c r="BC26" s="69"/>
      <c r="BD26" s="69"/>
      <c r="BE26" s="69"/>
      <c r="BF26" s="69"/>
      <c r="BG26" s="69"/>
      <c r="BH26" s="69"/>
      <c r="BI26" s="69"/>
      <c r="BJ26" s="69"/>
      <c r="BK26" s="69"/>
      <c r="BL26" s="69"/>
      <c r="BM26" s="69"/>
      <c r="BN26" s="69"/>
      <c r="BO26" s="69"/>
      <c r="BP26" s="69"/>
      <c r="BQ26" s="69"/>
      <c r="BR26" s="69"/>
      <c r="BS26" s="69"/>
      <c r="BT26" s="69"/>
      <c r="BU26" s="69"/>
      <c r="BV26" s="69"/>
      <c r="BW26" s="69"/>
      <c r="BX26" s="69"/>
      <c r="BY26" s="69"/>
      <c r="BZ26" s="69"/>
      <c r="CA26" s="69"/>
      <c r="CB26" s="69"/>
      <c r="CC26" s="69"/>
      <c r="CD26" s="69"/>
      <c r="CE26" s="69"/>
      <c r="CF26" s="69"/>
      <c r="CG26" s="69"/>
      <c r="CH26" s="69"/>
      <c r="CI26" s="69"/>
      <c r="CJ26" s="69"/>
      <c r="CK26" s="69"/>
      <c r="CL26" s="69"/>
      <c r="CM26" s="69"/>
      <c r="CN26" s="69"/>
      <c r="CO26" s="69"/>
      <c r="CP26" s="69"/>
      <c r="CQ26" s="69"/>
      <c r="CR26" s="69"/>
      <c r="CS26" s="69"/>
      <c r="CT26" s="69"/>
      <c r="CU26" s="69"/>
      <c r="CV26" s="69"/>
      <c r="CW26" s="69"/>
      <c r="CX26" s="69"/>
      <c r="CY26" s="69"/>
      <c r="CZ26" s="69"/>
      <c r="DA26" s="69"/>
      <c r="DB26" s="69"/>
      <c r="DC26" s="69"/>
      <c r="DD26" s="69"/>
      <c r="DE26" s="69"/>
      <c r="DF26" s="69"/>
      <c r="DG26" s="69"/>
      <c r="DH26" s="69"/>
      <c r="DI26" s="69"/>
      <c r="DJ26" s="69"/>
      <c r="DK26" s="69"/>
      <c r="DL26" s="69"/>
      <c r="DM26" s="69"/>
      <c r="DN26" s="69"/>
      <c r="DO26" s="69"/>
      <c r="DP26" s="69"/>
      <c r="DQ26" s="69"/>
      <c r="DR26" s="69"/>
      <c r="DS26" s="69"/>
      <c r="DT26" s="69"/>
      <c r="DU26" s="69"/>
      <c r="DV26" s="69"/>
      <c r="DW26" s="69"/>
      <c r="DX26" s="69"/>
      <c r="DY26" s="69"/>
      <c r="DZ26" s="69"/>
      <c r="EA26" s="69"/>
      <c r="EB26" s="69"/>
      <c r="EC26" s="69"/>
      <c r="ED26" s="69"/>
      <c r="EE26" s="69"/>
      <c r="EF26" s="69"/>
      <c r="EG26" s="69"/>
      <c r="EH26" s="69"/>
      <c r="EI26" s="69"/>
      <c r="EJ26" s="69"/>
      <c r="EK26" s="69"/>
      <c r="EL26" s="69"/>
      <c r="EM26" s="69"/>
      <c r="EN26" s="69"/>
      <c r="EO26" s="69"/>
      <c r="EP26" s="69"/>
      <c r="EQ26" s="69"/>
      <c r="ER26" s="69"/>
      <c r="ES26" s="69"/>
      <c r="ET26" s="69"/>
      <c r="EU26" s="69"/>
      <c r="EV26" s="69"/>
      <c r="EW26" s="69"/>
      <c r="EX26" s="69"/>
      <c r="EY26" s="69"/>
      <c r="EZ26" s="69"/>
      <c r="FA26" s="69"/>
      <c r="FB26" s="69"/>
      <c r="FC26" s="69"/>
      <c r="FD26" s="69"/>
      <c r="FE26" s="69"/>
      <c r="FF26" s="69"/>
      <c r="FG26" s="69"/>
      <c r="FH26" s="69"/>
      <c r="FI26" s="69"/>
      <c r="FJ26" s="69"/>
      <c r="FK26" s="69"/>
      <c r="FL26" s="69"/>
      <c r="FM26" s="69"/>
      <c r="FN26" s="69"/>
      <c r="FO26" s="69"/>
      <c r="FP26" s="69"/>
      <c r="FQ26" s="69"/>
      <c r="FR26" s="69"/>
      <c r="FS26" s="69"/>
      <c r="FT26" s="69"/>
      <c r="FU26" s="69"/>
      <c r="FV26" s="69"/>
      <c r="FW26" s="69"/>
      <c r="FX26" s="69"/>
      <c r="FY26" s="69"/>
      <c r="FZ26" s="69"/>
      <c r="GA26" s="69"/>
      <c r="GB26" s="69"/>
      <c r="GC26" s="69"/>
      <c r="GD26" s="69"/>
      <c r="GE26" s="69"/>
      <c r="GF26" s="69"/>
      <c r="GG26" s="165"/>
    </row>
    <row r="27" spans="1:189" s="66" customFormat="1" x14ac:dyDescent="0.2">
      <c r="A27"/>
      <c r="B27" s="82">
        <v>40817</v>
      </c>
      <c r="C27" s="68">
        <v>0</v>
      </c>
      <c r="D27" s="68">
        <v>0</v>
      </c>
      <c r="E27" s="94">
        <v>0</v>
      </c>
      <c r="F27" s="68">
        <v>0</v>
      </c>
      <c r="G27" s="68">
        <v>0</v>
      </c>
      <c r="H27" s="68">
        <v>0</v>
      </c>
      <c r="I27" s="68">
        <v>0</v>
      </c>
      <c r="J27" s="68">
        <v>0</v>
      </c>
      <c r="K27" s="68">
        <v>0</v>
      </c>
      <c r="L27" s="68">
        <v>0</v>
      </c>
      <c r="M27" s="68">
        <v>0</v>
      </c>
      <c r="N27" s="68">
        <v>0</v>
      </c>
      <c r="O27" s="68">
        <v>0</v>
      </c>
      <c r="P27" s="68">
        <v>0</v>
      </c>
      <c r="Q27" s="67"/>
      <c r="R27" s="68"/>
      <c r="S27" s="69"/>
      <c r="T27" s="69"/>
      <c r="U27" s="69"/>
      <c r="V27" s="69"/>
      <c r="W27" s="69"/>
      <c r="X27" s="69"/>
      <c r="Y27" s="69"/>
      <c r="Z27" s="69"/>
      <c r="AA27" s="69"/>
      <c r="AB27" s="69"/>
      <c r="AC27" s="69"/>
      <c r="AD27" s="69"/>
      <c r="AE27" s="69"/>
      <c r="AF27" s="69"/>
      <c r="AG27" s="69"/>
      <c r="AH27" s="69"/>
      <c r="AI27" s="69"/>
      <c r="AJ27" s="69"/>
      <c r="AK27" s="69"/>
      <c r="AL27" s="69"/>
      <c r="AM27" s="69"/>
      <c r="AN27" s="69"/>
      <c r="AO27" s="69"/>
      <c r="AP27" s="69"/>
      <c r="AQ27" s="69"/>
      <c r="AR27" s="69"/>
      <c r="AS27" s="69"/>
      <c r="AT27" s="69"/>
      <c r="AU27" s="69"/>
      <c r="AV27" s="69"/>
      <c r="AW27" s="69"/>
      <c r="AX27" s="69"/>
      <c r="AY27" s="69"/>
      <c r="AZ27" s="69"/>
      <c r="BA27" s="69"/>
      <c r="BB27" s="69"/>
      <c r="BC27" s="69"/>
      <c r="BD27" s="69"/>
      <c r="BE27" s="69"/>
      <c r="BF27" s="69"/>
      <c r="BG27" s="69"/>
      <c r="BH27" s="69"/>
      <c r="BI27" s="69"/>
      <c r="BJ27" s="69"/>
      <c r="BK27" s="69"/>
      <c r="BL27" s="69"/>
      <c r="BM27" s="69"/>
      <c r="BN27" s="69"/>
      <c r="BO27" s="69"/>
      <c r="BP27" s="69"/>
      <c r="BQ27" s="69"/>
      <c r="BR27" s="69"/>
      <c r="BS27" s="69"/>
      <c r="BT27" s="69"/>
      <c r="BU27" s="69"/>
      <c r="BV27" s="69"/>
      <c r="BW27" s="69"/>
      <c r="BX27" s="69"/>
      <c r="BY27" s="69"/>
      <c r="BZ27" s="69"/>
      <c r="CA27" s="69"/>
      <c r="CB27" s="69"/>
      <c r="CC27" s="69"/>
      <c r="CD27" s="69"/>
      <c r="CE27" s="69"/>
      <c r="CF27" s="69"/>
      <c r="CG27" s="69"/>
      <c r="CH27" s="69"/>
      <c r="CI27" s="69"/>
      <c r="CJ27" s="69"/>
      <c r="CK27" s="69"/>
      <c r="CL27" s="69"/>
      <c r="CM27" s="69"/>
      <c r="CN27" s="69"/>
      <c r="CO27" s="69"/>
      <c r="CP27" s="69"/>
      <c r="CQ27" s="69"/>
      <c r="CR27" s="69"/>
      <c r="CS27" s="69"/>
      <c r="CT27" s="69"/>
      <c r="CU27" s="69"/>
      <c r="CV27" s="69"/>
      <c r="CW27" s="69"/>
      <c r="CX27" s="69"/>
      <c r="CY27" s="69"/>
      <c r="CZ27" s="69"/>
      <c r="DA27" s="69"/>
      <c r="DB27" s="69"/>
      <c r="DC27" s="69"/>
      <c r="DD27" s="69"/>
      <c r="DE27" s="69"/>
      <c r="DF27" s="69"/>
      <c r="DG27" s="69"/>
      <c r="DH27" s="69"/>
      <c r="DI27" s="69"/>
      <c r="DJ27" s="69"/>
      <c r="DK27" s="69"/>
      <c r="DL27" s="69"/>
      <c r="DM27" s="69"/>
      <c r="DN27" s="69"/>
      <c r="DO27" s="69"/>
      <c r="DP27" s="69"/>
      <c r="DQ27" s="69"/>
      <c r="DR27" s="69"/>
      <c r="DS27" s="69"/>
      <c r="DT27" s="69"/>
      <c r="DU27" s="69"/>
      <c r="DV27" s="69"/>
      <c r="DW27" s="69"/>
      <c r="DX27" s="69"/>
      <c r="DY27" s="69"/>
      <c r="DZ27" s="69"/>
      <c r="EA27" s="69"/>
      <c r="EB27" s="69"/>
      <c r="EC27" s="69"/>
      <c r="ED27" s="69"/>
      <c r="EE27" s="69"/>
      <c r="EF27" s="69"/>
      <c r="EG27" s="69"/>
      <c r="EH27" s="69"/>
      <c r="EI27" s="69"/>
      <c r="EJ27" s="69"/>
      <c r="EK27" s="69"/>
      <c r="EL27" s="69"/>
      <c r="EM27" s="69"/>
      <c r="EN27" s="69"/>
      <c r="EO27" s="69"/>
      <c r="EP27" s="69"/>
      <c r="EQ27" s="69"/>
      <c r="ER27" s="69"/>
      <c r="ES27" s="69"/>
      <c r="ET27" s="69"/>
      <c r="EU27" s="69"/>
      <c r="EV27" s="69"/>
      <c r="EW27" s="69"/>
      <c r="EX27" s="69"/>
      <c r="EY27" s="69"/>
      <c r="EZ27" s="69"/>
      <c r="FA27" s="69"/>
      <c r="FB27" s="69"/>
      <c r="FC27" s="69"/>
      <c r="FD27" s="69"/>
      <c r="FE27" s="69"/>
      <c r="FF27" s="69"/>
      <c r="FG27" s="69"/>
      <c r="FH27" s="69"/>
      <c r="FI27" s="69"/>
      <c r="FJ27" s="69"/>
      <c r="FK27" s="69"/>
      <c r="FL27" s="69"/>
      <c r="FM27" s="69"/>
      <c r="FN27" s="69"/>
      <c r="FO27" s="69"/>
      <c r="FP27" s="69"/>
      <c r="FQ27" s="69"/>
      <c r="FR27" s="69"/>
      <c r="FS27" s="69"/>
      <c r="FT27" s="69"/>
      <c r="FU27" s="69"/>
      <c r="FV27" s="69"/>
      <c r="FW27" s="69"/>
      <c r="FX27" s="69"/>
      <c r="FY27" s="69"/>
      <c r="FZ27" s="69"/>
      <c r="GA27" s="69"/>
      <c r="GB27" s="69"/>
      <c r="GC27" s="69"/>
      <c r="GD27" s="69"/>
      <c r="GE27" s="69"/>
      <c r="GF27" s="69"/>
      <c r="GG27" s="165"/>
    </row>
    <row r="28" spans="1:189" s="66" customFormat="1" x14ac:dyDescent="0.2">
      <c r="A28"/>
      <c r="B28" s="82">
        <v>40848</v>
      </c>
      <c r="C28" s="68">
        <v>0</v>
      </c>
      <c r="D28" s="68">
        <v>0</v>
      </c>
      <c r="E28" s="68">
        <v>0</v>
      </c>
      <c r="F28" s="94">
        <v>0</v>
      </c>
      <c r="G28" s="68">
        <v>0</v>
      </c>
      <c r="H28" s="68">
        <v>0</v>
      </c>
      <c r="I28" s="68">
        <v>0</v>
      </c>
      <c r="J28" s="68">
        <v>0</v>
      </c>
      <c r="K28" s="68">
        <v>0</v>
      </c>
      <c r="L28" s="68">
        <v>0</v>
      </c>
      <c r="M28" s="68">
        <v>0</v>
      </c>
      <c r="N28" s="68">
        <v>0</v>
      </c>
      <c r="O28" s="68">
        <v>0</v>
      </c>
      <c r="P28" s="68">
        <v>0</v>
      </c>
      <c r="Q28" s="68">
        <v>0</v>
      </c>
      <c r="R28" s="67"/>
      <c r="S28" s="68"/>
      <c r="T28" s="69"/>
      <c r="U28" s="69"/>
      <c r="V28" s="69"/>
      <c r="W28" s="69"/>
      <c r="X28" s="69"/>
      <c r="Y28" s="69"/>
      <c r="Z28" s="69"/>
      <c r="AA28" s="69"/>
      <c r="AB28" s="69"/>
      <c r="AC28" s="69"/>
      <c r="AD28" s="69"/>
      <c r="AE28" s="69"/>
      <c r="AF28" s="69"/>
      <c r="AG28" s="69"/>
      <c r="AH28" s="69"/>
      <c r="AI28" s="69"/>
      <c r="AJ28" s="69"/>
      <c r="AK28" s="69"/>
      <c r="AL28" s="69"/>
      <c r="AM28" s="69"/>
      <c r="AN28" s="69"/>
      <c r="AO28" s="69"/>
      <c r="AP28" s="69"/>
      <c r="AQ28" s="69"/>
      <c r="AR28" s="69"/>
      <c r="AS28" s="69"/>
      <c r="AT28" s="69"/>
      <c r="AU28" s="69"/>
      <c r="AV28" s="69"/>
      <c r="AW28" s="69"/>
      <c r="AX28" s="69"/>
      <c r="AY28" s="69"/>
      <c r="AZ28" s="69"/>
      <c r="BA28" s="69"/>
      <c r="BB28" s="69"/>
      <c r="BC28" s="69"/>
      <c r="BD28" s="69"/>
      <c r="BE28" s="69"/>
      <c r="BF28" s="69"/>
      <c r="BG28" s="69"/>
      <c r="BH28" s="69"/>
      <c r="BI28" s="69"/>
      <c r="BJ28" s="69"/>
      <c r="BK28" s="69"/>
      <c r="BL28" s="69"/>
      <c r="BM28" s="69"/>
      <c r="BN28" s="69"/>
      <c r="BO28" s="69"/>
      <c r="BP28" s="69"/>
      <c r="BQ28" s="69"/>
      <c r="BR28" s="69"/>
      <c r="BS28" s="69"/>
      <c r="BT28" s="69"/>
      <c r="BU28" s="69"/>
      <c r="BV28" s="69"/>
      <c r="BW28" s="69"/>
      <c r="BX28" s="69"/>
      <c r="BY28" s="69"/>
      <c r="BZ28" s="69"/>
      <c r="CA28" s="69"/>
      <c r="CB28" s="69"/>
      <c r="CC28" s="69"/>
      <c r="CD28" s="69"/>
      <c r="CE28" s="69"/>
      <c r="CF28" s="69"/>
      <c r="CG28" s="69"/>
      <c r="CH28" s="69"/>
      <c r="CI28" s="69"/>
      <c r="CJ28" s="69"/>
      <c r="CK28" s="69"/>
      <c r="CL28" s="69"/>
      <c r="CM28" s="69"/>
      <c r="CN28" s="69"/>
      <c r="CO28" s="69"/>
      <c r="CP28" s="69"/>
      <c r="CQ28" s="69"/>
      <c r="CR28" s="69"/>
      <c r="CS28" s="69"/>
      <c r="CT28" s="69"/>
      <c r="CU28" s="69"/>
      <c r="CV28" s="69"/>
      <c r="CW28" s="69"/>
      <c r="CX28" s="69"/>
      <c r="CY28" s="69"/>
      <c r="CZ28" s="69"/>
      <c r="DA28" s="69"/>
      <c r="DB28" s="69"/>
      <c r="DC28" s="69"/>
      <c r="DD28" s="69"/>
      <c r="DE28" s="69"/>
      <c r="DF28" s="69"/>
      <c r="DG28" s="69"/>
      <c r="DH28" s="69"/>
      <c r="DI28" s="69"/>
      <c r="DJ28" s="69"/>
      <c r="DK28" s="69"/>
      <c r="DL28" s="69"/>
      <c r="DM28" s="69"/>
      <c r="DN28" s="69"/>
      <c r="DO28" s="69"/>
      <c r="DP28" s="69"/>
      <c r="DQ28" s="69"/>
      <c r="DR28" s="69"/>
      <c r="DS28" s="69"/>
      <c r="DT28" s="69"/>
      <c r="DU28" s="69"/>
      <c r="DV28" s="69"/>
      <c r="DW28" s="69"/>
      <c r="DX28" s="69"/>
      <c r="DY28" s="69"/>
      <c r="DZ28" s="69"/>
      <c r="EA28" s="69"/>
      <c r="EB28" s="69"/>
      <c r="EC28" s="69"/>
      <c r="ED28" s="69"/>
      <c r="EE28" s="69"/>
      <c r="EF28" s="69"/>
      <c r="EG28" s="69"/>
      <c r="EH28" s="69"/>
      <c r="EI28" s="69"/>
      <c r="EJ28" s="69"/>
      <c r="EK28" s="69"/>
      <c r="EL28" s="69"/>
      <c r="EM28" s="69"/>
      <c r="EN28" s="69"/>
      <c r="EO28" s="69"/>
      <c r="EP28" s="69"/>
      <c r="EQ28" s="69"/>
      <c r="ER28" s="69"/>
      <c r="ES28" s="69"/>
      <c r="ET28" s="69"/>
      <c r="EU28" s="69"/>
      <c r="EV28" s="69"/>
      <c r="EW28" s="69"/>
      <c r="EX28" s="69"/>
      <c r="EY28" s="69"/>
      <c r="EZ28" s="69"/>
      <c r="FA28" s="69"/>
      <c r="FB28" s="69"/>
      <c r="FC28" s="69"/>
      <c r="FD28" s="69"/>
      <c r="FE28" s="69"/>
      <c r="FF28" s="69"/>
      <c r="FG28" s="69"/>
      <c r="FH28" s="69"/>
      <c r="FI28" s="69"/>
      <c r="FJ28" s="69"/>
      <c r="FK28" s="69"/>
      <c r="FL28" s="69"/>
      <c r="FM28" s="69"/>
      <c r="FN28" s="69"/>
      <c r="FO28" s="69"/>
      <c r="FP28" s="69"/>
      <c r="FQ28" s="69"/>
      <c r="FR28" s="69"/>
      <c r="FS28" s="69"/>
      <c r="FT28" s="69"/>
      <c r="FU28" s="69"/>
      <c r="FV28" s="69"/>
      <c r="FW28" s="69"/>
      <c r="FX28" s="69"/>
      <c r="FY28" s="69"/>
      <c r="FZ28" s="69"/>
      <c r="GA28" s="69"/>
      <c r="GB28" s="69"/>
      <c r="GC28" s="69"/>
      <c r="GD28" s="69"/>
      <c r="GE28" s="69"/>
      <c r="GF28" s="69"/>
      <c r="GG28" s="165"/>
    </row>
    <row r="29" spans="1:189" s="66" customFormat="1" x14ac:dyDescent="0.2">
      <c r="A29"/>
      <c r="B29" s="82">
        <v>40878</v>
      </c>
      <c r="C29" s="68">
        <v>0</v>
      </c>
      <c r="D29" s="68">
        <v>0</v>
      </c>
      <c r="E29" s="68">
        <v>0</v>
      </c>
      <c r="F29" s="68">
        <v>0</v>
      </c>
      <c r="G29" s="94">
        <v>0</v>
      </c>
      <c r="H29" s="68">
        <v>0</v>
      </c>
      <c r="I29" s="68">
        <v>0</v>
      </c>
      <c r="J29" s="68">
        <v>0</v>
      </c>
      <c r="K29" s="68">
        <v>0</v>
      </c>
      <c r="L29" s="68">
        <v>0</v>
      </c>
      <c r="M29" s="68">
        <v>0</v>
      </c>
      <c r="N29" s="68">
        <v>0</v>
      </c>
      <c r="O29" s="68">
        <v>0</v>
      </c>
      <c r="P29" s="68">
        <v>0</v>
      </c>
      <c r="Q29" s="68">
        <v>0</v>
      </c>
      <c r="R29" s="68">
        <v>0</v>
      </c>
      <c r="S29" s="67"/>
      <c r="T29" s="68"/>
      <c r="U29" s="69"/>
      <c r="V29" s="69"/>
      <c r="W29" s="69"/>
      <c r="X29" s="69"/>
      <c r="Y29" s="69"/>
      <c r="Z29" s="69"/>
      <c r="AA29" s="69"/>
      <c r="AB29" s="69"/>
      <c r="AC29" s="69"/>
      <c r="AD29" s="69"/>
      <c r="AE29" s="69"/>
      <c r="AF29" s="69"/>
      <c r="AG29" s="69"/>
      <c r="AH29" s="69"/>
      <c r="AI29" s="69"/>
      <c r="AJ29" s="69"/>
      <c r="AK29" s="69"/>
      <c r="AL29" s="69"/>
      <c r="AM29" s="69"/>
      <c r="AN29" s="69"/>
      <c r="AO29" s="69"/>
      <c r="AP29" s="69"/>
      <c r="AQ29" s="69"/>
      <c r="AR29" s="69"/>
      <c r="AS29" s="69"/>
      <c r="AT29" s="69"/>
      <c r="AU29" s="69"/>
      <c r="AV29" s="69"/>
      <c r="AW29" s="69"/>
      <c r="AX29" s="69"/>
      <c r="AY29" s="69"/>
      <c r="AZ29" s="69"/>
      <c r="BA29" s="69"/>
      <c r="BB29" s="69"/>
      <c r="BC29" s="69"/>
      <c r="BD29" s="69"/>
      <c r="BE29" s="69"/>
      <c r="BF29" s="69"/>
      <c r="BG29" s="69"/>
      <c r="BH29" s="69"/>
      <c r="BI29" s="69"/>
      <c r="BJ29" s="69"/>
      <c r="BK29" s="69"/>
      <c r="BL29" s="69"/>
      <c r="BM29" s="69"/>
      <c r="BN29" s="69"/>
      <c r="BO29" s="69"/>
      <c r="BP29" s="69"/>
      <c r="BQ29" s="69"/>
      <c r="BR29" s="69"/>
      <c r="BS29" s="69"/>
      <c r="BT29" s="69"/>
      <c r="BU29" s="69"/>
      <c r="BV29" s="69"/>
      <c r="BW29" s="69"/>
      <c r="BX29" s="69"/>
      <c r="BY29" s="69"/>
      <c r="BZ29" s="69"/>
      <c r="CA29" s="69"/>
      <c r="CB29" s="69"/>
      <c r="CC29" s="69"/>
      <c r="CD29" s="69"/>
      <c r="CE29" s="69"/>
      <c r="CF29" s="69"/>
      <c r="CG29" s="69"/>
      <c r="CH29" s="69"/>
      <c r="CI29" s="69"/>
      <c r="CJ29" s="69"/>
      <c r="CK29" s="69"/>
      <c r="CL29" s="69"/>
      <c r="CM29" s="69"/>
      <c r="CN29" s="69"/>
      <c r="CO29" s="69"/>
      <c r="CP29" s="69"/>
      <c r="CQ29" s="69"/>
      <c r="CR29" s="69"/>
      <c r="CS29" s="69"/>
      <c r="CT29" s="69"/>
      <c r="CU29" s="69"/>
      <c r="CV29" s="69"/>
      <c r="CW29" s="69"/>
      <c r="CX29" s="69"/>
      <c r="CY29" s="69"/>
      <c r="CZ29" s="69"/>
      <c r="DA29" s="69"/>
      <c r="DB29" s="69"/>
      <c r="DC29" s="69"/>
      <c r="DD29" s="69"/>
      <c r="DE29" s="69"/>
      <c r="DF29" s="69"/>
      <c r="DG29" s="69"/>
      <c r="DH29" s="69"/>
      <c r="DI29" s="69"/>
      <c r="DJ29" s="69"/>
      <c r="DK29" s="69"/>
      <c r="DL29" s="69"/>
      <c r="DM29" s="69"/>
      <c r="DN29" s="69"/>
      <c r="DO29" s="69"/>
      <c r="DP29" s="69"/>
      <c r="DQ29" s="69"/>
      <c r="DR29" s="69"/>
      <c r="DS29" s="69"/>
      <c r="DT29" s="69"/>
      <c r="DU29" s="69"/>
      <c r="DV29" s="69"/>
      <c r="DW29" s="69"/>
      <c r="DX29" s="69"/>
      <c r="DY29" s="69"/>
      <c r="DZ29" s="69"/>
      <c r="EA29" s="69"/>
      <c r="EB29" s="69"/>
      <c r="EC29" s="69"/>
      <c r="ED29" s="69"/>
      <c r="EE29" s="69"/>
      <c r="EF29" s="69"/>
      <c r="EG29" s="69"/>
      <c r="EH29" s="69"/>
      <c r="EI29" s="69"/>
      <c r="EJ29" s="69"/>
      <c r="EK29" s="69"/>
      <c r="EL29" s="69"/>
      <c r="EM29" s="69"/>
      <c r="EN29" s="69"/>
      <c r="EO29" s="69"/>
      <c r="EP29" s="69"/>
      <c r="EQ29" s="69"/>
      <c r="ER29" s="69"/>
      <c r="ES29" s="69"/>
      <c r="ET29" s="69"/>
      <c r="EU29" s="69"/>
      <c r="EV29" s="69"/>
      <c r="EW29" s="69"/>
      <c r="EX29" s="69"/>
      <c r="EY29" s="69"/>
      <c r="EZ29" s="69"/>
      <c r="FA29" s="69"/>
      <c r="FB29" s="69"/>
      <c r="FC29" s="69"/>
      <c r="FD29" s="69"/>
      <c r="FE29" s="69"/>
      <c r="FF29" s="69"/>
      <c r="FG29" s="69"/>
      <c r="FH29" s="69"/>
      <c r="FI29" s="69"/>
      <c r="FJ29" s="69"/>
      <c r="FK29" s="69"/>
      <c r="FL29" s="69"/>
      <c r="FM29" s="69"/>
      <c r="FN29" s="69"/>
      <c r="FO29" s="69"/>
      <c r="FP29" s="69"/>
      <c r="FQ29" s="69"/>
      <c r="FR29" s="69"/>
      <c r="FS29" s="69"/>
      <c r="FT29" s="69"/>
      <c r="FU29" s="69"/>
      <c r="FV29" s="69"/>
      <c r="FW29" s="69"/>
      <c r="FX29" s="69"/>
      <c r="FY29" s="69"/>
      <c r="FZ29" s="69"/>
      <c r="GA29" s="69"/>
      <c r="GB29" s="69"/>
      <c r="GC29" s="69"/>
      <c r="GD29" s="69"/>
      <c r="GE29" s="69"/>
      <c r="GF29" s="69"/>
      <c r="GG29" s="165"/>
    </row>
    <row r="30" spans="1:189" s="66" customFormat="1" x14ac:dyDescent="0.2">
      <c r="A30"/>
      <c r="B30" s="82">
        <v>40909</v>
      </c>
      <c r="C30" s="68">
        <v>0</v>
      </c>
      <c r="D30" s="68">
        <v>0</v>
      </c>
      <c r="E30" s="68">
        <v>0</v>
      </c>
      <c r="F30" s="68">
        <v>0</v>
      </c>
      <c r="G30" s="68">
        <v>0</v>
      </c>
      <c r="H30" s="94">
        <v>0</v>
      </c>
      <c r="I30" s="68">
        <v>0</v>
      </c>
      <c r="J30" s="68">
        <v>0</v>
      </c>
      <c r="K30" s="68">
        <v>0</v>
      </c>
      <c r="L30" s="68">
        <v>0</v>
      </c>
      <c r="M30" s="68">
        <v>0</v>
      </c>
      <c r="N30" s="68">
        <v>0</v>
      </c>
      <c r="O30" s="68">
        <v>0</v>
      </c>
      <c r="P30" s="68">
        <v>0</v>
      </c>
      <c r="Q30" s="68">
        <v>0</v>
      </c>
      <c r="R30" s="68">
        <v>0</v>
      </c>
      <c r="S30" s="68">
        <v>0</v>
      </c>
      <c r="T30" s="67"/>
      <c r="U30" s="68"/>
      <c r="V30" s="69"/>
      <c r="W30" s="69"/>
      <c r="X30" s="69"/>
      <c r="Y30" s="69"/>
      <c r="Z30" s="69"/>
      <c r="AA30" s="69"/>
      <c r="AB30" s="69"/>
      <c r="AC30" s="69"/>
      <c r="AD30" s="69"/>
      <c r="AE30" s="69"/>
      <c r="AF30" s="69"/>
      <c r="AG30" s="69"/>
      <c r="AH30" s="69"/>
      <c r="AI30" s="69"/>
      <c r="AJ30" s="69"/>
      <c r="AK30" s="69"/>
      <c r="AL30" s="69"/>
      <c r="AM30" s="69"/>
      <c r="AN30" s="69"/>
      <c r="AO30" s="69"/>
      <c r="AP30" s="69"/>
      <c r="AQ30" s="69"/>
      <c r="AR30" s="69"/>
      <c r="AS30" s="69"/>
      <c r="AT30" s="69"/>
      <c r="AU30" s="69"/>
      <c r="AV30" s="69"/>
      <c r="AW30" s="69"/>
      <c r="AX30" s="69"/>
      <c r="AY30" s="69"/>
      <c r="AZ30" s="69"/>
      <c r="BA30" s="69"/>
      <c r="BB30" s="69"/>
      <c r="BC30" s="69"/>
      <c r="BD30" s="69"/>
      <c r="BE30" s="69"/>
      <c r="BF30" s="69"/>
      <c r="BG30" s="69"/>
      <c r="BH30" s="69"/>
      <c r="BI30" s="69"/>
      <c r="BJ30" s="69"/>
      <c r="BK30" s="69"/>
      <c r="BL30" s="69"/>
      <c r="BM30" s="69"/>
      <c r="BN30" s="69"/>
      <c r="BO30" s="69"/>
      <c r="BP30" s="69"/>
      <c r="BQ30" s="69"/>
      <c r="BR30" s="69"/>
      <c r="BS30" s="69"/>
      <c r="BT30" s="69"/>
      <c r="BU30" s="69"/>
      <c r="BV30" s="69"/>
      <c r="BW30" s="69"/>
      <c r="BX30" s="69"/>
      <c r="BY30" s="69"/>
      <c r="BZ30" s="69"/>
      <c r="CA30" s="69"/>
      <c r="CB30" s="69"/>
      <c r="CC30" s="69"/>
      <c r="CD30" s="69"/>
      <c r="CE30" s="69"/>
      <c r="CF30" s="69"/>
      <c r="CG30" s="69"/>
      <c r="CH30" s="69"/>
      <c r="CI30" s="69"/>
      <c r="CJ30" s="69"/>
      <c r="CK30" s="69"/>
      <c r="CL30" s="69"/>
      <c r="CM30" s="69"/>
      <c r="CN30" s="69"/>
      <c r="CO30" s="69"/>
      <c r="CP30" s="69"/>
      <c r="CQ30" s="69"/>
      <c r="CR30" s="69"/>
      <c r="CS30" s="69"/>
      <c r="CT30" s="69"/>
      <c r="CU30" s="69"/>
      <c r="CV30" s="69"/>
      <c r="CW30" s="69"/>
      <c r="CX30" s="69"/>
      <c r="CY30" s="69"/>
      <c r="CZ30" s="69"/>
      <c r="DA30" s="69"/>
      <c r="DB30" s="69"/>
      <c r="DC30" s="69"/>
      <c r="DD30" s="69"/>
      <c r="DE30" s="69"/>
      <c r="DF30" s="69"/>
      <c r="DG30" s="69"/>
      <c r="DH30" s="69"/>
      <c r="DI30" s="69"/>
      <c r="DJ30" s="69"/>
      <c r="DK30" s="69"/>
      <c r="DL30" s="69"/>
      <c r="DM30" s="69"/>
      <c r="DN30" s="69"/>
      <c r="DO30" s="69"/>
      <c r="DP30" s="69"/>
      <c r="DQ30" s="69"/>
      <c r="DR30" s="69"/>
      <c r="DS30" s="69"/>
      <c r="DT30" s="69"/>
      <c r="DU30" s="69"/>
      <c r="DV30" s="69"/>
      <c r="DW30" s="69"/>
      <c r="DX30" s="69"/>
      <c r="DY30" s="69"/>
      <c r="DZ30" s="69"/>
      <c r="EA30" s="69"/>
      <c r="EB30" s="69"/>
      <c r="EC30" s="69"/>
      <c r="ED30" s="69"/>
      <c r="EE30" s="69"/>
      <c r="EF30" s="69"/>
      <c r="EG30" s="69"/>
      <c r="EH30" s="69"/>
      <c r="EI30" s="69"/>
      <c r="EJ30" s="69"/>
      <c r="EK30" s="69"/>
      <c r="EL30" s="69"/>
      <c r="EM30" s="69"/>
      <c r="EN30" s="69"/>
      <c r="EO30" s="69"/>
      <c r="EP30" s="69"/>
      <c r="EQ30" s="69"/>
      <c r="ER30" s="69"/>
      <c r="ES30" s="69"/>
      <c r="ET30" s="69"/>
      <c r="EU30" s="69"/>
      <c r="EV30" s="69"/>
      <c r="EW30" s="69"/>
      <c r="EX30" s="69"/>
      <c r="EY30" s="69"/>
      <c r="EZ30" s="69"/>
      <c r="FA30" s="69"/>
      <c r="FB30" s="69"/>
      <c r="FC30" s="69"/>
      <c r="FD30" s="69"/>
      <c r="FE30" s="69"/>
      <c r="FF30" s="69"/>
      <c r="FG30" s="69"/>
      <c r="FH30" s="69"/>
      <c r="FI30" s="69"/>
      <c r="FJ30" s="69"/>
      <c r="FK30" s="69"/>
      <c r="FL30" s="69"/>
      <c r="FM30" s="69"/>
      <c r="FN30" s="69"/>
      <c r="FO30" s="69"/>
      <c r="FP30" s="69"/>
      <c r="FQ30" s="69"/>
      <c r="FR30" s="69"/>
      <c r="FS30" s="69"/>
      <c r="FT30" s="69"/>
      <c r="FU30" s="69"/>
      <c r="FV30" s="69"/>
      <c r="FW30" s="69"/>
      <c r="FX30" s="69"/>
      <c r="FY30" s="69"/>
      <c r="FZ30" s="69"/>
      <c r="GA30" s="69"/>
      <c r="GB30" s="69"/>
      <c r="GC30" s="69"/>
      <c r="GD30" s="69"/>
      <c r="GE30" s="69"/>
      <c r="GF30" s="69"/>
      <c r="GG30" s="165"/>
    </row>
    <row r="31" spans="1:189" s="66" customFormat="1" x14ac:dyDescent="0.2">
      <c r="A31"/>
      <c r="B31" s="82">
        <v>40940</v>
      </c>
      <c r="C31" s="68">
        <v>0</v>
      </c>
      <c r="D31" s="68">
        <v>0</v>
      </c>
      <c r="E31" s="68">
        <v>0</v>
      </c>
      <c r="F31" s="68">
        <v>0</v>
      </c>
      <c r="G31" s="68">
        <v>0</v>
      </c>
      <c r="H31" s="68">
        <v>0</v>
      </c>
      <c r="I31" s="94">
        <v>0</v>
      </c>
      <c r="J31" s="68">
        <v>0</v>
      </c>
      <c r="K31" s="68">
        <v>0</v>
      </c>
      <c r="L31" s="68">
        <v>0</v>
      </c>
      <c r="M31" s="68">
        <v>0</v>
      </c>
      <c r="N31" s="68">
        <v>0</v>
      </c>
      <c r="O31" s="68">
        <v>0</v>
      </c>
      <c r="P31" s="68">
        <v>0</v>
      </c>
      <c r="Q31" s="68">
        <v>0</v>
      </c>
      <c r="R31" s="68">
        <v>0</v>
      </c>
      <c r="S31" s="68">
        <v>0</v>
      </c>
      <c r="T31" s="68">
        <v>0</v>
      </c>
      <c r="U31" s="67"/>
      <c r="V31" s="68"/>
      <c r="W31" s="69"/>
      <c r="X31" s="69"/>
      <c r="Y31" s="69"/>
      <c r="Z31" s="69"/>
      <c r="AA31" s="69"/>
      <c r="AB31" s="69"/>
      <c r="AC31" s="69"/>
      <c r="AD31" s="69"/>
      <c r="AE31" s="69"/>
      <c r="AF31" s="69"/>
      <c r="AG31" s="69"/>
      <c r="AH31" s="69"/>
      <c r="AI31" s="69"/>
      <c r="AJ31" s="69"/>
      <c r="AK31" s="69"/>
      <c r="AL31" s="69"/>
      <c r="AM31" s="69"/>
      <c r="AN31" s="69"/>
      <c r="AO31" s="69"/>
      <c r="AP31" s="69"/>
      <c r="AQ31" s="69"/>
      <c r="AR31" s="69"/>
      <c r="AS31" s="69"/>
      <c r="AT31" s="69"/>
      <c r="AU31" s="69"/>
      <c r="AV31" s="69"/>
      <c r="AW31" s="69"/>
      <c r="AX31" s="69"/>
      <c r="AY31" s="69"/>
      <c r="AZ31" s="69"/>
      <c r="BA31" s="69"/>
      <c r="BB31" s="69"/>
      <c r="BC31" s="69"/>
      <c r="BD31" s="69"/>
      <c r="BE31" s="69"/>
      <c r="BF31" s="69"/>
      <c r="BG31" s="69"/>
      <c r="BH31" s="69"/>
      <c r="BI31" s="69"/>
      <c r="BJ31" s="69"/>
      <c r="BK31" s="69"/>
      <c r="BL31" s="69"/>
      <c r="BM31" s="69"/>
      <c r="BN31" s="69"/>
      <c r="BO31" s="69"/>
      <c r="BP31" s="69"/>
      <c r="BQ31" s="69"/>
      <c r="BR31" s="69"/>
      <c r="BS31" s="69"/>
      <c r="BT31" s="69"/>
      <c r="BU31" s="69"/>
      <c r="BV31" s="69"/>
      <c r="BW31" s="69"/>
      <c r="BX31" s="69"/>
      <c r="BY31" s="69"/>
      <c r="BZ31" s="69"/>
      <c r="CA31" s="69"/>
      <c r="CB31" s="69"/>
      <c r="CC31" s="69"/>
      <c r="CD31" s="69"/>
      <c r="CE31" s="69"/>
      <c r="CF31" s="69"/>
      <c r="CG31" s="69"/>
      <c r="CH31" s="69"/>
      <c r="CI31" s="69"/>
      <c r="CJ31" s="69"/>
      <c r="CK31" s="69"/>
      <c r="CL31" s="69"/>
      <c r="CM31" s="69"/>
      <c r="CN31" s="69"/>
      <c r="CO31" s="69"/>
      <c r="CP31" s="69"/>
      <c r="CQ31" s="69"/>
      <c r="CR31" s="69"/>
      <c r="CS31" s="69"/>
      <c r="CT31" s="69"/>
      <c r="CU31" s="69"/>
      <c r="CV31" s="69"/>
      <c r="CW31" s="69"/>
      <c r="CX31" s="69"/>
      <c r="CY31" s="69"/>
      <c r="CZ31" s="69"/>
      <c r="DA31" s="69"/>
      <c r="DB31" s="69"/>
      <c r="DC31" s="69"/>
      <c r="DD31" s="69"/>
      <c r="DE31" s="69"/>
      <c r="DF31" s="69"/>
      <c r="DG31" s="69"/>
      <c r="DH31" s="69"/>
      <c r="DI31" s="69"/>
      <c r="DJ31" s="69"/>
      <c r="DK31" s="69"/>
      <c r="DL31" s="69"/>
      <c r="DM31" s="69"/>
      <c r="DN31" s="69"/>
      <c r="DO31" s="69"/>
      <c r="DP31" s="69"/>
      <c r="DQ31" s="69"/>
      <c r="DR31" s="69"/>
      <c r="DS31" s="69"/>
      <c r="DT31" s="69"/>
      <c r="DU31" s="69"/>
      <c r="DV31" s="69"/>
      <c r="DW31" s="69"/>
      <c r="DX31" s="69"/>
      <c r="DY31" s="69"/>
      <c r="DZ31" s="69"/>
      <c r="EA31" s="69"/>
      <c r="EB31" s="69"/>
      <c r="EC31" s="69"/>
      <c r="ED31" s="69"/>
      <c r="EE31" s="69"/>
      <c r="EF31" s="69"/>
      <c r="EG31" s="69"/>
      <c r="EH31" s="69"/>
      <c r="EI31" s="69"/>
      <c r="EJ31" s="69"/>
      <c r="EK31" s="69"/>
      <c r="EL31" s="69"/>
      <c r="EM31" s="69"/>
      <c r="EN31" s="69"/>
      <c r="EO31" s="69"/>
      <c r="EP31" s="69"/>
      <c r="EQ31" s="69"/>
      <c r="ER31" s="69"/>
      <c r="ES31" s="69"/>
      <c r="ET31" s="69"/>
      <c r="EU31" s="69"/>
      <c r="EV31" s="69"/>
      <c r="EW31" s="69"/>
      <c r="EX31" s="69"/>
      <c r="EY31" s="69"/>
      <c r="EZ31" s="69"/>
      <c r="FA31" s="69"/>
      <c r="FB31" s="69"/>
      <c r="FC31" s="69"/>
      <c r="FD31" s="69"/>
      <c r="FE31" s="69"/>
      <c r="FF31" s="69"/>
      <c r="FG31" s="69"/>
      <c r="FH31" s="69"/>
      <c r="FI31" s="69"/>
      <c r="FJ31" s="69"/>
      <c r="FK31" s="69"/>
      <c r="FL31" s="69"/>
      <c r="FM31" s="69"/>
      <c r="FN31" s="69"/>
      <c r="FO31" s="69"/>
      <c r="FP31" s="69"/>
      <c r="FQ31" s="69"/>
      <c r="FR31" s="69"/>
      <c r="FS31" s="69"/>
      <c r="FT31" s="69"/>
      <c r="FU31" s="69"/>
      <c r="FV31" s="69"/>
      <c r="FW31" s="69"/>
      <c r="FX31" s="69"/>
      <c r="FY31" s="69"/>
      <c r="FZ31" s="69"/>
      <c r="GA31" s="69"/>
      <c r="GB31" s="69"/>
      <c r="GC31" s="69"/>
      <c r="GD31" s="69"/>
      <c r="GE31" s="69"/>
      <c r="GF31" s="69"/>
      <c r="GG31" s="165"/>
    </row>
    <row r="32" spans="1:189" s="66" customFormat="1" x14ac:dyDescent="0.2">
      <c r="A32"/>
      <c r="B32" s="82">
        <v>40969</v>
      </c>
      <c r="C32" s="68">
        <v>0</v>
      </c>
      <c r="D32" s="68">
        <v>0</v>
      </c>
      <c r="E32" s="68">
        <v>0</v>
      </c>
      <c r="F32" s="68">
        <v>0</v>
      </c>
      <c r="G32" s="68">
        <v>0</v>
      </c>
      <c r="H32" s="68">
        <v>0</v>
      </c>
      <c r="I32" s="68">
        <v>0</v>
      </c>
      <c r="J32" s="94">
        <v>0</v>
      </c>
      <c r="K32" s="68">
        <v>0</v>
      </c>
      <c r="L32" s="68">
        <v>0</v>
      </c>
      <c r="M32" s="68">
        <v>0</v>
      </c>
      <c r="N32" s="68">
        <v>0</v>
      </c>
      <c r="O32" s="68">
        <v>0</v>
      </c>
      <c r="P32" s="68">
        <v>0</v>
      </c>
      <c r="Q32" s="68">
        <v>0</v>
      </c>
      <c r="R32" s="68">
        <v>0</v>
      </c>
      <c r="S32" s="68">
        <v>0</v>
      </c>
      <c r="T32" s="68">
        <v>0</v>
      </c>
      <c r="U32" s="68">
        <v>0</v>
      </c>
      <c r="V32" s="67"/>
      <c r="W32" s="68"/>
      <c r="X32" s="69"/>
      <c r="Y32" s="69"/>
      <c r="Z32" s="69"/>
      <c r="AA32" s="69"/>
      <c r="AB32" s="69"/>
      <c r="AC32" s="69"/>
      <c r="AD32" s="69"/>
      <c r="AE32" s="69"/>
      <c r="AF32" s="69"/>
      <c r="AG32" s="69"/>
      <c r="AH32" s="69"/>
      <c r="AI32" s="69"/>
      <c r="AJ32" s="69"/>
      <c r="AK32" s="69"/>
      <c r="AL32" s="69"/>
      <c r="AM32" s="69"/>
      <c r="AN32" s="69"/>
      <c r="AO32" s="69"/>
      <c r="AP32" s="69"/>
      <c r="AQ32" s="69"/>
      <c r="AR32" s="69"/>
      <c r="AS32" s="69"/>
      <c r="AT32" s="69"/>
      <c r="AU32" s="69"/>
      <c r="AV32" s="69"/>
      <c r="AW32" s="69"/>
      <c r="AX32" s="69"/>
      <c r="AY32" s="69"/>
      <c r="AZ32" s="69"/>
      <c r="BA32" s="69"/>
      <c r="BB32" s="69"/>
      <c r="BC32" s="69"/>
      <c r="BD32" s="69"/>
      <c r="BE32" s="69"/>
      <c r="BF32" s="69"/>
      <c r="BG32" s="69"/>
      <c r="BH32" s="69"/>
      <c r="BI32" s="69"/>
      <c r="BJ32" s="69"/>
      <c r="BK32" s="69"/>
      <c r="BL32" s="69"/>
      <c r="BM32" s="69"/>
      <c r="BN32" s="69"/>
      <c r="BO32" s="69"/>
      <c r="BP32" s="69"/>
      <c r="BQ32" s="69"/>
      <c r="BR32" s="69"/>
      <c r="BS32" s="69"/>
      <c r="BT32" s="69"/>
      <c r="BU32" s="69"/>
      <c r="BV32" s="69"/>
      <c r="BW32" s="69"/>
      <c r="BX32" s="69"/>
      <c r="BY32" s="69"/>
      <c r="BZ32" s="69"/>
      <c r="CA32" s="69"/>
      <c r="CB32" s="69"/>
      <c r="CC32" s="69"/>
      <c r="CD32" s="69"/>
      <c r="CE32" s="69"/>
      <c r="CF32" s="69"/>
      <c r="CG32" s="69"/>
      <c r="CH32" s="69"/>
      <c r="CI32" s="69"/>
      <c r="CJ32" s="69"/>
      <c r="CK32" s="69"/>
      <c r="CL32" s="69"/>
      <c r="CM32" s="69"/>
      <c r="CN32" s="69"/>
      <c r="CO32" s="69"/>
      <c r="CP32" s="69"/>
      <c r="CQ32" s="69"/>
      <c r="CR32" s="69"/>
      <c r="CS32" s="69"/>
      <c r="CT32" s="69"/>
      <c r="CU32" s="69"/>
      <c r="CV32" s="69"/>
      <c r="CW32" s="69"/>
      <c r="CX32" s="69"/>
      <c r="CY32" s="69"/>
      <c r="CZ32" s="69"/>
      <c r="DA32" s="69"/>
      <c r="DB32" s="69"/>
      <c r="DC32" s="69"/>
      <c r="DD32" s="69"/>
      <c r="DE32" s="69"/>
      <c r="DF32" s="69"/>
      <c r="DG32" s="69"/>
      <c r="DH32" s="69"/>
      <c r="DI32" s="69"/>
      <c r="DJ32" s="69"/>
      <c r="DK32" s="69"/>
      <c r="DL32" s="69"/>
      <c r="DM32" s="69"/>
      <c r="DN32" s="69"/>
      <c r="DO32" s="69"/>
      <c r="DP32" s="69"/>
      <c r="DQ32" s="69"/>
      <c r="DR32" s="69"/>
      <c r="DS32" s="69"/>
      <c r="DT32" s="69"/>
      <c r="DU32" s="69"/>
      <c r="DV32" s="69"/>
      <c r="DW32" s="69"/>
      <c r="DX32" s="69"/>
      <c r="DY32" s="69"/>
      <c r="DZ32" s="69"/>
      <c r="EA32" s="69"/>
      <c r="EB32" s="69"/>
      <c r="EC32" s="69"/>
      <c r="ED32" s="69"/>
      <c r="EE32" s="69"/>
      <c r="EF32" s="69"/>
      <c r="EG32" s="69"/>
      <c r="EH32" s="69"/>
      <c r="EI32" s="69"/>
      <c r="EJ32" s="69"/>
      <c r="EK32" s="69"/>
      <c r="EL32" s="69"/>
      <c r="EM32" s="69"/>
      <c r="EN32" s="69"/>
      <c r="EO32" s="69"/>
      <c r="EP32" s="69"/>
      <c r="EQ32" s="69"/>
      <c r="ER32" s="69"/>
      <c r="ES32" s="69"/>
      <c r="ET32" s="69"/>
      <c r="EU32" s="69"/>
      <c r="EV32" s="69"/>
      <c r="EW32" s="69"/>
      <c r="EX32" s="69"/>
      <c r="EY32" s="69"/>
      <c r="EZ32" s="69"/>
      <c r="FA32" s="69"/>
      <c r="FB32" s="69"/>
      <c r="FC32" s="69"/>
      <c r="FD32" s="69"/>
      <c r="FE32" s="69"/>
      <c r="FF32" s="69"/>
      <c r="FG32" s="69"/>
      <c r="FH32" s="69"/>
      <c r="FI32" s="69"/>
      <c r="FJ32" s="69"/>
      <c r="FK32" s="69"/>
      <c r="FL32" s="69"/>
      <c r="FM32" s="69"/>
      <c r="FN32" s="69"/>
      <c r="FO32" s="69"/>
      <c r="FP32" s="69"/>
      <c r="FQ32" s="69"/>
      <c r="FR32" s="69"/>
      <c r="FS32" s="69"/>
      <c r="FT32" s="69"/>
      <c r="FU32" s="69"/>
      <c r="FV32" s="69"/>
      <c r="FW32" s="69"/>
      <c r="FX32" s="69"/>
      <c r="FY32" s="69"/>
      <c r="FZ32" s="69"/>
      <c r="GA32" s="69"/>
      <c r="GB32" s="69"/>
      <c r="GC32" s="69"/>
      <c r="GD32" s="69"/>
      <c r="GE32" s="69"/>
      <c r="GF32" s="69"/>
      <c r="GG32" s="165"/>
    </row>
    <row r="33" spans="1:189" s="66" customFormat="1" x14ac:dyDescent="0.2">
      <c r="A33"/>
      <c r="B33" s="82">
        <v>41000</v>
      </c>
      <c r="C33" s="68">
        <v>0</v>
      </c>
      <c r="D33" s="68">
        <v>0</v>
      </c>
      <c r="E33" s="68">
        <v>0</v>
      </c>
      <c r="F33" s="68">
        <v>0</v>
      </c>
      <c r="G33" s="68">
        <v>0</v>
      </c>
      <c r="H33" s="68">
        <v>0</v>
      </c>
      <c r="I33" s="68">
        <v>0</v>
      </c>
      <c r="J33" s="68">
        <v>0</v>
      </c>
      <c r="K33" s="94">
        <v>0</v>
      </c>
      <c r="L33" s="68">
        <v>0</v>
      </c>
      <c r="M33" s="68">
        <v>0</v>
      </c>
      <c r="N33" s="68">
        <v>0</v>
      </c>
      <c r="O33" s="68">
        <v>0</v>
      </c>
      <c r="P33" s="68">
        <v>0</v>
      </c>
      <c r="Q33" s="68">
        <v>0</v>
      </c>
      <c r="R33" s="68">
        <v>0</v>
      </c>
      <c r="S33" s="68">
        <v>0</v>
      </c>
      <c r="T33" s="68">
        <v>0</v>
      </c>
      <c r="U33" s="68">
        <v>0</v>
      </c>
      <c r="V33" s="68">
        <v>0</v>
      </c>
      <c r="W33" s="67"/>
      <c r="X33" s="68"/>
      <c r="Y33" s="69"/>
      <c r="Z33" s="69"/>
      <c r="AA33" s="69"/>
      <c r="AB33" s="69"/>
      <c r="AC33" s="69"/>
      <c r="AD33" s="69"/>
      <c r="AE33" s="69"/>
      <c r="AF33" s="69"/>
      <c r="AG33" s="69"/>
      <c r="AH33" s="69"/>
      <c r="AI33" s="69"/>
      <c r="AJ33" s="69"/>
      <c r="AK33" s="69"/>
      <c r="AL33" s="69"/>
      <c r="AM33" s="69"/>
      <c r="AN33" s="69"/>
      <c r="AO33" s="69"/>
      <c r="AP33" s="69"/>
      <c r="AQ33" s="69"/>
      <c r="AR33" s="69"/>
      <c r="AS33" s="69"/>
      <c r="AT33" s="69"/>
      <c r="AU33" s="69"/>
      <c r="AV33" s="69"/>
      <c r="AW33" s="69"/>
      <c r="AX33" s="69"/>
      <c r="AY33" s="69"/>
      <c r="AZ33" s="69"/>
      <c r="BA33" s="69"/>
      <c r="BB33" s="69"/>
      <c r="BC33" s="69"/>
      <c r="BD33" s="69"/>
      <c r="BE33" s="69"/>
      <c r="BF33" s="69"/>
      <c r="BG33" s="69"/>
      <c r="BH33" s="69"/>
      <c r="BI33" s="69"/>
      <c r="BJ33" s="69"/>
      <c r="BK33" s="69"/>
      <c r="BL33" s="69"/>
      <c r="BM33" s="69"/>
      <c r="BN33" s="69"/>
      <c r="BO33" s="69"/>
      <c r="BP33" s="69"/>
      <c r="BQ33" s="69"/>
      <c r="BR33" s="69"/>
      <c r="BS33" s="69"/>
      <c r="BT33" s="69"/>
      <c r="BU33" s="69"/>
      <c r="BV33" s="69"/>
      <c r="BW33" s="69"/>
      <c r="BX33" s="69"/>
      <c r="BY33" s="69"/>
      <c r="BZ33" s="69"/>
      <c r="CA33" s="69"/>
      <c r="CB33" s="69"/>
      <c r="CC33" s="69"/>
      <c r="CD33" s="69"/>
      <c r="CE33" s="69"/>
      <c r="CF33" s="69"/>
      <c r="CG33" s="69"/>
      <c r="CH33" s="69"/>
      <c r="CI33" s="69"/>
      <c r="CJ33" s="69"/>
      <c r="CK33" s="69"/>
      <c r="CL33" s="69"/>
      <c r="CM33" s="69"/>
      <c r="CN33" s="69"/>
      <c r="CO33" s="69"/>
      <c r="CP33" s="69"/>
      <c r="CQ33" s="69"/>
      <c r="CR33" s="69"/>
      <c r="CS33" s="69"/>
      <c r="CT33" s="69"/>
      <c r="CU33" s="69"/>
      <c r="CV33" s="69"/>
      <c r="CW33" s="69"/>
      <c r="CX33" s="69"/>
      <c r="CY33" s="69"/>
      <c r="CZ33" s="69"/>
      <c r="DA33" s="69"/>
      <c r="DB33" s="69"/>
      <c r="DC33" s="69"/>
      <c r="DD33" s="69"/>
      <c r="DE33" s="69"/>
      <c r="DF33" s="69"/>
      <c r="DG33" s="69"/>
      <c r="DH33" s="69"/>
      <c r="DI33" s="69"/>
      <c r="DJ33" s="69"/>
      <c r="DK33" s="69"/>
      <c r="DL33" s="69"/>
      <c r="DM33" s="69"/>
      <c r="DN33" s="69"/>
      <c r="DO33" s="69"/>
      <c r="DP33" s="69"/>
      <c r="DQ33" s="69"/>
      <c r="DR33" s="69"/>
      <c r="DS33" s="69"/>
      <c r="DT33" s="69"/>
      <c r="DU33" s="69"/>
      <c r="DV33" s="69"/>
      <c r="DW33" s="69"/>
      <c r="DX33" s="69"/>
      <c r="DY33" s="69"/>
      <c r="DZ33" s="69"/>
      <c r="EA33" s="69"/>
      <c r="EB33" s="69"/>
      <c r="EC33" s="69"/>
      <c r="ED33" s="69"/>
      <c r="EE33" s="69"/>
      <c r="EF33" s="69"/>
      <c r="EG33" s="69"/>
      <c r="EH33" s="69"/>
      <c r="EI33" s="69"/>
      <c r="EJ33" s="69"/>
      <c r="EK33" s="69"/>
      <c r="EL33" s="69"/>
      <c r="EM33" s="69"/>
      <c r="EN33" s="69"/>
      <c r="EO33" s="69"/>
      <c r="EP33" s="69"/>
      <c r="EQ33" s="69"/>
      <c r="ER33" s="69"/>
      <c r="ES33" s="69"/>
      <c r="ET33" s="69"/>
      <c r="EU33" s="69"/>
      <c r="EV33" s="69"/>
      <c r="EW33" s="69"/>
      <c r="EX33" s="69"/>
      <c r="EY33" s="69"/>
      <c r="EZ33" s="69"/>
      <c r="FA33" s="69"/>
      <c r="FB33" s="69"/>
      <c r="FC33" s="69"/>
      <c r="FD33" s="69"/>
      <c r="FE33" s="69"/>
      <c r="FF33" s="69"/>
      <c r="FG33" s="69"/>
      <c r="FH33" s="69"/>
      <c r="FI33" s="69"/>
      <c r="FJ33" s="69"/>
      <c r="FK33" s="69"/>
      <c r="FL33" s="69"/>
      <c r="FM33" s="69"/>
      <c r="FN33" s="69"/>
      <c r="FO33" s="69"/>
      <c r="FP33" s="69"/>
      <c r="FQ33" s="69"/>
      <c r="FR33" s="69"/>
      <c r="FS33" s="69"/>
      <c r="FT33" s="69"/>
      <c r="FU33" s="69"/>
      <c r="FV33" s="69"/>
      <c r="FW33" s="69"/>
      <c r="FX33" s="69"/>
      <c r="FY33" s="69"/>
      <c r="FZ33" s="69"/>
      <c r="GA33" s="69"/>
      <c r="GB33" s="69"/>
      <c r="GC33" s="69"/>
      <c r="GD33" s="69"/>
      <c r="GE33" s="69"/>
      <c r="GF33" s="69"/>
      <c r="GG33" s="165"/>
    </row>
    <row r="34" spans="1:189" s="66" customFormat="1" x14ac:dyDescent="0.2">
      <c r="A34"/>
      <c r="B34" s="82">
        <v>41030</v>
      </c>
      <c r="C34" s="68">
        <v>0</v>
      </c>
      <c r="D34" s="68">
        <v>0</v>
      </c>
      <c r="E34" s="68">
        <v>0</v>
      </c>
      <c r="F34" s="68">
        <v>0</v>
      </c>
      <c r="G34" s="68">
        <v>0</v>
      </c>
      <c r="H34" s="68">
        <v>0</v>
      </c>
      <c r="I34" s="68">
        <v>0</v>
      </c>
      <c r="J34" s="68">
        <v>0</v>
      </c>
      <c r="K34" s="68">
        <v>0</v>
      </c>
      <c r="L34" s="94">
        <v>0</v>
      </c>
      <c r="M34" s="68">
        <v>0</v>
      </c>
      <c r="N34" s="68">
        <v>0</v>
      </c>
      <c r="O34" s="68">
        <v>0</v>
      </c>
      <c r="P34" s="68">
        <v>0</v>
      </c>
      <c r="Q34" s="68">
        <v>0</v>
      </c>
      <c r="R34" s="68">
        <v>0</v>
      </c>
      <c r="S34" s="68">
        <v>0</v>
      </c>
      <c r="T34" s="68">
        <v>0</v>
      </c>
      <c r="U34" s="68">
        <v>0</v>
      </c>
      <c r="V34" s="68">
        <v>0</v>
      </c>
      <c r="W34" s="68">
        <v>0</v>
      </c>
      <c r="X34" s="67"/>
      <c r="Y34" s="68"/>
      <c r="Z34" s="69"/>
      <c r="AA34" s="69"/>
      <c r="AB34" s="69"/>
      <c r="AC34" s="69"/>
      <c r="AD34" s="69"/>
      <c r="AE34" s="69"/>
      <c r="AF34" s="69"/>
      <c r="AG34" s="69"/>
      <c r="AH34" s="69"/>
      <c r="AI34" s="69"/>
      <c r="AJ34" s="69"/>
      <c r="AK34" s="69"/>
      <c r="AL34" s="69"/>
      <c r="AM34" s="69"/>
      <c r="AN34" s="69"/>
      <c r="AO34" s="69"/>
      <c r="AP34" s="69"/>
      <c r="AQ34" s="69"/>
      <c r="AR34" s="69"/>
      <c r="AS34" s="69"/>
      <c r="AT34" s="69"/>
      <c r="AU34" s="69"/>
      <c r="AV34" s="69"/>
      <c r="AW34" s="69"/>
      <c r="AX34" s="69"/>
      <c r="AY34" s="69"/>
      <c r="AZ34" s="69"/>
      <c r="BA34" s="69"/>
      <c r="BB34" s="69"/>
      <c r="BC34" s="69"/>
      <c r="BD34" s="69"/>
      <c r="BE34" s="69"/>
      <c r="BF34" s="69"/>
      <c r="BG34" s="69"/>
      <c r="BH34" s="69"/>
      <c r="BI34" s="69"/>
      <c r="BJ34" s="69"/>
      <c r="BK34" s="69"/>
      <c r="BL34" s="69"/>
      <c r="BM34" s="69"/>
      <c r="BN34" s="69"/>
      <c r="BO34" s="69"/>
      <c r="BP34" s="69"/>
      <c r="BQ34" s="69"/>
      <c r="BR34" s="69"/>
      <c r="BS34" s="69"/>
      <c r="BT34" s="69"/>
      <c r="BU34" s="69"/>
      <c r="BV34" s="69"/>
      <c r="BW34" s="69"/>
      <c r="BX34" s="69"/>
      <c r="BY34" s="69"/>
      <c r="BZ34" s="69"/>
      <c r="CA34" s="69"/>
      <c r="CB34" s="69"/>
      <c r="CC34" s="69"/>
      <c r="CD34" s="69"/>
      <c r="CE34" s="69"/>
      <c r="CF34" s="69"/>
      <c r="CG34" s="69"/>
      <c r="CH34" s="69"/>
      <c r="CI34" s="69"/>
      <c r="CJ34" s="69"/>
      <c r="CK34" s="69"/>
      <c r="CL34" s="69"/>
      <c r="CM34" s="69"/>
      <c r="CN34" s="69"/>
      <c r="CO34" s="69"/>
      <c r="CP34" s="69"/>
      <c r="CQ34" s="69"/>
      <c r="CR34" s="69"/>
      <c r="CS34" s="69"/>
      <c r="CT34" s="69"/>
      <c r="CU34" s="69"/>
      <c r="CV34" s="69"/>
      <c r="CW34" s="69"/>
      <c r="CX34" s="69"/>
      <c r="CY34" s="69"/>
      <c r="CZ34" s="69"/>
      <c r="DA34" s="69"/>
      <c r="DB34" s="69"/>
      <c r="DC34" s="69"/>
      <c r="DD34" s="69"/>
      <c r="DE34" s="69"/>
      <c r="DF34" s="69"/>
      <c r="DG34" s="69"/>
      <c r="DH34" s="69"/>
      <c r="DI34" s="69"/>
      <c r="DJ34" s="69"/>
      <c r="DK34" s="69"/>
      <c r="DL34" s="69"/>
      <c r="DM34" s="69"/>
      <c r="DN34" s="69"/>
      <c r="DO34" s="69"/>
      <c r="DP34" s="69"/>
      <c r="DQ34" s="69"/>
      <c r="DR34" s="69"/>
      <c r="DS34" s="69"/>
      <c r="DT34" s="69"/>
      <c r="DU34" s="69"/>
      <c r="DV34" s="69"/>
      <c r="DW34" s="69"/>
      <c r="DX34" s="69"/>
      <c r="DY34" s="69"/>
      <c r="DZ34" s="69"/>
      <c r="EA34" s="69"/>
      <c r="EB34" s="69"/>
      <c r="EC34" s="69"/>
      <c r="ED34" s="69"/>
      <c r="EE34" s="69"/>
      <c r="EF34" s="69"/>
      <c r="EG34" s="69"/>
      <c r="EH34" s="69"/>
      <c r="EI34" s="69"/>
      <c r="EJ34" s="69"/>
      <c r="EK34" s="69"/>
      <c r="EL34" s="69"/>
      <c r="EM34" s="69"/>
      <c r="EN34" s="69"/>
      <c r="EO34" s="69"/>
      <c r="EP34" s="69"/>
      <c r="EQ34" s="69"/>
      <c r="ER34" s="69"/>
      <c r="ES34" s="69"/>
      <c r="ET34" s="69"/>
      <c r="EU34" s="69"/>
      <c r="EV34" s="69"/>
      <c r="EW34" s="69"/>
      <c r="EX34" s="69"/>
      <c r="EY34" s="69"/>
      <c r="EZ34" s="69"/>
      <c r="FA34" s="69"/>
      <c r="FB34" s="69"/>
      <c r="FC34" s="69"/>
      <c r="FD34" s="69"/>
      <c r="FE34" s="69"/>
      <c r="FF34" s="69"/>
      <c r="FG34" s="69"/>
      <c r="FH34" s="69"/>
      <c r="FI34" s="69"/>
      <c r="FJ34" s="69"/>
      <c r="FK34" s="69"/>
      <c r="FL34" s="69"/>
      <c r="FM34" s="69"/>
      <c r="FN34" s="69"/>
      <c r="FO34" s="69"/>
      <c r="FP34" s="69"/>
      <c r="FQ34" s="69"/>
      <c r="FR34" s="69"/>
      <c r="FS34" s="69"/>
      <c r="FT34" s="69"/>
      <c r="FU34" s="69"/>
      <c r="FV34" s="69"/>
      <c r="FW34" s="69"/>
      <c r="FX34" s="69"/>
      <c r="FY34" s="69"/>
      <c r="FZ34" s="69"/>
      <c r="GA34" s="69"/>
      <c r="GB34" s="69"/>
      <c r="GC34" s="69"/>
      <c r="GD34" s="69"/>
      <c r="GE34" s="69"/>
      <c r="GF34" s="69"/>
      <c r="GG34" s="165"/>
    </row>
    <row r="35" spans="1:189" s="66" customFormat="1" x14ac:dyDescent="0.2">
      <c r="A35"/>
      <c r="B35" s="82">
        <v>41061</v>
      </c>
      <c r="C35" s="68">
        <v>0</v>
      </c>
      <c r="D35" s="68">
        <v>0</v>
      </c>
      <c r="E35" s="68">
        <v>0</v>
      </c>
      <c r="F35" s="68">
        <v>0</v>
      </c>
      <c r="G35" s="68">
        <v>0</v>
      </c>
      <c r="H35" s="68">
        <v>0</v>
      </c>
      <c r="I35" s="68">
        <v>0</v>
      </c>
      <c r="J35" s="68">
        <v>0</v>
      </c>
      <c r="K35" s="68">
        <v>0</v>
      </c>
      <c r="L35" s="68">
        <v>0</v>
      </c>
      <c r="M35" s="94">
        <v>0</v>
      </c>
      <c r="N35" s="68">
        <v>0</v>
      </c>
      <c r="O35" s="68">
        <v>0</v>
      </c>
      <c r="P35" s="68">
        <v>0</v>
      </c>
      <c r="Q35" s="68">
        <v>0</v>
      </c>
      <c r="R35" s="68">
        <v>0</v>
      </c>
      <c r="S35" s="68">
        <v>0</v>
      </c>
      <c r="T35" s="68">
        <v>0</v>
      </c>
      <c r="U35" s="68">
        <v>0</v>
      </c>
      <c r="V35" s="68">
        <v>0</v>
      </c>
      <c r="W35" s="68">
        <v>0</v>
      </c>
      <c r="X35" s="68">
        <v>0</v>
      </c>
      <c r="Y35" s="67"/>
      <c r="Z35" s="68"/>
      <c r="AA35" s="69"/>
      <c r="AB35" s="69"/>
      <c r="AC35" s="69"/>
      <c r="AD35" s="69"/>
      <c r="AE35" s="69"/>
      <c r="AF35" s="69"/>
      <c r="AG35" s="69"/>
      <c r="AH35" s="69"/>
      <c r="AI35" s="69"/>
      <c r="AJ35" s="69"/>
      <c r="AK35" s="69"/>
      <c r="AL35" s="69"/>
      <c r="AM35" s="69"/>
      <c r="AN35" s="69"/>
      <c r="AO35" s="69"/>
      <c r="AP35" s="69"/>
      <c r="AQ35" s="69"/>
      <c r="AR35" s="69"/>
      <c r="AS35" s="69"/>
      <c r="AT35" s="69"/>
      <c r="AU35" s="69"/>
      <c r="AV35" s="69"/>
      <c r="AW35" s="69"/>
      <c r="AX35" s="69"/>
      <c r="AY35" s="69"/>
      <c r="AZ35" s="69"/>
      <c r="BA35" s="69"/>
      <c r="BB35" s="69"/>
      <c r="BC35" s="69"/>
      <c r="BD35" s="69"/>
      <c r="BE35" s="69"/>
      <c r="BF35" s="69"/>
      <c r="BG35" s="69"/>
      <c r="BH35" s="69"/>
      <c r="BI35" s="69"/>
      <c r="BJ35" s="69"/>
      <c r="BK35" s="69"/>
      <c r="BL35" s="69"/>
      <c r="BM35" s="69"/>
      <c r="BN35" s="69"/>
      <c r="BO35" s="69"/>
      <c r="BP35" s="69"/>
      <c r="BQ35" s="69"/>
      <c r="BR35" s="69"/>
      <c r="BS35" s="69"/>
      <c r="BT35" s="69"/>
      <c r="BU35" s="69"/>
      <c r="BV35" s="69"/>
      <c r="BW35" s="69"/>
      <c r="BX35" s="69"/>
      <c r="BY35" s="69"/>
      <c r="BZ35" s="69"/>
      <c r="CA35" s="69"/>
      <c r="CB35" s="69"/>
      <c r="CC35" s="69"/>
      <c r="CD35" s="69"/>
      <c r="CE35" s="69"/>
      <c r="CF35" s="69"/>
      <c r="CG35" s="69"/>
      <c r="CH35" s="69"/>
      <c r="CI35" s="69"/>
      <c r="CJ35" s="69"/>
      <c r="CK35" s="69"/>
      <c r="CL35" s="69"/>
      <c r="CM35" s="69"/>
      <c r="CN35" s="69"/>
      <c r="CO35" s="69"/>
      <c r="CP35" s="69"/>
      <c r="CQ35" s="69"/>
      <c r="CR35" s="69"/>
      <c r="CS35" s="69"/>
      <c r="CT35" s="69"/>
      <c r="CU35" s="69"/>
      <c r="CV35" s="69"/>
      <c r="CW35" s="69"/>
      <c r="CX35" s="69"/>
      <c r="CY35" s="69"/>
      <c r="CZ35" s="69"/>
      <c r="DA35" s="69"/>
      <c r="DB35" s="69"/>
      <c r="DC35" s="69"/>
      <c r="DD35" s="69"/>
      <c r="DE35" s="69"/>
      <c r="DF35" s="69"/>
      <c r="DG35" s="69"/>
      <c r="DH35" s="69"/>
      <c r="DI35" s="69"/>
      <c r="DJ35" s="69"/>
      <c r="DK35" s="69"/>
      <c r="DL35" s="69"/>
      <c r="DM35" s="69"/>
      <c r="DN35" s="69"/>
      <c r="DO35" s="69"/>
      <c r="DP35" s="69"/>
      <c r="DQ35" s="69"/>
      <c r="DR35" s="69"/>
      <c r="DS35" s="69"/>
      <c r="DT35" s="69"/>
      <c r="DU35" s="69"/>
      <c r="DV35" s="69"/>
      <c r="DW35" s="69"/>
      <c r="DX35" s="69"/>
      <c r="DY35" s="69"/>
      <c r="DZ35" s="69"/>
      <c r="EA35" s="69"/>
      <c r="EB35" s="69"/>
      <c r="EC35" s="69"/>
      <c r="ED35" s="69"/>
      <c r="EE35" s="69"/>
      <c r="EF35" s="69"/>
      <c r="EG35" s="69"/>
      <c r="EH35" s="69"/>
      <c r="EI35" s="69"/>
      <c r="EJ35" s="69"/>
      <c r="EK35" s="69"/>
      <c r="EL35" s="69"/>
      <c r="EM35" s="69"/>
      <c r="EN35" s="69"/>
      <c r="EO35" s="69"/>
      <c r="EP35" s="69"/>
      <c r="EQ35" s="69"/>
      <c r="ER35" s="69"/>
      <c r="ES35" s="69"/>
      <c r="ET35" s="69"/>
      <c r="EU35" s="69"/>
      <c r="EV35" s="69"/>
      <c r="EW35" s="69"/>
      <c r="EX35" s="69"/>
      <c r="EY35" s="69"/>
      <c r="EZ35" s="69"/>
      <c r="FA35" s="69"/>
      <c r="FB35" s="69"/>
      <c r="FC35" s="69"/>
      <c r="FD35" s="69"/>
      <c r="FE35" s="69"/>
      <c r="FF35" s="69"/>
      <c r="FG35" s="69"/>
      <c r="FH35" s="69"/>
      <c r="FI35" s="69"/>
      <c r="FJ35" s="69"/>
      <c r="FK35" s="69"/>
      <c r="FL35" s="69"/>
      <c r="FM35" s="69"/>
      <c r="FN35" s="69"/>
      <c r="FO35" s="69"/>
      <c r="FP35" s="69"/>
      <c r="FQ35" s="69"/>
      <c r="FR35" s="69"/>
      <c r="FS35" s="69"/>
      <c r="FT35" s="69"/>
      <c r="FU35" s="69"/>
      <c r="FV35" s="69"/>
      <c r="FW35" s="69"/>
      <c r="FX35" s="69"/>
      <c r="FY35" s="69"/>
      <c r="FZ35" s="69"/>
      <c r="GA35" s="69"/>
      <c r="GB35" s="69"/>
      <c r="GC35" s="69"/>
      <c r="GD35" s="69"/>
      <c r="GE35" s="69"/>
      <c r="GF35" s="69"/>
      <c r="GG35" s="165"/>
    </row>
    <row r="36" spans="1:189" s="66" customFormat="1" x14ac:dyDescent="0.2">
      <c r="A36"/>
      <c r="B36" s="82">
        <v>41091</v>
      </c>
      <c r="C36" s="68">
        <v>0</v>
      </c>
      <c r="D36" s="68">
        <v>0</v>
      </c>
      <c r="E36" s="68">
        <v>0</v>
      </c>
      <c r="F36" s="68">
        <v>0</v>
      </c>
      <c r="G36" s="68">
        <v>0</v>
      </c>
      <c r="H36" s="68">
        <v>0</v>
      </c>
      <c r="I36" s="68">
        <v>0</v>
      </c>
      <c r="J36" s="68">
        <v>0</v>
      </c>
      <c r="K36" s="68">
        <v>0</v>
      </c>
      <c r="L36" s="68">
        <v>0</v>
      </c>
      <c r="M36" s="68">
        <v>0</v>
      </c>
      <c r="N36" s="94">
        <v>0</v>
      </c>
      <c r="O36" s="68">
        <v>0</v>
      </c>
      <c r="P36" s="68">
        <v>0</v>
      </c>
      <c r="Q36" s="68">
        <v>0</v>
      </c>
      <c r="R36" s="68">
        <v>0</v>
      </c>
      <c r="S36" s="68">
        <v>0</v>
      </c>
      <c r="T36" s="68">
        <v>0</v>
      </c>
      <c r="U36" s="68">
        <v>0</v>
      </c>
      <c r="V36" s="68">
        <v>0</v>
      </c>
      <c r="W36" s="68">
        <v>0</v>
      </c>
      <c r="X36" s="68">
        <v>0</v>
      </c>
      <c r="Y36" s="68">
        <v>0</v>
      </c>
      <c r="Z36" s="67"/>
      <c r="AA36" s="68"/>
      <c r="AB36" s="69"/>
      <c r="AC36" s="69"/>
      <c r="AD36" s="69"/>
      <c r="AE36" s="69"/>
      <c r="AF36" s="69"/>
      <c r="AG36" s="69"/>
      <c r="AH36" s="69"/>
      <c r="AI36" s="69"/>
      <c r="AJ36" s="69"/>
      <c r="AK36" s="69"/>
      <c r="AL36" s="69"/>
      <c r="AM36" s="69"/>
      <c r="AN36" s="69"/>
      <c r="AO36" s="69"/>
      <c r="AP36" s="69"/>
      <c r="AQ36" s="69"/>
      <c r="AR36" s="69"/>
      <c r="AS36" s="69"/>
      <c r="AT36" s="69"/>
      <c r="AU36" s="69"/>
      <c r="AV36" s="69"/>
      <c r="AW36" s="69"/>
      <c r="AX36" s="69"/>
      <c r="AY36" s="69"/>
      <c r="AZ36" s="69"/>
      <c r="BA36" s="69"/>
      <c r="BB36" s="69"/>
      <c r="BC36" s="69"/>
      <c r="BD36" s="69"/>
      <c r="BE36" s="69"/>
      <c r="BF36" s="69"/>
      <c r="BG36" s="69"/>
      <c r="BH36" s="69"/>
      <c r="BI36" s="69"/>
      <c r="BJ36" s="69"/>
      <c r="BK36" s="69"/>
      <c r="BL36" s="69"/>
      <c r="BM36" s="69"/>
      <c r="BN36" s="69"/>
      <c r="BO36" s="69"/>
      <c r="BP36" s="69"/>
      <c r="BQ36" s="69"/>
      <c r="BR36" s="69"/>
      <c r="BS36" s="69"/>
      <c r="BT36" s="69"/>
      <c r="BU36" s="69"/>
      <c r="BV36" s="69"/>
      <c r="BW36" s="69"/>
      <c r="BX36" s="69"/>
      <c r="BY36" s="69"/>
      <c r="BZ36" s="69"/>
      <c r="CA36" s="69"/>
      <c r="CB36" s="69"/>
      <c r="CC36" s="69"/>
      <c r="CD36" s="69"/>
      <c r="CE36" s="69"/>
      <c r="CF36" s="69"/>
      <c r="CG36" s="69"/>
      <c r="CH36" s="69"/>
      <c r="CI36" s="69"/>
      <c r="CJ36" s="69"/>
      <c r="CK36" s="69"/>
      <c r="CL36" s="69"/>
      <c r="CM36" s="69"/>
      <c r="CN36" s="69"/>
      <c r="CO36" s="69"/>
      <c r="CP36" s="69"/>
      <c r="CQ36" s="69"/>
      <c r="CR36" s="69"/>
      <c r="CS36" s="69"/>
      <c r="CT36" s="69"/>
      <c r="CU36" s="69"/>
      <c r="CV36" s="69"/>
      <c r="CW36" s="69"/>
      <c r="CX36" s="69"/>
      <c r="CY36" s="69"/>
      <c r="CZ36" s="69"/>
      <c r="DA36" s="69"/>
      <c r="DB36" s="69"/>
      <c r="DC36" s="69"/>
      <c r="DD36" s="69"/>
      <c r="DE36" s="69"/>
      <c r="DF36" s="69"/>
      <c r="DG36" s="69"/>
      <c r="DH36" s="69"/>
      <c r="DI36" s="69"/>
      <c r="DJ36" s="69"/>
      <c r="DK36" s="69"/>
      <c r="DL36" s="69"/>
      <c r="DM36" s="69"/>
      <c r="DN36" s="69"/>
      <c r="DO36" s="69"/>
      <c r="DP36" s="69"/>
      <c r="DQ36" s="69"/>
      <c r="DR36" s="69"/>
      <c r="DS36" s="69"/>
      <c r="DT36" s="69"/>
      <c r="DU36" s="69"/>
      <c r="DV36" s="69"/>
      <c r="DW36" s="69"/>
      <c r="DX36" s="69"/>
      <c r="DY36" s="69"/>
      <c r="DZ36" s="69"/>
      <c r="EA36" s="69"/>
      <c r="EB36" s="69"/>
      <c r="EC36" s="69"/>
      <c r="ED36" s="69"/>
      <c r="EE36" s="69"/>
      <c r="EF36" s="69"/>
      <c r="EG36" s="69"/>
      <c r="EH36" s="69"/>
      <c r="EI36" s="69"/>
      <c r="EJ36" s="69"/>
      <c r="EK36" s="69"/>
      <c r="EL36" s="69"/>
      <c r="EM36" s="69"/>
      <c r="EN36" s="69"/>
      <c r="EO36" s="69"/>
      <c r="EP36" s="69"/>
      <c r="EQ36" s="69"/>
      <c r="ER36" s="69"/>
      <c r="ES36" s="69"/>
      <c r="ET36" s="69"/>
      <c r="EU36" s="69"/>
      <c r="EV36" s="69"/>
      <c r="EW36" s="69"/>
      <c r="EX36" s="69"/>
      <c r="EY36" s="69"/>
      <c r="EZ36" s="69"/>
      <c r="FA36" s="69"/>
      <c r="FB36" s="69"/>
      <c r="FC36" s="69"/>
      <c r="FD36" s="69"/>
      <c r="FE36" s="69"/>
      <c r="FF36" s="69"/>
      <c r="FG36" s="69"/>
      <c r="FH36" s="69"/>
      <c r="FI36" s="69"/>
      <c r="FJ36" s="69"/>
      <c r="FK36" s="69"/>
      <c r="FL36" s="69"/>
      <c r="FM36" s="69"/>
      <c r="FN36" s="69"/>
      <c r="FO36" s="69"/>
      <c r="FP36" s="69"/>
      <c r="FQ36" s="69"/>
      <c r="FR36" s="69"/>
      <c r="FS36" s="69"/>
      <c r="FT36" s="69"/>
      <c r="FU36" s="69"/>
      <c r="FV36" s="69"/>
      <c r="FW36" s="69"/>
      <c r="FX36" s="69"/>
      <c r="FY36" s="69"/>
      <c r="FZ36" s="69"/>
      <c r="GA36" s="69"/>
      <c r="GB36" s="69"/>
      <c r="GC36" s="69"/>
      <c r="GD36" s="69"/>
      <c r="GE36" s="69"/>
      <c r="GF36" s="69"/>
      <c r="GG36" s="165"/>
    </row>
    <row r="37" spans="1:189" s="66" customFormat="1" x14ac:dyDescent="0.2">
      <c r="A37"/>
      <c r="B37" s="82">
        <v>41122</v>
      </c>
      <c r="C37" s="68">
        <v>-9.9999999999994316E-2</v>
      </c>
      <c r="D37" s="68">
        <v>0</v>
      </c>
      <c r="E37" s="68">
        <v>0</v>
      </c>
      <c r="F37" s="68">
        <v>0</v>
      </c>
      <c r="G37" s="68">
        <v>0</v>
      </c>
      <c r="H37" s="68">
        <v>9.9999999999994316E-2</v>
      </c>
      <c r="I37" s="68">
        <v>0</v>
      </c>
      <c r="J37" s="68">
        <v>9.9999999999994316E-2</v>
      </c>
      <c r="K37" s="68">
        <v>0</v>
      </c>
      <c r="L37" s="68">
        <v>0</v>
      </c>
      <c r="M37" s="68">
        <v>0</v>
      </c>
      <c r="N37" s="68">
        <v>0</v>
      </c>
      <c r="O37" s="94">
        <v>-0.10000000000000853</v>
      </c>
      <c r="P37" s="68">
        <v>-9.9999999999994316E-2</v>
      </c>
      <c r="Q37" s="68">
        <v>-0.10000000000000853</v>
      </c>
      <c r="R37" s="68">
        <v>0</v>
      </c>
      <c r="S37" s="68">
        <v>0</v>
      </c>
      <c r="T37" s="68">
        <v>0</v>
      </c>
      <c r="U37" s="68">
        <v>0.10000000000000853</v>
      </c>
      <c r="V37" s="68">
        <v>0.10000000000000853</v>
      </c>
      <c r="W37" s="68">
        <v>9.9999999999994316E-2</v>
      </c>
      <c r="X37" s="68">
        <v>9.9999999999994316E-2</v>
      </c>
      <c r="Y37" s="68">
        <v>0.10000000000000853</v>
      </c>
      <c r="Z37" s="68">
        <v>9.9999999999994316E-2</v>
      </c>
      <c r="AA37" s="67"/>
      <c r="AB37" s="68"/>
      <c r="AC37" s="69"/>
      <c r="AD37" s="69"/>
      <c r="AE37" s="69"/>
      <c r="AF37" s="69"/>
      <c r="AG37" s="69"/>
      <c r="AH37" s="69"/>
      <c r="AI37" s="69"/>
      <c r="AJ37" s="69"/>
      <c r="AK37" s="69"/>
      <c r="AL37" s="69"/>
      <c r="AM37" s="69"/>
      <c r="AN37" s="69"/>
      <c r="AO37" s="69"/>
      <c r="AP37" s="69"/>
      <c r="AQ37" s="69"/>
      <c r="AR37" s="69"/>
      <c r="AS37" s="69"/>
      <c r="AT37" s="69"/>
      <c r="AU37" s="69"/>
      <c r="AV37" s="69"/>
      <c r="AW37" s="69"/>
      <c r="AX37" s="69"/>
      <c r="AY37" s="69"/>
      <c r="AZ37" s="69"/>
      <c r="BA37" s="69"/>
      <c r="BB37" s="69"/>
      <c r="BC37" s="69"/>
      <c r="BD37" s="69"/>
      <c r="BE37" s="69"/>
      <c r="BF37" s="69"/>
      <c r="BG37" s="69"/>
      <c r="BH37" s="69"/>
      <c r="BI37" s="69"/>
      <c r="BJ37" s="69"/>
      <c r="BK37" s="69"/>
      <c r="BL37" s="69"/>
      <c r="BM37" s="69"/>
      <c r="BN37" s="69"/>
      <c r="BO37" s="69"/>
      <c r="BP37" s="69"/>
      <c r="BQ37" s="69"/>
      <c r="BR37" s="69"/>
      <c r="BS37" s="69"/>
      <c r="BT37" s="69"/>
      <c r="BU37" s="69"/>
      <c r="BV37" s="69"/>
      <c r="BW37" s="69"/>
      <c r="BX37" s="69"/>
      <c r="BY37" s="69"/>
      <c r="BZ37" s="69"/>
      <c r="CA37" s="69"/>
      <c r="CB37" s="69"/>
      <c r="CC37" s="69"/>
      <c r="CD37" s="69"/>
      <c r="CE37" s="69"/>
      <c r="CF37" s="69"/>
      <c r="CG37" s="69"/>
      <c r="CH37" s="69"/>
      <c r="CI37" s="69"/>
      <c r="CJ37" s="69"/>
      <c r="CK37" s="69"/>
      <c r="CL37" s="69"/>
      <c r="CM37" s="69"/>
      <c r="CN37" s="69"/>
      <c r="CO37" s="69"/>
      <c r="CP37" s="69"/>
      <c r="CQ37" s="69"/>
      <c r="CR37" s="69"/>
      <c r="CS37" s="69"/>
      <c r="CT37" s="69"/>
      <c r="CU37" s="69"/>
      <c r="CV37" s="69"/>
      <c r="CW37" s="69"/>
      <c r="CX37" s="69"/>
      <c r="CY37" s="69"/>
      <c r="CZ37" s="69"/>
      <c r="DA37" s="69"/>
      <c r="DB37" s="69"/>
      <c r="DC37" s="69"/>
      <c r="DD37" s="69"/>
      <c r="DE37" s="69"/>
      <c r="DF37" s="69"/>
      <c r="DG37" s="69"/>
      <c r="DH37" s="69"/>
      <c r="DI37" s="69"/>
      <c r="DJ37" s="69"/>
      <c r="DK37" s="69"/>
      <c r="DL37" s="69"/>
      <c r="DM37" s="69"/>
      <c r="DN37" s="69"/>
      <c r="DO37" s="69"/>
      <c r="DP37" s="69"/>
      <c r="DQ37" s="69"/>
      <c r="DR37" s="69"/>
      <c r="DS37" s="69"/>
      <c r="DT37" s="69"/>
      <c r="DU37" s="69"/>
      <c r="DV37" s="69"/>
      <c r="DW37" s="69"/>
      <c r="DX37" s="69"/>
      <c r="DY37" s="69"/>
      <c r="DZ37" s="69"/>
      <c r="EA37" s="69"/>
      <c r="EB37" s="69"/>
      <c r="EC37" s="69"/>
      <c r="ED37" s="69"/>
      <c r="EE37" s="69"/>
      <c r="EF37" s="69"/>
      <c r="EG37" s="69"/>
      <c r="EH37" s="69"/>
      <c r="EI37" s="69"/>
      <c r="EJ37" s="69"/>
      <c r="EK37" s="69"/>
      <c r="EL37" s="69"/>
      <c r="EM37" s="69"/>
      <c r="EN37" s="69"/>
      <c r="EO37" s="69"/>
      <c r="EP37" s="69"/>
      <c r="EQ37" s="69"/>
      <c r="ER37" s="69"/>
      <c r="ES37" s="69"/>
      <c r="ET37" s="69"/>
      <c r="EU37" s="69"/>
      <c r="EV37" s="69"/>
      <c r="EW37" s="69"/>
      <c r="EX37" s="69"/>
      <c r="EY37" s="69"/>
      <c r="EZ37" s="69"/>
      <c r="FA37" s="69"/>
      <c r="FB37" s="69"/>
      <c r="FC37" s="69"/>
      <c r="FD37" s="69"/>
      <c r="FE37" s="69"/>
      <c r="FF37" s="69"/>
      <c r="FG37" s="69"/>
      <c r="FH37" s="69"/>
      <c r="FI37" s="69"/>
      <c r="FJ37" s="69"/>
      <c r="FK37" s="69"/>
      <c r="FL37" s="69"/>
      <c r="FM37" s="69"/>
      <c r="FN37" s="69"/>
      <c r="FO37" s="69"/>
      <c r="FP37" s="69"/>
      <c r="FQ37" s="69"/>
      <c r="FR37" s="69"/>
      <c r="FS37" s="69"/>
      <c r="FT37" s="69"/>
      <c r="FU37" s="69"/>
      <c r="FV37" s="69"/>
      <c r="FW37" s="69"/>
      <c r="FX37" s="69"/>
      <c r="FY37" s="69"/>
      <c r="FZ37" s="69"/>
      <c r="GA37" s="69"/>
      <c r="GB37" s="69"/>
      <c r="GC37" s="69"/>
      <c r="GD37" s="69"/>
      <c r="GE37" s="69"/>
      <c r="GF37" s="69"/>
      <c r="GG37" s="165"/>
    </row>
    <row r="38" spans="1:189" s="66" customFormat="1" x14ac:dyDescent="0.2">
      <c r="A38"/>
      <c r="B38" s="82">
        <v>41153</v>
      </c>
      <c r="C38" s="68">
        <v>0</v>
      </c>
      <c r="D38" s="68">
        <v>0</v>
      </c>
      <c r="E38" s="68">
        <v>0</v>
      </c>
      <c r="F38" s="68">
        <v>0</v>
      </c>
      <c r="G38" s="68">
        <v>0</v>
      </c>
      <c r="H38" s="68">
        <v>0</v>
      </c>
      <c r="I38" s="68">
        <v>0</v>
      </c>
      <c r="J38" s="68">
        <v>0</v>
      </c>
      <c r="K38" s="68">
        <v>0</v>
      </c>
      <c r="L38" s="68">
        <v>0</v>
      </c>
      <c r="M38" s="68">
        <v>0</v>
      </c>
      <c r="N38" s="68">
        <v>0</v>
      </c>
      <c r="O38" s="68">
        <v>0</v>
      </c>
      <c r="P38" s="94">
        <v>0</v>
      </c>
      <c r="Q38" s="68">
        <v>0</v>
      </c>
      <c r="R38" s="68">
        <v>0</v>
      </c>
      <c r="S38" s="68">
        <v>0</v>
      </c>
      <c r="T38" s="68">
        <v>0</v>
      </c>
      <c r="U38" s="68">
        <v>0</v>
      </c>
      <c r="V38" s="68">
        <v>0</v>
      </c>
      <c r="W38" s="68">
        <v>0</v>
      </c>
      <c r="X38" s="68">
        <v>0</v>
      </c>
      <c r="Y38" s="68">
        <v>0</v>
      </c>
      <c r="Z38" s="68">
        <v>0</v>
      </c>
      <c r="AA38" s="68">
        <v>0</v>
      </c>
      <c r="AB38" s="67"/>
      <c r="AC38" s="68"/>
      <c r="AD38" s="69"/>
      <c r="AE38" s="69"/>
      <c r="AF38" s="69"/>
      <c r="AG38" s="69"/>
      <c r="AH38" s="69"/>
      <c r="AI38" s="69"/>
      <c r="AJ38" s="69"/>
      <c r="AK38" s="69"/>
      <c r="AL38" s="69"/>
      <c r="AM38" s="69"/>
      <c r="AN38" s="69"/>
      <c r="AO38" s="69"/>
      <c r="AP38" s="69"/>
      <c r="AQ38" s="69"/>
      <c r="AR38" s="69"/>
      <c r="AS38" s="69"/>
      <c r="AT38" s="69"/>
      <c r="AU38" s="69"/>
      <c r="AV38" s="69"/>
      <c r="AW38" s="69"/>
      <c r="AX38" s="69"/>
      <c r="AY38" s="69"/>
      <c r="AZ38" s="69"/>
      <c r="BA38" s="69"/>
      <c r="BB38" s="69"/>
      <c r="BC38" s="69"/>
      <c r="BD38" s="69"/>
      <c r="BE38" s="69"/>
      <c r="BF38" s="69"/>
      <c r="BG38" s="69"/>
      <c r="BH38" s="69"/>
      <c r="BI38" s="69"/>
      <c r="BJ38" s="69"/>
      <c r="BK38" s="69"/>
      <c r="BL38" s="69"/>
      <c r="BM38" s="69"/>
      <c r="BN38" s="69"/>
      <c r="BO38" s="69"/>
      <c r="BP38" s="69"/>
      <c r="BQ38" s="69"/>
      <c r="BR38" s="69"/>
      <c r="BS38" s="69"/>
      <c r="BT38" s="69"/>
      <c r="BU38" s="69"/>
      <c r="BV38" s="69"/>
      <c r="BW38" s="69"/>
      <c r="BX38" s="69"/>
      <c r="BY38" s="69"/>
      <c r="BZ38" s="69"/>
      <c r="CA38" s="69"/>
      <c r="CB38" s="69"/>
      <c r="CC38" s="69"/>
      <c r="CD38" s="69"/>
      <c r="CE38" s="69"/>
      <c r="CF38" s="69"/>
      <c r="CG38" s="69"/>
      <c r="CH38" s="69"/>
      <c r="CI38" s="69"/>
      <c r="CJ38" s="69"/>
      <c r="CK38" s="69"/>
      <c r="CL38" s="69"/>
      <c r="CM38" s="69"/>
      <c r="CN38" s="69"/>
      <c r="CO38" s="69"/>
      <c r="CP38" s="69"/>
      <c r="CQ38" s="69"/>
      <c r="CR38" s="69"/>
      <c r="CS38" s="69"/>
      <c r="CT38" s="69"/>
      <c r="CU38" s="69"/>
      <c r="CV38" s="69"/>
      <c r="CW38" s="69"/>
      <c r="CX38" s="69"/>
      <c r="CY38" s="69"/>
      <c r="CZ38" s="69"/>
      <c r="DA38" s="69"/>
      <c r="DB38" s="69"/>
      <c r="DC38" s="69"/>
      <c r="DD38" s="69"/>
      <c r="DE38" s="69"/>
      <c r="DF38" s="69"/>
      <c r="DG38" s="69"/>
      <c r="DH38" s="69"/>
      <c r="DI38" s="69"/>
      <c r="DJ38" s="69"/>
      <c r="DK38" s="69"/>
      <c r="DL38" s="69"/>
      <c r="DM38" s="69"/>
      <c r="DN38" s="69"/>
      <c r="DO38" s="69"/>
      <c r="DP38" s="69"/>
      <c r="DQ38" s="69"/>
      <c r="DR38" s="69"/>
      <c r="DS38" s="69"/>
      <c r="DT38" s="69"/>
      <c r="DU38" s="69"/>
      <c r="DV38" s="69"/>
      <c r="DW38" s="69"/>
      <c r="DX38" s="69"/>
      <c r="DY38" s="69"/>
      <c r="DZ38" s="69"/>
      <c r="EA38" s="69"/>
      <c r="EB38" s="69"/>
      <c r="EC38" s="69"/>
      <c r="ED38" s="69"/>
      <c r="EE38" s="69"/>
      <c r="EF38" s="69"/>
      <c r="EG38" s="69"/>
      <c r="EH38" s="69"/>
      <c r="EI38" s="69"/>
      <c r="EJ38" s="69"/>
      <c r="EK38" s="69"/>
      <c r="EL38" s="69"/>
      <c r="EM38" s="69"/>
      <c r="EN38" s="69"/>
      <c r="EO38" s="69"/>
      <c r="EP38" s="69"/>
      <c r="EQ38" s="69"/>
      <c r="ER38" s="69"/>
      <c r="ES38" s="69"/>
      <c r="ET38" s="69"/>
      <c r="EU38" s="69"/>
      <c r="EV38" s="69"/>
      <c r="EW38" s="69"/>
      <c r="EX38" s="69"/>
      <c r="EY38" s="69"/>
      <c r="EZ38" s="69"/>
      <c r="FA38" s="69"/>
      <c r="FB38" s="69"/>
      <c r="FC38" s="69"/>
      <c r="FD38" s="69"/>
      <c r="FE38" s="69"/>
      <c r="FF38" s="69"/>
      <c r="FG38" s="69"/>
      <c r="FH38" s="69"/>
      <c r="FI38" s="69"/>
      <c r="FJ38" s="69"/>
      <c r="FK38" s="69"/>
      <c r="FL38" s="69"/>
      <c r="FM38" s="69"/>
      <c r="FN38" s="69"/>
      <c r="FO38" s="69"/>
      <c r="FP38" s="69"/>
      <c r="FQ38" s="69"/>
      <c r="FR38" s="69"/>
      <c r="FS38" s="69"/>
      <c r="FT38" s="69"/>
      <c r="FU38" s="69"/>
      <c r="FV38" s="69"/>
      <c r="FW38" s="69"/>
      <c r="FX38" s="69"/>
      <c r="FY38" s="69"/>
      <c r="FZ38" s="69"/>
      <c r="GA38" s="69"/>
      <c r="GB38" s="69"/>
      <c r="GC38" s="69"/>
      <c r="GD38" s="69"/>
      <c r="GE38" s="69"/>
      <c r="GF38" s="69"/>
      <c r="GG38" s="165"/>
    </row>
    <row r="39" spans="1:189" s="66" customFormat="1" x14ac:dyDescent="0.2">
      <c r="A39"/>
      <c r="B39" s="82">
        <v>41183</v>
      </c>
      <c r="C39" s="68">
        <v>0</v>
      </c>
      <c r="D39" s="68">
        <v>0</v>
      </c>
      <c r="E39" s="68">
        <v>0</v>
      </c>
      <c r="F39" s="68">
        <v>0</v>
      </c>
      <c r="G39" s="68">
        <v>0</v>
      </c>
      <c r="H39" s="68">
        <v>0</v>
      </c>
      <c r="I39" s="68">
        <v>0</v>
      </c>
      <c r="J39" s="68">
        <v>0</v>
      </c>
      <c r="K39" s="68">
        <v>0</v>
      </c>
      <c r="L39" s="68">
        <v>0</v>
      </c>
      <c r="M39" s="68">
        <v>0</v>
      </c>
      <c r="N39" s="68">
        <v>0</v>
      </c>
      <c r="O39" s="68">
        <v>0</v>
      </c>
      <c r="P39" s="68">
        <v>0</v>
      </c>
      <c r="Q39" s="94">
        <v>0</v>
      </c>
      <c r="R39" s="68">
        <v>0</v>
      </c>
      <c r="S39" s="68">
        <v>0</v>
      </c>
      <c r="T39" s="68">
        <v>0</v>
      </c>
      <c r="U39" s="68">
        <v>0</v>
      </c>
      <c r="V39" s="68">
        <v>0</v>
      </c>
      <c r="W39" s="68">
        <v>0</v>
      </c>
      <c r="X39" s="68">
        <v>0</v>
      </c>
      <c r="Y39" s="68">
        <v>0</v>
      </c>
      <c r="Z39" s="68">
        <v>0</v>
      </c>
      <c r="AA39" s="68">
        <v>0</v>
      </c>
      <c r="AB39" s="68">
        <v>0</v>
      </c>
      <c r="AC39" s="67"/>
      <c r="AD39" s="68"/>
      <c r="AE39" s="69"/>
      <c r="AF39" s="69"/>
      <c r="AG39" s="69"/>
      <c r="AH39" s="69"/>
      <c r="AI39" s="69"/>
      <c r="AJ39" s="69"/>
      <c r="AK39" s="69"/>
      <c r="AL39" s="69"/>
      <c r="AM39" s="69"/>
      <c r="AN39" s="69"/>
      <c r="AO39" s="69"/>
      <c r="AP39" s="69"/>
      <c r="AQ39" s="69"/>
      <c r="AR39" s="69"/>
      <c r="AS39" s="69"/>
      <c r="AT39" s="69"/>
      <c r="AU39" s="69"/>
      <c r="AV39" s="69"/>
      <c r="AW39" s="69"/>
      <c r="AX39" s="69"/>
      <c r="AY39" s="69"/>
      <c r="AZ39" s="69"/>
      <c r="BA39" s="69"/>
      <c r="BB39" s="69"/>
      <c r="BC39" s="69"/>
      <c r="BD39" s="69"/>
      <c r="BE39" s="69"/>
      <c r="BF39" s="69"/>
      <c r="BG39" s="69"/>
      <c r="BH39" s="69"/>
      <c r="BI39" s="69"/>
      <c r="BJ39" s="69"/>
      <c r="BK39" s="69"/>
      <c r="BL39" s="69"/>
      <c r="BM39" s="69"/>
      <c r="BN39" s="69"/>
      <c r="BO39" s="69"/>
      <c r="BP39" s="69"/>
      <c r="BQ39" s="69"/>
      <c r="BR39" s="69"/>
      <c r="BS39" s="69"/>
      <c r="BT39" s="69"/>
      <c r="BU39" s="69"/>
      <c r="BV39" s="69"/>
      <c r="BW39" s="69"/>
      <c r="BX39" s="69"/>
      <c r="BY39" s="69"/>
      <c r="BZ39" s="69"/>
      <c r="CA39" s="69"/>
      <c r="CB39" s="69"/>
      <c r="CC39" s="69"/>
      <c r="CD39" s="69"/>
      <c r="CE39" s="69"/>
      <c r="CF39" s="69"/>
      <c r="CG39" s="69"/>
      <c r="CH39" s="69"/>
      <c r="CI39" s="69"/>
      <c r="CJ39" s="69"/>
      <c r="CK39" s="69"/>
      <c r="CL39" s="69"/>
      <c r="CM39" s="69"/>
      <c r="CN39" s="69"/>
      <c r="CO39" s="69"/>
      <c r="CP39" s="69"/>
      <c r="CQ39" s="69"/>
      <c r="CR39" s="69"/>
      <c r="CS39" s="69"/>
      <c r="CT39" s="69"/>
      <c r="CU39" s="69"/>
      <c r="CV39" s="69"/>
      <c r="CW39" s="69"/>
      <c r="CX39" s="69"/>
      <c r="CY39" s="69"/>
      <c r="CZ39" s="69"/>
      <c r="DA39" s="69"/>
      <c r="DB39" s="69"/>
      <c r="DC39" s="69"/>
      <c r="DD39" s="69"/>
      <c r="DE39" s="69"/>
      <c r="DF39" s="69"/>
      <c r="DG39" s="69"/>
      <c r="DH39" s="69"/>
      <c r="DI39" s="69"/>
      <c r="DJ39" s="69"/>
      <c r="DK39" s="69"/>
      <c r="DL39" s="69"/>
      <c r="DM39" s="69"/>
      <c r="DN39" s="69"/>
      <c r="DO39" s="69"/>
      <c r="DP39" s="69"/>
      <c r="DQ39" s="69"/>
      <c r="DR39" s="69"/>
      <c r="DS39" s="69"/>
      <c r="DT39" s="69"/>
      <c r="DU39" s="69"/>
      <c r="DV39" s="69"/>
      <c r="DW39" s="69"/>
      <c r="DX39" s="69"/>
      <c r="DY39" s="69"/>
      <c r="DZ39" s="69"/>
      <c r="EA39" s="69"/>
      <c r="EB39" s="69"/>
      <c r="EC39" s="69"/>
      <c r="ED39" s="69"/>
      <c r="EE39" s="69"/>
      <c r="EF39" s="69"/>
      <c r="EG39" s="69"/>
      <c r="EH39" s="69"/>
      <c r="EI39" s="69"/>
      <c r="EJ39" s="69"/>
      <c r="EK39" s="69"/>
      <c r="EL39" s="69"/>
      <c r="EM39" s="69"/>
      <c r="EN39" s="69"/>
      <c r="EO39" s="69"/>
      <c r="EP39" s="69"/>
      <c r="EQ39" s="69"/>
      <c r="ER39" s="69"/>
      <c r="ES39" s="69"/>
      <c r="ET39" s="69"/>
      <c r="EU39" s="69"/>
      <c r="EV39" s="69"/>
      <c r="EW39" s="69"/>
      <c r="EX39" s="69"/>
      <c r="EY39" s="69"/>
      <c r="EZ39" s="69"/>
      <c r="FA39" s="69"/>
      <c r="FB39" s="69"/>
      <c r="FC39" s="69"/>
      <c r="FD39" s="69"/>
      <c r="FE39" s="69"/>
      <c r="FF39" s="69"/>
      <c r="FG39" s="69"/>
      <c r="FH39" s="69"/>
      <c r="FI39" s="69"/>
      <c r="FJ39" s="69"/>
      <c r="FK39" s="69"/>
      <c r="FL39" s="69"/>
      <c r="FM39" s="69"/>
      <c r="FN39" s="69"/>
      <c r="FO39" s="69"/>
      <c r="FP39" s="69"/>
      <c r="FQ39" s="69"/>
      <c r="FR39" s="69"/>
      <c r="FS39" s="69"/>
      <c r="FT39" s="69"/>
      <c r="FU39" s="69"/>
      <c r="FV39" s="69"/>
      <c r="FW39" s="69"/>
      <c r="FX39" s="69"/>
      <c r="FY39" s="69"/>
      <c r="FZ39" s="69"/>
      <c r="GA39" s="69"/>
      <c r="GB39" s="69"/>
      <c r="GC39" s="69"/>
      <c r="GD39" s="69"/>
      <c r="GE39" s="69"/>
      <c r="GF39" s="69"/>
      <c r="GG39" s="165"/>
    </row>
    <row r="40" spans="1:189" s="66" customFormat="1" x14ac:dyDescent="0.2">
      <c r="A40"/>
      <c r="B40" s="82">
        <v>41214</v>
      </c>
      <c r="C40" s="68">
        <v>0</v>
      </c>
      <c r="D40" s="68">
        <v>0</v>
      </c>
      <c r="E40" s="68">
        <v>0</v>
      </c>
      <c r="F40" s="68">
        <v>0</v>
      </c>
      <c r="G40" s="68">
        <v>0</v>
      </c>
      <c r="H40" s="68">
        <v>0</v>
      </c>
      <c r="I40" s="68">
        <v>0</v>
      </c>
      <c r="J40" s="68">
        <v>0</v>
      </c>
      <c r="K40" s="68">
        <v>0</v>
      </c>
      <c r="L40" s="68">
        <v>0</v>
      </c>
      <c r="M40" s="68">
        <v>0</v>
      </c>
      <c r="N40" s="68">
        <v>0</v>
      </c>
      <c r="O40" s="68">
        <v>0</v>
      </c>
      <c r="P40" s="68">
        <v>0</v>
      </c>
      <c r="Q40" s="68">
        <v>0</v>
      </c>
      <c r="R40" s="94">
        <v>0</v>
      </c>
      <c r="S40" s="68">
        <v>0</v>
      </c>
      <c r="T40" s="68">
        <v>0</v>
      </c>
      <c r="U40" s="68">
        <v>0</v>
      </c>
      <c r="V40" s="68">
        <v>0</v>
      </c>
      <c r="W40" s="68">
        <v>0</v>
      </c>
      <c r="X40" s="68">
        <v>0</v>
      </c>
      <c r="Y40" s="68">
        <v>0</v>
      </c>
      <c r="Z40" s="68">
        <v>0</v>
      </c>
      <c r="AA40" s="68">
        <v>0</v>
      </c>
      <c r="AB40" s="68">
        <v>0</v>
      </c>
      <c r="AC40" s="68">
        <v>0</v>
      </c>
      <c r="AD40" s="67"/>
      <c r="AE40" s="68"/>
      <c r="AF40" s="69"/>
      <c r="AG40" s="69"/>
      <c r="AH40" s="69"/>
      <c r="AI40" s="69"/>
      <c r="AJ40" s="69"/>
      <c r="AK40" s="69"/>
      <c r="AL40" s="69"/>
      <c r="AM40" s="69"/>
      <c r="AN40" s="69"/>
      <c r="AO40" s="69"/>
      <c r="AP40" s="69"/>
      <c r="AQ40" s="69"/>
      <c r="AR40" s="69"/>
      <c r="AS40" s="69"/>
      <c r="AT40" s="69"/>
      <c r="AU40" s="69"/>
      <c r="AV40" s="69"/>
      <c r="AW40" s="69"/>
      <c r="AX40" s="69"/>
      <c r="AY40" s="69"/>
      <c r="AZ40" s="69"/>
      <c r="BA40" s="69"/>
      <c r="BB40" s="69"/>
      <c r="BC40" s="69"/>
      <c r="BD40" s="69"/>
      <c r="BE40" s="69"/>
      <c r="BF40" s="69"/>
      <c r="BG40" s="69"/>
      <c r="BH40" s="69"/>
      <c r="BI40" s="69"/>
      <c r="BJ40" s="69"/>
      <c r="BK40" s="69"/>
      <c r="BL40" s="69"/>
      <c r="BM40" s="69"/>
      <c r="BN40" s="69"/>
      <c r="BO40" s="69"/>
      <c r="BP40" s="69"/>
      <c r="BQ40" s="69"/>
      <c r="BR40" s="69"/>
      <c r="BS40" s="69"/>
      <c r="BT40" s="69"/>
      <c r="BU40" s="69"/>
      <c r="BV40" s="69"/>
      <c r="BW40" s="69"/>
      <c r="BX40" s="69"/>
      <c r="BY40" s="69"/>
      <c r="BZ40" s="69"/>
      <c r="CA40" s="69"/>
      <c r="CB40" s="69"/>
      <c r="CC40" s="69"/>
      <c r="CD40" s="69"/>
      <c r="CE40" s="69"/>
      <c r="CF40" s="69"/>
      <c r="CG40" s="69"/>
      <c r="CH40" s="69"/>
      <c r="CI40" s="69"/>
      <c r="CJ40" s="69"/>
      <c r="CK40" s="69"/>
      <c r="CL40" s="69"/>
      <c r="CM40" s="69"/>
      <c r="CN40" s="69"/>
      <c r="CO40" s="69"/>
      <c r="CP40" s="69"/>
      <c r="CQ40" s="69"/>
      <c r="CR40" s="69"/>
      <c r="CS40" s="69"/>
      <c r="CT40" s="69"/>
      <c r="CU40" s="69"/>
      <c r="CV40" s="69"/>
      <c r="CW40" s="69"/>
      <c r="CX40" s="69"/>
      <c r="CY40" s="69"/>
      <c r="CZ40" s="69"/>
      <c r="DA40" s="69"/>
      <c r="DB40" s="69"/>
      <c r="DC40" s="69"/>
      <c r="DD40" s="69"/>
      <c r="DE40" s="69"/>
      <c r="DF40" s="69"/>
      <c r="DG40" s="69"/>
      <c r="DH40" s="69"/>
      <c r="DI40" s="69"/>
      <c r="DJ40" s="69"/>
      <c r="DK40" s="69"/>
      <c r="DL40" s="69"/>
      <c r="DM40" s="69"/>
      <c r="DN40" s="69"/>
      <c r="DO40" s="69"/>
      <c r="DP40" s="69"/>
      <c r="DQ40" s="69"/>
      <c r="DR40" s="69"/>
      <c r="DS40" s="69"/>
      <c r="DT40" s="69"/>
      <c r="DU40" s="69"/>
      <c r="DV40" s="69"/>
      <c r="DW40" s="69"/>
      <c r="DX40" s="69"/>
      <c r="DY40" s="69"/>
      <c r="DZ40" s="69"/>
      <c r="EA40" s="69"/>
      <c r="EB40" s="69"/>
      <c r="EC40" s="69"/>
      <c r="ED40" s="69"/>
      <c r="EE40" s="69"/>
      <c r="EF40" s="69"/>
      <c r="EG40" s="69"/>
      <c r="EH40" s="69"/>
      <c r="EI40" s="69"/>
      <c r="EJ40" s="69"/>
      <c r="EK40" s="69"/>
      <c r="EL40" s="69"/>
      <c r="EM40" s="69"/>
      <c r="EN40" s="69"/>
      <c r="EO40" s="69"/>
      <c r="EP40" s="69"/>
      <c r="EQ40" s="69"/>
      <c r="ER40" s="69"/>
      <c r="ES40" s="69"/>
      <c r="ET40" s="69"/>
      <c r="EU40" s="69"/>
      <c r="EV40" s="69"/>
      <c r="EW40" s="69"/>
      <c r="EX40" s="69"/>
      <c r="EY40" s="69"/>
      <c r="EZ40" s="69"/>
      <c r="FA40" s="69"/>
      <c r="FB40" s="69"/>
      <c r="FC40" s="69"/>
      <c r="FD40" s="69"/>
      <c r="FE40" s="69"/>
      <c r="FF40" s="69"/>
      <c r="FG40" s="69"/>
      <c r="FH40" s="69"/>
      <c r="FI40" s="69"/>
      <c r="FJ40" s="69"/>
      <c r="FK40" s="69"/>
      <c r="FL40" s="69"/>
      <c r="FM40" s="69"/>
      <c r="FN40" s="69"/>
      <c r="FO40" s="69"/>
      <c r="FP40" s="69"/>
      <c r="FQ40" s="69"/>
      <c r="FR40" s="69"/>
      <c r="FS40" s="69"/>
      <c r="FT40" s="69"/>
      <c r="FU40" s="69"/>
      <c r="FV40" s="69"/>
      <c r="FW40" s="69"/>
      <c r="FX40" s="69"/>
      <c r="FY40" s="69"/>
      <c r="FZ40" s="69"/>
      <c r="GA40" s="69"/>
      <c r="GB40" s="69"/>
      <c r="GC40" s="69"/>
      <c r="GD40" s="69"/>
      <c r="GE40" s="69"/>
      <c r="GF40" s="69"/>
      <c r="GG40" s="165"/>
    </row>
    <row r="41" spans="1:189" s="66" customFormat="1" x14ac:dyDescent="0.2">
      <c r="A41"/>
      <c r="B41" s="82">
        <v>41244</v>
      </c>
      <c r="C41" s="68">
        <v>0</v>
      </c>
      <c r="D41" s="68">
        <v>0</v>
      </c>
      <c r="E41" s="68">
        <v>0</v>
      </c>
      <c r="F41" s="68">
        <v>0</v>
      </c>
      <c r="G41" s="68">
        <v>0</v>
      </c>
      <c r="H41" s="68">
        <v>0</v>
      </c>
      <c r="I41" s="68">
        <v>0</v>
      </c>
      <c r="J41" s="68">
        <v>0</v>
      </c>
      <c r="K41" s="68">
        <v>0</v>
      </c>
      <c r="L41" s="68">
        <v>0</v>
      </c>
      <c r="M41" s="68">
        <v>0</v>
      </c>
      <c r="N41" s="68">
        <v>0</v>
      </c>
      <c r="O41" s="68">
        <v>0</v>
      </c>
      <c r="P41" s="68">
        <v>0</v>
      </c>
      <c r="Q41" s="68">
        <v>0</v>
      </c>
      <c r="R41" s="68">
        <v>0</v>
      </c>
      <c r="S41" s="94">
        <v>0</v>
      </c>
      <c r="T41" s="68">
        <v>0</v>
      </c>
      <c r="U41" s="68">
        <v>0</v>
      </c>
      <c r="V41" s="68">
        <v>0</v>
      </c>
      <c r="W41" s="68">
        <v>0</v>
      </c>
      <c r="X41" s="68">
        <v>0</v>
      </c>
      <c r="Y41" s="68">
        <v>0</v>
      </c>
      <c r="Z41" s="68">
        <v>0</v>
      </c>
      <c r="AA41" s="68">
        <v>0</v>
      </c>
      <c r="AB41" s="68">
        <v>0</v>
      </c>
      <c r="AC41" s="68">
        <v>0</v>
      </c>
      <c r="AD41" s="68">
        <v>0</v>
      </c>
      <c r="AE41" s="67"/>
      <c r="AF41" s="68"/>
      <c r="AG41" s="69"/>
      <c r="AH41" s="69"/>
      <c r="AI41" s="69"/>
      <c r="AJ41" s="69"/>
      <c r="AK41" s="69"/>
      <c r="AL41" s="69"/>
      <c r="AM41" s="69"/>
      <c r="AN41" s="69"/>
      <c r="AO41" s="69"/>
      <c r="AP41" s="69"/>
      <c r="AQ41" s="69"/>
      <c r="AR41" s="69"/>
      <c r="AS41" s="69"/>
      <c r="AT41" s="69"/>
      <c r="AU41" s="69"/>
      <c r="AV41" s="69"/>
      <c r="AW41" s="69"/>
      <c r="AX41" s="69"/>
      <c r="AY41" s="69"/>
      <c r="AZ41" s="69"/>
      <c r="BA41" s="69"/>
      <c r="BB41" s="69"/>
      <c r="BC41" s="69"/>
      <c r="BD41" s="69"/>
      <c r="BE41" s="69"/>
      <c r="BF41" s="69"/>
      <c r="BG41" s="69"/>
      <c r="BH41" s="69"/>
      <c r="BI41" s="69"/>
      <c r="BJ41" s="69"/>
      <c r="BK41" s="69"/>
      <c r="BL41" s="69"/>
      <c r="BM41" s="69"/>
      <c r="BN41" s="69"/>
      <c r="BO41" s="69"/>
      <c r="BP41" s="69"/>
      <c r="BQ41" s="69"/>
      <c r="BR41" s="69"/>
      <c r="BS41" s="69"/>
      <c r="BT41" s="69"/>
      <c r="BU41" s="69"/>
      <c r="BV41" s="69"/>
      <c r="BW41" s="69"/>
      <c r="BX41" s="69"/>
      <c r="BY41" s="69"/>
      <c r="BZ41" s="69"/>
      <c r="CA41" s="69"/>
      <c r="CB41" s="69"/>
      <c r="CC41" s="69"/>
      <c r="CD41" s="69"/>
      <c r="CE41" s="69"/>
      <c r="CF41" s="69"/>
      <c r="CG41" s="69"/>
      <c r="CH41" s="69"/>
      <c r="CI41" s="69"/>
      <c r="CJ41" s="69"/>
      <c r="CK41" s="69"/>
      <c r="CL41" s="69"/>
      <c r="CM41" s="69"/>
      <c r="CN41" s="69"/>
      <c r="CO41" s="69"/>
      <c r="CP41" s="69"/>
      <c r="CQ41" s="69"/>
      <c r="CR41" s="69"/>
      <c r="CS41" s="69"/>
      <c r="CT41" s="69"/>
      <c r="CU41" s="69"/>
      <c r="CV41" s="69"/>
      <c r="CW41" s="69"/>
      <c r="CX41" s="69"/>
      <c r="CY41" s="69"/>
      <c r="CZ41" s="69"/>
      <c r="DA41" s="69"/>
      <c r="DB41" s="69"/>
      <c r="DC41" s="69"/>
      <c r="DD41" s="69"/>
      <c r="DE41" s="69"/>
      <c r="DF41" s="69"/>
      <c r="DG41" s="69"/>
      <c r="DH41" s="69"/>
      <c r="DI41" s="69"/>
      <c r="DJ41" s="69"/>
      <c r="DK41" s="69"/>
      <c r="DL41" s="69"/>
      <c r="DM41" s="69"/>
      <c r="DN41" s="69"/>
      <c r="DO41" s="69"/>
      <c r="DP41" s="69"/>
      <c r="DQ41" s="69"/>
      <c r="DR41" s="69"/>
      <c r="DS41" s="69"/>
      <c r="DT41" s="69"/>
      <c r="DU41" s="69"/>
      <c r="DV41" s="69"/>
      <c r="DW41" s="69"/>
      <c r="DX41" s="69"/>
      <c r="DY41" s="69"/>
      <c r="DZ41" s="69"/>
      <c r="EA41" s="69"/>
      <c r="EB41" s="69"/>
      <c r="EC41" s="69"/>
      <c r="ED41" s="69"/>
      <c r="EE41" s="69"/>
      <c r="EF41" s="69"/>
      <c r="EG41" s="69"/>
      <c r="EH41" s="69"/>
      <c r="EI41" s="69"/>
      <c r="EJ41" s="69"/>
      <c r="EK41" s="69"/>
      <c r="EL41" s="69"/>
      <c r="EM41" s="69"/>
      <c r="EN41" s="69"/>
      <c r="EO41" s="69"/>
      <c r="EP41" s="69"/>
      <c r="EQ41" s="69"/>
      <c r="ER41" s="69"/>
      <c r="ES41" s="69"/>
      <c r="ET41" s="69"/>
      <c r="EU41" s="69"/>
      <c r="EV41" s="69"/>
      <c r="EW41" s="69"/>
      <c r="EX41" s="69"/>
      <c r="EY41" s="69"/>
      <c r="EZ41" s="69"/>
      <c r="FA41" s="69"/>
      <c r="FB41" s="69"/>
      <c r="FC41" s="69"/>
      <c r="FD41" s="69"/>
      <c r="FE41" s="69"/>
      <c r="FF41" s="69"/>
      <c r="FG41" s="69"/>
      <c r="FH41" s="69"/>
      <c r="FI41" s="69"/>
      <c r="FJ41" s="69"/>
      <c r="FK41" s="69"/>
      <c r="FL41" s="69"/>
      <c r="FM41" s="69"/>
      <c r="FN41" s="69"/>
      <c r="FO41" s="69"/>
      <c r="FP41" s="69"/>
      <c r="FQ41" s="69"/>
      <c r="FR41" s="69"/>
      <c r="FS41" s="69"/>
      <c r="FT41" s="69"/>
      <c r="FU41" s="69"/>
      <c r="FV41" s="69"/>
      <c r="FW41" s="69"/>
      <c r="FX41" s="69"/>
      <c r="FY41" s="69"/>
      <c r="FZ41" s="69"/>
      <c r="GA41" s="69"/>
      <c r="GB41" s="69"/>
      <c r="GC41" s="69"/>
      <c r="GD41" s="69"/>
      <c r="GE41" s="69"/>
      <c r="GF41" s="69"/>
      <c r="GG41" s="165"/>
    </row>
    <row r="42" spans="1:189" s="66" customFormat="1" x14ac:dyDescent="0.2">
      <c r="A42"/>
      <c r="B42" s="82">
        <v>41275</v>
      </c>
      <c r="C42" s="68">
        <v>0</v>
      </c>
      <c r="D42" s="68">
        <v>0</v>
      </c>
      <c r="E42" s="68">
        <v>0</v>
      </c>
      <c r="F42" s="68">
        <v>0</v>
      </c>
      <c r="G42" s="68">
        <v>0</v>
      </c>
      <c r="H42" s="68">
        <v>0</v>
      </c>
      <c r="I42" s="68">
        <v>0</v>
      </c>
      <c r="J42" s="68">
        <v>0</v>
      </c>
      <c r="K42" s="68">
        <v>0</v>
      </c>
      <c r="L42" s="68">
        <v>0</v>
      </c>
      <c r="M42" s="68">
        <v>0</v>
      </c>
      <c r="N42" s="68">
        <v>0</v>
      </c>
      <c r="O42" s="68">
        <v>0</v>
      </c>
      <c r="P42" s="68">
        <v>0</v>
      </c>
      <c r="Q42" s="68">
        <v>0</v>
      </c>
      <c r="R42" s="68">
        <v>0</v>
      </c>
      <c r="S42" s="68">
        <v>0</v>
      </c>
      <c r="T42" s="94">
        <v>0</v>
      </c>
      <c r="U42" s="68">
        <v>0</v>
      </c>
      <c r="V42" s="68">
        <v>0</v>
      </c>
      <c r="W42" s="68">
        <v>0</v>
      </c>
      <c r="X42" s="68">
        <v>0</v>
      </c>
      <c r="Y42" s="68">
        <v>0</v>
      </c>
      <c r="Z42" s="68">
        <v>0</v>
      </c>
      <c r="AA42" s="68">
        <v>0</v>
      </c>
      <c r="AB42" s="68">
        <v>0</v>
      </c>
      <c r="AC42" s="68">
        <v>0</v>
      </c>
      <c r="AD42" s="68">
        <v>0</v>
      </c>
      <c r="AE42" s="68">
        <v>0</v>
      </c>
      <c r="AF42" s="67"/>
      <c r="AG42" s="68"/>
      <c r="AH42" s="69"/>
      <c r="AI42" s="69"/>
      <c r="AJ42" s="69"/>
      <c r="AK42" s="69"/>
      <c r="AL42" s="69"/>
      <c r="AM42" s="69"/>
      <c r="AN42" s="69"/>
      <c r="AO42" s="69"/>
      <c r="AP42" s="69"/>
      <c r="AQ42" s="69"/>
      <c r="AR42" s="69"/>
      <c r="AS42" s="69"/>
      <c r="AT42" s="69"/>
      <c r="AU42" s="69"/>
      <c r="AV42" s="69"/>
      <c r="AW42" s="69"/>
      <c r="AX42" s="69"/>
      <c r="AY42" s="69"/>
      <c r="AZ42" s="69"/>
      <c r="BA42" s="69"/>
      <c r="BB42" s="69"/>
      <c r="BC42" s="69"/>
      <c r="BD42" s="69"/>
      <c r="BE42" s="69"/>
      <c r="BF42" s="69"/>
      <c r="BG42" s="69"/>
      <c r="BH42" s="69"/>
      <c r="BI42" s="69"/>
      <c r="BJ42" s="69"/>
      <c r="BK42" s="69"/>
      <c r="BL42" s="69"/>
      <c r="BM42" s="69"/>
      <c r="BN42" s="69"/>
      <c r="BO42" s="69"/>
      <c r="BP42" s="69"/>
      <c r="BQ42" s="69"/>
      <c r="BR42" s="69"/>
      <c r="BS42" s="69"/>
      <c r="BT42" s="69"/>
      <c r="BU42" s="69"/>
      <c r="BV42" s="69"/>
      <c r="BW42" s="69"/>
      <c r="BX42" s="69"/>
      <c r="BY42" s="69"/>
      <c r="BZ42" s="69"/>
      <c r="CA42" s="69"/>
      <c r="CB42" s="69"/>
      <c r="CC42" s="69"/>
      <c r="CD42" s="69"/>
      <c r="CE42" s="69"/>
      <c r="CF42" s="69"/>
      <c r="CG42" s="69"/>
      <c r="CH42" s="69"/>
      <c r="CI42" s="69"/>
      <c r="CJ42" s="69"/>
      <c r="CK42" s="69"/>
      <c r="CL42" s="69"/>
      <c r="CM42" s="69"/>
      <c r="CN42" s="69"/>
      <c r="CO42" s="69"/>
      <c r="CP42" s="69"/>
      <c r="CQ42" s="69"/>
      <c r="CR42" s="69"/>
      <c r="CS42" s="69"/>
      <c r="CT42" s="69"/>
      <c r="CU42" s="69"/>
      <c r="CV42" s="69"/>
      <c r="CW42" s="69"/>
      <c r="CX42" s="69"/>
      <c r="CY42" s="69"/>
      <c r="CZ42" s="69"/>
      <c r="DA42" s="69"/>
      <c r="DB42" s="69"/>
      <c r="DC42" s="69"/>
      <c r="DD42" s="69"/>
      <c r="DE42" s="69"/>
      <c r="DF42" s="69"/>
      <c r="DG42" s="69"/>
      <c r="DH42" s="69"/>
      <c r="DI42" s="69"/>
      <c r="DJ42" s="69"/>
      <c r="DK42" s="69"/>
      <c r="DL42" s="69"/>
      <c r="DM42" s="69"/>
      <c r="DN42" s="69"/>
      <c r="DO42" s="69"/>
      <c r="DP42" s="69"/>
      <c r="DQ42" s="69"/>
      <c r="DR42" s="69"/>
      <c r="DS42" s="69"/>
      <c r="DT42" s="69"/>
      <c r="DU42" s="69"/>
      <c r="DV42" s="69"/>
      <c r="DW42" s="69"/>
      <c r="DX42" s="69"/>
      <c r="DY42" s="69"/>
      <c r="DZ42" s="69"/>
      <c r="EA42" s="69"/>
      <c r="EB42" s="69"/>
      <c r="EC42" s="69"/>
      <c r="ED42" s="69"/>
      <c r="EE42" s="69"/>
      <c r="EF42" s="69"/>
      <c r="EG42" s="69"/>
      <c r="EH42" s="69"/>
      <c r="EI42" s="69"/>
      <c r="EJ42" s="69"/>
      <c r="EK42" s="69"/>
      <c r="EL42" s="69"/>
      <c r="EM42" s="69"/>
      <c r="EN42" s="69"/>
      <c r="EO42" s="69"/>
      <c r="EP42" s="69"/>
      <c r="EQ42" s="69"/>
      <c r="ER42" s="69"/>
      <c r="ES42" s="69"/>
      <c r="ET42" s="69"/>
      <c r="EU42" s="69"/>
      <c r="EV42" s="69"/>
      <c r="EW42" s="69"/>
      <c r="EX42" s="69"/>
      <c r="EY42" s="69"/>
      <c r="EZ42" s="69"/>
      <c r="FA42" s="69"/>
      <c r="FB42" s="69"/>
      <c r="FC42" s="69"/>
      <c r="FD42" s="69"/>
      <c r="FE42" s="69"/>
      <c r="FF42" s="69"/>
      <c r="FG42" s="69"/>
      <c r="FH42" s="69"/>
      <c r="FI42" s="69"/>
      <c r="FJ42" s="69"/>
      <c r="FK42" s="69"/>
      <c r="FL42" s="69"/>
      <c r="FM42" s="69"/>
      <c r="FN42" s="69"/>
      <c r="FO42" s="69"/>
      <c r="FP42" s="69"/>
      <c r="FQ42" s="69"/>
      <c r="FR42" s="69"/>
      <c r="FS42" s="69"/>
      <c r="FT42" s="69"/>
      <c r="FU42" s="69"/>
      <c r="FV42" s="69"/>
      <c r="FW42" s="69"/>
      <c r="FX42" s="69"/>
      <c r="FY42" s="69"/>
      <c r="FZ42" s="69"/>
      <c r="GA42" s="69"/>
      <c r="GB42" s="69"/>
      <c r="GC42" s="69"/>
      <c r="GD42" s="69"/>
      <c r="GE42" s="69"/>
      <c r="GF42" s="69"/>
      <c r="GG42" s="165"/>
    </row>
    <row r="43" spans="1:189" s="66" customFormat="1" x14ac:dyDescent="0.2">
      <c r="A43"/>
      <c r="B43" s="82">
        <v>41306</v>
      </c>
      <c r="C43" s="68">
        <v>0</v>
      </c>
      <c r="D43" s="68">
        <v>0</v>
      </c>
      <c r="E43" s="68">
        <v>0</v>
      </c>
      <c r="F43" s="68">
        <v>0</v>
      </c>
      <c r="G43" s="68">
        <v>0</v>
      </c>
      <c r="H43" s="68">
        <v>0</v>
      </c>
      <c r="I43" s="68">
        <v>0</v>
      </c>
      <c r="J43" s="68">
        <v>0</v>
      </c>
      <c r="K43" s="68">
        <v>0</v>
      </c>
      <c r="L43" s="68">
        <v>0</v>
      </c>
      <c r="M43" s="68">
        <v>0</v>
      </c>
      <c r="N43" s="68">
        <v>0</v>
      </c>
      <c r="O43" s="68">
        <v>0</v>
      </c>
      <c r="P43" s="68">
        <v>0</v>
      </c>
      <c r="Q43" s="68">
        <v>0</v>
      </c>
      <c r="R43" s="68">
        <v>0</v>
      </c>
      <c r="S43" s="68">
        <v>0</v>
      </c>
      <c r="T43" s="68">
        <v>0</v>
      </c>
      <c r="U43" s="94">
        <v>0</v>
      </c>
      <c r="V43" s="68">
        <v>0</v>
      </c>
      <c r="W43" s="68">
        <v>0</v>
      </c>
      <c r="X43" s="68">
        <v>0</v>
      </c>
      <c r="Y43" s="68">
        <v>0</v>
      </c>
      <c r="Z43" s="68">
        <v>0</v>
      </c>
      <c r="AA43" s="68">
        <v>0</v>
      </c>
      <c r="AB43" s="68">
        <v>0</v>
      </c>
      <c r="AC43" s="68">
        <v>0</v>
      </c>
      <c r="AD43" s="68">
        <v>0</v>
      </c>
      <c r="AE43" s="68">
        <v>0</v>
      </c>
      <c r="AF43" s="68">
        <v>0</v>
      </c>
      <c r="AG43" s="67"/>
      <c r="AH43" s="68"/>
      <c r="AI43" s="69"/>
      <c r="AJ43" s="69"/>
      <c r="AK43" s="69"/>
      <c r="AL43" s="69"/>
      <c r="AM43" s="69"/>
      <c r="AN43" s="69"/>
      <c r="AO43" s="69"/>
      <c r="AP43" s="69"/>
      <c r="AQ43" s="69"/>
      <c r="AR43" s="69"/>
      <c r="AS43" s="69"/>
      <c r="AT43" s="69"/>
      <c r="AU43" s="69"/>
      <c r="AV43" s="69"/>
      <c r="AW43" s="69"/>
      <c r="AX43" s="69"/>
      <c r="AY43" s="69"/>
      <c r="AZ43" s="69"/>
      <c r="BA43" s="69"/>
      <c r="BB43" s="69"/>
      <c r="BC43" s="69"/>
      <c r="BD43" s="69"/>
      <c r="BE43" s="69"/>
      <c r="BF43" s="69"/>
      <c r="BG43" s="69"/>
      <c r="BH43" s="69"/>
      <c r="BI43" s="69"/>
      <c r="BJ43" s="69"/>
      <c r="BK43" s="69"/>
      <c r="BL43" s="69"/>
      <c r="BM43" s="69"/>
      <c r="BN43" s="69"/>
      <c r="BO43" s="69"/>
      <c r="BP43" s="69"/>
      <c r="BQ43" s="69"/>
      <c r="BR43" s="69"/>
      <c r="BS43" s="69"/>
      <c r="BT43" s="69"/>
      <c r="BU43" s="69"/>
      <c r="BV43" s="69"/>
      <c r="BW43" s="69"/>
      <c r="BX43" s="69"/>
      <c r="BY43" s="69"/>
      <c r="BZ43" s="69"/>
      <c r="CA43" s="69"/>
      <c r="CB43" s="69"/>
      <c r="CC43" s="69"/>
      <c r="CD43" s="69"/>
      <c r="CE43" s="69"/>
      <c r="CF43" s="69"/>
      <c r="CG43" s="69"/>
      <c r="CH43" s="69"/>
      <c r="CI43" s="69"/>
      <c r="CJ43" s="69"/>
      <c r="CK43" s="69"/>
      <c r="CL43" s="69"/>
      <c r="CM43" s="69"/>
      <c r="CN43" s="69"/>
      <c r="CO43" s="69"/>
      <c r="CP43" s="69"/>
      <c r="CQ43" s="69"/>
      <c r="CR43" s="69"/>
      <c r="CS43" s="69"/>
      <c r="CT43" s="69"/>
      <c r="CU43" s="69"/>
      <c r="CV43" s="69"/>
      <c r="CW43" s="69"/>
      <c r="CX43" s="69"/>
      <c r="CY43" s="69"/>
      <c r="CZ43" s="69"/>
      <c r="DA43" s="69"/>
      <c r="DB43" s="69"/>
      <c r="DC43" s="69"/>
      <c r="DD43" s="69"/>
      <c r="DE43" s="69"/>
      <c r="DF43" s="69"/>
      <c r="DG43" s="69"/>
      <c r="DH43" s="69"/>
      <c r="DI43" s="69"/>
      <c r="DJ43" s="69"/>
      <c r="DK43" s="69"/>
      <c r="DL43" s="69"/>
      <c r="DM43" s="69"/>
      <c r="DN43" s="69"/>
      <c r="DO43" s="69"/>
      <c r="DP43" s="69"/>
      <c r="DQ43" s="69"/>
      <c r="DR43" s="69"/>
      <c r="DS43" s="69"/>
      <c r="DT43" s="69"/>
      <c r="DU43" s="69"/>
      <c r="DV43" s="69"/>
      <c r="DW43" s="69"/>
      <c r="DX43" s="69"/>
      <c r="DY43" s="69"/>
      <c r="DZ43" s="69"/>
      <c r="EA43" s="69"/>
      <c r="EB43" s="69"/>
      <c r="EC43" s="69"/>
      <c r="ED43" s="69"/>
      <c r="EE43" s="69"/>
      <c r="EF43" s="69"/>
      <c r="EG43" s="69"/>
      <c r="EH43" s="69"/>
      <c r="EI43" s="69"/>
      <c r="EJ43" s="69"/>
      <c r="EK43" s="69"/>
      <c r="EL43" s="69"/>
      <c r="EM43" s="69"/>
      <c r="EN43" s="69"/>
      <c r="EO43" s="69"/>
      <c r="EP43" s="69"/>
      <c r="EQ43" s="69"/>
      <c r="ER43" s="69"/>
      <c r="ES43" s="69"/>
      <c r="ET43" s="69"/>
      <c r="EU43" s="69"/>
      <c r="EV43" s="69"/>
      <c r="EW43" s="69"/>
      <c r="EX43" s="69"/>
      <c r="EY43" s="69"/>
      <c r="EZ43" s="69"/>
      <c r="FA43" s="69"/>
      <c r="FB43" s="69"/>
      <c r="FC43" s="69"/>
      <c r="FD43" s="69"/>
      <c r="FE43" s="69"/>
      <c r="FF43" s="69"/>
      <c r="FG43" s="69"/>
      <c r="FH43" s="69"/>
      <c r="FI43" s="69"/>
      <c r="FJ43" s="69"/>
      <c r="FK43" s="69"/>
      <c r="FL43" s="69"/>
      <c r="FM43" s="69"/>
      <c r="FN43" s="69"/>
      <c r="FO43" s="69"/>
      <c r="FP43" s="69"/>
      <c r="FQ43" s="69"/>
      <c r="FR43" s="69"/>
      <c r="FS43" s="69"/>
      <c r="FT43" s="69"/>
      <c r="FU43" s="69"/>
      <c r="FV43" s="69"/>
      <c r="FW43" s="69"/>
      <c r="FX43" s="69"/>
      <c r="FY43" s="69"/>
      <c r="FZ43" s="69"/>
      <c r="GA43" s="69"/>
      <c r="GB43" s="69"/>
      <c r="GC43" s="69"/>
      <c r="GD43" s="69"/>
      <c r="GE43" s="69"/>
      <c r="GF43" s="69"/>
      <c r="GG43" s="165"/>
    </row>
    <row r="44" spans="1:189" s="66" customFormat="1" x14ac:dyDescent="0.2">
      <c r="A44"/>
      <c r="B44" s="82">
        <v>41334</v>
      </c>
      <c r="C44" s="68">
        <v>0</v>
      </c>
      <c r="D44" s="68">
        <v>0</v>
      </c>
      <c r="E44" s="68">
        <v>0</v>
      </c>
      <c r="F44" s="68">
        <v>0</v>
      </c>
      <c r="G44" s="68">
        <v>0</v>
      </c>
      <c r="H44" s="68">
        <v>0</v>
      </c>
      <c r="I44" s="68">
        <v>0</v>
      </c>
      <c r="J44" s="68">
        <v>0</v>
      </c>
      <c r="K44" s="68">
        <v>0</v>
      </c>
      <c r="L44" s="68">
        <v>0</v>
      </c>
      <c r="M44" s="68">
        <v>0</v>
      </c>
      <c r="N44" s="68">
        <v>0</v>
      </c>
      <c r="O44" s="68">
        <v>0</v>
      </c>
      <c r="P44" s="68">
        <v>0</v>
      </c>
      <c r="Q44" s="68">
        <v>0</v>
      </c>
      <c r="R44" s="68">
        <v>0</v>
      </c>
      <c r="S44" s="68">
        <v>0</v>
      </c>
      <c r="T44" s="68">
        <v>0</v>
      </c>
      <c r="U44" s="68">
        <v>0</v>
      </c>
      <c r="V44" s="94">
        <v>0</v>
      </c>
      <c r="W44" s="68">
        <v>0</v>
      </c>
      <c r="X44" s="68">
        <v>0</v>
      </c>
      <c r="Y44" s="68">
        <v>0</v>
      </c>
      <c r="Z44" s="68">
        <v>0</v>
      </c>
      <c r="AA44" s="68">
        <v>0</v>
      </c>
      <c r="AB44" s="68">
        <v>0</v>
      </c>
      <c r="AC44" s="68">
        <v>0</v>
      </c>
      <c r="AD44" s="68">
        <v>0</v>
      </c>
      <c r="AE44" s="68">
        <v>0</v>
      </c>
      <c r="AF44" s="68">
        <v>9.9999999999994316E-2</v>
      </c>
      <c r="AG44" s="68">
        <v>9.9999999999994316E-2</v>
      </c>
      <c r="AH44" s="67"/>
      <c r="AI44" s="68"/>
      <c r="AJ44" s="69"/>
      <c r="AK44" s="69"/>
      <c r="AL44" s="69"/>
      <c r="AM44" s="69"/>
      <c r="AN44" s="69"/>
      <c r="AO44" s="69"/>
      <c r="AP44" s="69"/>
      <c r="AQ44" s="69"/>
      <c r="AR44" s="69"/>
      <c r="AS44" s="69"/>
      <c r="AT44" s="69"/>
      <c r="AU44" s="69"/>
      <c r="AV44" s="69"/>
      <c r="AW44" s="69"/>
      <c r="AX44" s="69"/>
      <c r="AY44" s="69"/>
      <c r="AZ44" s="69"/>
      <c r="BA44" s="69"/>
      <c r="BB44" s="69"/>
      <c r="BC44" s="69"/>
      <c r="BD44" s="69"/>
      <c r="BE44" s="69"/>
      <c r="BF44" s="69"/>
      <c r="BG44" s="69"/>
      <c r="BH44" s="69"/>
      <c r="BI44" s="69"/>
      <c r="BJ44" s="69"/>
      <c r="BK44" s="69"/>
      <c r="BL44" s="69"/>
      <c r="BM44" s="69"/>
      <c r="BN44" s="69"/>
      <c r="BO44" s="69"/>
      <c r="BP44" s="69"/>
      <c r="BQ44" s="69"/>
      <c r="BR44" s="69"/>
      <c r="BS44" s="69"/>
      <c r="BT44" s="69"/>
      <c r="BU44" s="69"/>
      <c r="BV44" s="69"/>
      <c r="BW44" s="69"/>
      <c r="BX44" s="69"/>
      <c r="BY44" s="69"/>
      <c r="BZ44" s="69"/>
      <c r="CA44" s="69"/>
      <c r="CB44" s="69"/>
      <c r="CC44" s="69"/>
      <c r="CD44" s="69"/>
      <c r="CE44" s="69"/>
      <c r="CF44" s="69"/>
      <c r="CG44" s="69"/>
      <c r="CH44" s="69"/>
      <c r="CI44" s="69"/>
      <c r="CJ44" s="69"/>
      <c r="CK44" s="69"/>
      <c r="CL44" s="69"/>
      <c r="CM44" s="69"/>
      <c r="CN44" s="69"/>
      <c r="CO44" s="69"/>
      <c r="CP44" s="69"/>
      <c r="CQ44" s="69"/>
      <c r="CR44" s="69"/>
      <c r="CS44" s="69"/>
      <c r="CT44" s="69"/>
      <c r="CU44" s="69"/>
      <c r="CV44" s="69"/>
      <c r="CW44" s="69"/>
      <c r="CX44" s="69"/>
      <c r="CY44" s="69"/>
      <c r="CZ44" s="69"/>
      <c r="DA44" s="69"/>
      <c r="DB44" s="69"/>
      <c r="DC44" s="69"/>
      <c r="DD44" s="69"/>
      <c r="DE44" s="69"/>
      <c r="DF44" s="69"/>
      <c r="DG44" s="69"/>
      <c r="DH44" s="69"/>
      <c r="DI44" s="69"/>
      <c r="DJ44" s="69"/>
      <c r="DK44" s="69"/>
      <c r="DL44" s="69"/>
      <c r="DM44" s="69"/>
      <c r="DN44" s="69"/>
      <c r="DO44" s="69"/>
      <c r="DP44" s="69"/>
      <c r="DQ44" s="69"/>
      <c r="DR44" s="69"/>
      <c r="DS44" s="69"/>
      <c r="DT44" s="69"/>
      <c r="DU44" s="69"/>
      <c r="DV44" s="69"/>
      <c r="DW44" s="69"/>
      <c r="DX44" s="69"/>
      <c r="DY44" s="69"/>
      <c r="DZ44" s="69"/>
      <c r="EA44" s="69"/>
      <c r="EB44" s="69"/>
      <c r="EC44" s="69"/>
      <c r="ED44" s="69"/>
      <c r="EE44" s="69"/>
      <c r="EF44" s="69"/>
      <c r="EG44" s="69"/>
      <c r="EH44" s="69"/>
      <c r="EI44" s="69"/>
      <c r="EJ44" s="69"/>
      <c r="EK44" s="69"/>
      <c r="EL44" s="69"/>
      <c r="EM44" s="69"/>
      <c r="EN44" s="69"/>
      <c r="EO44" s="69"/>
      <c r="EP44" s="69"/>
      <c r="EQ44" s="69"/>
      <c r="ER44" s="69"/>
      <c r="ES44" s="69"/>
      <c r="ET44" s="69"/>
      <c r="EU44" s="69"/>
      <c r="EV44" s="69"/>
      <c r="EW44" s="69"/>
      <c r="EX44" s="69"/>
      <c r="EY44" s="69"/>
      <c r="EZ44" s="69"/>
      <c r="FA44" s="69"/>
      <c r="FB44" s="69"/>
      <c r="FC44" s="69"/>
      <c r="FD44" s="69"/>
      <c r="FE44" s="69"/>
      <c r="FF44" s="69"/>
      <c r="FG44" s="69"/>
      <c r="FH44" s="69"/>
      <c r="FI44" s="69"/>
      <c r="FJ44" s="69"/>
      <c r="FK44" s="69"/>
      <c r="FL44" s="69"/>
      <c r="FM44" s="69"/>
      <c r="FN44" s="69"/>
      <c r="FO44" s="69"/>
      <c r="FP44" s="69"/>
      <c r="FQ44" s="69"/>
      <c r="FR44" s="69"/>
      <c r="FS44" s="69"/>
      <c r="FT44" s="69"/>
      <c r="FU44" s="69"/>
      <c r="FV44" s="69"/>
      <c r="FW44" s="69"/>
      <c r="FX44" s="69"/>
      <c r="FY44" s="69"/>
      <c r="FZ44" s="69"/>
      <c r="GA44" s="69"/>
      <c r="GB44" s="69"/>
      <c r="GC44" s="69"/>
      <c r="GD44" s="69"/>
      <c r="GE44" s="69"/>
      <c r="GF44" s="69"/>
      <c r="GG44" s="165"/>
    </row>
    <row r="45" spans="1:189" s="66" customFormat="1" x14ac:dyDescent="0.2">
      <c r="A45"/>
      <c r="B45" s="82">
        <v>41365</v>
      </c>
      <c r="C45" s="68">
        <v>0</v>
      </c>
      <c r="D45" s="68">
        <v>0</v>
      </c>
      <c r="E45" s="68">
        <v>0</v>
      </c>
      <c r="F45" s="68">
        <v>0</v>
      </c>
      <c r="G45" s="68">
        <v>0</v>
      </c>
      <c r="H45" s="68">
        <v>0</v>
      </c>
      <c r="I45" s="68">
        <v>0</v>
      </c>
      <c r="J45" s="68">
        <v>0</v>
      </c>
      <c r="K45" s="68">
        <v>0</v>
      </c>
      <c r="L45" s="68">
        <v>0</v>
      </c>
      <c r="M45" s="68">
        <v>0</v>
      </c>
      <c r="N45" s="68">
        <v>0</v>
      </c>
      <c r="O45" s="68">
        <v>0</v>
      </c>
      <c r="P45" s="68">
        <v>0</v>
      </c>
      <c r="Q45" s="68">
        <v>0</v>
      </c>
      <c r="R45" s="68">
        <v>0</v>
      </c>
      <c r="S45" s="68">
        <v>0</v>
      </c>
      <c r="T45" s="68">
        <v>0</v>
      </c>
      <c r="U45" s="68">
        <v>0</v>
      </c>
      <c r="V45" s="68">
        <v>0</v>
      </c>
      <c r="W45" s="94">
        <v>0</v>
      </c>
      <c r="X45" s="68">
        <v>0</v>
      </c>
      <c r="Y45" s="68">
        <v>0</v>
      </c>
      <c r="Z45" s="68">
        <v>0</v>
      </c>
      <c r="AA45" s="68">
        <v>0</v>
      </c>
      <c r="AB45" s="68">
        <v>0</v>
      </c>
      <c r="AC45" s="68">
        <v>0</v>
      </c>
      <c r="AD45" s="68">
        <v>0</v>
      </c>
      <c r="AE45" s="68">
        <v>0</v>
      </c>
      <c r="AF45" s="68">
        <v>0</v>
      </c>
      <c r="AG45" s="68">
        <v>0</v>
      </c>
      <c r="AH45" s="68">
        <v>0</v>
      </c>
      <c r="AI45" s="67"/>
      <c r="AJ45" s="68"/>
      <c r="AK45" s="69"/>
      <c r="AL45" s="69"/>
      <c r="AM45" s="69"/>
      <c r="AN45" s="69"/>
      <c r="AO45" s="69"/>
      <c r="AP45" s="69"/>
      <c r="AQ45" s="69"/>
      <c r="AR45" s="69"/>
      <c r="AS45" s="69"/>
      <c r="AT45" s="69"/>
      <c r="AU45" s="69"/>
      <c r="AV45" s="69"/>
      <c r="AW45" s="69"/>
      <c r="AX45" s="69"/>
      <c r="AY45" s="69"/>
      <c r="AZ45" s="69"/>
      <c r="BA45" s="69"/>
      <c r="BB45" s="69"/>
      <c r="BC45" s="69"/>
      <c r="BD45" s="69"/>
      <c r="BE45" s="69"/>
      <c r="BF45" s="69"/>
      <c r="BG45" s="69"/>
      <c r="BH45" s="69"/>
      <c r="BI45" s="69"/>
      <c r="BJ45" s="69"/>
      <c r="BK45" s="69"/>
      <c r="BL45" s="69"/>
      <c r="BM45" s="69"/>
      <c r="BN45" s="69"/>
      <c r="BO45" s="69"/>
      <c r="BP45" s="69"/>
      <c r="BQ45" s="69"/>
      <c r="BR45" s="69"/>
      <c r="BS45" s="69"/>
      <c r="BT45" s="69"/>
      <c r="BU45" s="69"/>
      <c r="BV45" s="69"/>
      <c r="BW45" s="69"/>
      <c r="BX45" s="69"/>
      <c r="BY45" s="69"/>
      <c r="BZ45" s="69"/>
      <c r="CA45" s="69"/>
      <c r="CB45" s="69"/>
      <c r="CC45" s="69"/>
      <c r="CD45" s="69"/>
      <c r="CE45" s="69"/>
      <c r="CF45" s="69"/>
      <c r="CG45" s="69"/>
      <c r="CH45" s="69"/>
      <c r="CI45" s="69"/>
      <c r="CJ45" s="69"/>
      <c r="CK45" s="69"/>
      <c r="CL45" s="69"/>
      <c r="CM45" s="69"/>
      <c r="CN45" s="69"/>
      <c r="CO45" s="69"/>
      <c r="CP45" s="69"/>
      <c r="CQ45" s="69"/>
      <c r="CR45" s="69"/>
      <c r="CS45" s="69"/>
      <c r="CT45" s="69"/>
      <c r="CU45" s="69"/>
      <c r="CV45" s="69"/>
      <c r="CW45" s="69"/>
      <c r="CX45" s="69"/>
      <c r="CY45" s="69"/>
      <c r="CZ45" s="69"/>
      <c r="DA45" s="69"/>
      <c r="DB45" s="69"/>
      <c r="DC45" s="69"/>
      <c r="DD45" s="69"/>
      <c r="DE45" s="69"/>
      <c r="DF45" s="69"/>
      <c r="DG45" s="69"/>
      <c r="DH45" s="69"/>
      <c r="DI45" s="69"/>
      <c r="DJ45" s="69"/>
      <c r="DK45" s="69"/>
      <c r="DL45" s="69"/>
      <c r="DM45" s="69"/>
      <c r="DN45" s="69"/>
      <c r="DO45" s="69"/>
      <c r="DP45" s="69"/>
      <c r="DQ45" s="69"/>
      <c r="DR45" s="69"/>
      <c r="DS45" s="69"/>
      <c r="DT45" s="69"/>
      <c r="DU45" s="69"/>
      <c r="DV45" s="69"/>
      <c r="DW45" s="69"/>
      <c r="DX45" s="69"/>
      <c r="DY45" s="69"/>
      <c r="DZ45" s="69"/>
      <c r="EA45" s="69"/>
      <c r="EB45" s="69"/>
      <c r="EC45" s="69"/>
      <c r="ED45" s="69"/>
      <c r="EE45" s="69"/>
      <c r="EF45" s="69"/>
      <c r="EG45" s="69"/>
      <c r="EH45" s="69"/>
      <c r="EI45" s="69"/>
      <c r="EJ45" s="69"/>
      <c r="EK45" s="69"/>
      <c r="EL45" s="69"/>
      <c r="EM45" s="69"/>
      <c r="EN45" s="69"/>
      <c r="EO45" s="69"/>
      <c r="EP45" s="69"/>
      <c r="EQ45" s="69"/>
      <c r="ER45" s="69"/>
      <c r="ES45" s="69"/>
      <c r="ET45" s="69"/>
      <c r="EU45" s="69"/>
      <c r="EV45" s="69"/>
      <c r="EW45" s="69"/>
      <c r="EX45" s="69"/>
      <c r="EY45" s="69"/>
      <c r="EZ45" s="69"/>
      <c r="FA45" s="69"/>
      <c r="FB45" s="69"/>
      <c r="FC45" s="69"/>
      <c r="FD45" s="69"/>
      <c r="FE45" s="69"/>
      <c r="FF45" s="69"/>
      <c r="FG45" s="69"/>
      <c r="FH45" s="69"/>
      <c r="FI45" s="69"/>
      <c r="FJ45" s="69"/>
      <c r="FK45" s="69"/>
      <c r="FL45" s="69"/>
      <c r="FM45" s="69"/>
      <c r="FN45" s="69"/>
      <c r="FO45" s="69"/>
      <c r="FP45" s="69"/>
      <c r="FQ45" s="69"/>
      <c r="FR45" s="69"/>
      <c r="FS45" s="69"/>
      <c r="FT45" s="69"/>
      <c r="FU45" s="69"/>
      <c r="FV45" s="69"/>
      <c r="FW45" s="69"/>
      <c r="FX45" s="69"/>
      <c r="FY45" s="69"/>
      <c r="FZ45" s="69"/>
      <c r="GA45" s="69"/>
      <c r="GB45" s="69"/>
      <c r="GC45" s="69"/>
      <c r="GD45" s="69"/>
      <c r="GE45" s="69"/>
      <c r="GF45" s="69"/>
      <c r="GG45" s="165"/>
    </row>
    <row r="46" spans="1:189" s="66" customFormat="1" x14ac:dyDescent="0.2">
      <c r="A46"/>
      <c r="B46" s="82">
        <v>41395</v>
      </c>
      <c r="C46" s="68">
        <v>0</v>
      </c>
      <c r="D46" s="68">
        <v>0</v>
      </c>
      <c r="E46" s="68">
        <v>0</v>
      </c>
      <c r="F46" s="68">
        <v>0</v>
      </c>
      <c r="G46" s="68">
        <v>0</v>
      </c>
      <c r="H46" s="68">
        <v>0</v>
      </c>
      <c r="I46" s="68">
        <v>0</v>
      </c>
      <c r="J46" s="68">
        <v>0</v>
      </c>
      <c r="K46" s="68">
        <v>0</v>
      </c>
      <c r="L46" s="68">
        <v>0</v>
      </c>
      <c r="M46" s="68">
        <v>0</v>
      </c>
      <c r="N46" s="68">
        <v>0</v>
      </c>
      <c r="O46" s="68">
        <v>0</v>
      </c>
      <c r="P46" s="68">
        <v>0</v>
      </c>
      <c r="Q46" s="68">
        <v>0</v>
      </c>
      <c r="R46" s="68">
        <v>0</v>
      </c>
      <c r="S46" s="68">
        <v>0</v>
      </c>
      <c r="T46" s="68">
        <v>0</v>
      </c>
      <c r="U46" s="68">
        <v>0</v>
      </c>
      <c r="V46" s="68">
        <v>0</v>
      </c>
      <c r="W46" s="68">
        <v>0</v>
      </c>
      <c r="X46" s="94">
        <v>0</v>
      </c>
      <c r="Y46" s="68">
        <v>0</v>
      </c>
      <c r="Z46" s="68">
        <v>0</v>
      </c>
      <c r="AA46" s="68">
        <v>0</v>
      </c>
      <c r="AB46" s="68">
        <v>0</v>
      </c>
      <c r="AC46" s="68">
        <v>0</v>
      </c>
      <c r="AD46" s="68">
        <v>0</v>
      </c>
      <c r="AE46" s="68">
        <v>0</v>
      </c>
      <c r="AF46" s="68">
        <v>0</v>
      </c>
      <c r="AG46" s="68">
        <v>0</v>
      </c>
      <c r="AH46" s="68">
        <v>0</v>
      </c>
      <c r="AI46" s="68">
        <v>0</v>
      </c>
      <c r="AJ46" s="67"/>
      <c r="AK46" s="68"/>
      <c r="AL46" s="69"/>
      <c r="AM46" s="69"/>
      <c r="AN46" s="69"/>
      <c r="AO46" s="69"/>
      <c r="AP46" s="69"/>
      <c r="AQ46" s="69"/>
      <c r="AR46" s="69"/>
      <c r="AS46" s="69"/>
      <c r="AT46" s="69"/>
      <c r="AU46" s="69"/>
      <c r="AV46" s="69"/>
      <c r="AW46" s="69"/>
      <c r="AX46" s="69"/>
      <c r="AY46" s="69"/>
      <c r="AZ46" s="69"/>
      <c r="BA46" s="69"/>
      <c r="BB46" s="69"/>
      <c r="BC46" s="69"/>
      <c r="BD46" s="69"/>
      <c r="BE46" s="69"/>
      <c r="BF46" s="69"/>
      <c r="BG46" s="69"/>
      <c r="BH46" s="69"/>
      <c r="BI46" s="69"/>
      <c r="BJ46" s="69"/>
      <c r="BK46" s="69"/>
      <c r="BL46" s="69"/>
      <c r="BM46" s="69"/>
      <c r="BN46" s="69"/>
      <c r="BO46" s="69"/>
      <c r="BP46" s="69"/>
      <c r="BQ46" s="69"/>
      <c r="BR46" s="69"/>
      <c r="BS46" s="69"/>
      <c r="BT46" s="69"/>
      <c r="BU46" s="69"/>
      <c r="BV46" s="69"/>
      <c r="BW46" s="69"/>
      <c r="BX46" s="69"/>
      <c r="BY46" s="69"/>
      <c r="BZ46" s="69"/>
      <c r="CA46" s="69"/>
      <c r="CB46" s="69"/>
      <c r="CC46" s="69"/>
      <c r="CD46" s="69"/>
      <c r="CE46" s="69"/>
      <c r="CF46" s="69"/>
      <c r="CG46" s="69"/>
      <c r="CH46" s="69"/>
      <c r="CI46" s="69"/>
      <c r="CJ46" s="69"/>
      <c r="CK46" s="69"/>
      <c r="CL46" s="69"/>
      <c r="CM46" s="69"/>
      <c r="CN46" s="69"/>
      <c r="CO46" s="69"/>
      <c r="CP46" s="69"/>
      <c r="CQ46" s="69"/>
      <c r="CR46" s="69"/>
      <c r="CS46" s="69"/>
      <c r="CT46" s="69"/>
      <c r="CU46" s="69"/>
      <c r="CV46" s="69"/>
      <c r="CW46" s="69"/>
      <c r="CX46" s="69"/>
      <c r="CY46" s="69"/>
      <c r="CZ46" s="69"/>
      <c r="DA46" s="69"/>
      <c r="DB46" s="69"/>
      <c r="DC46" s="69"/>
      <c r="DD46" s="69"/>
      <c r="DE46" s="69"/>
      <c r="DF46" s="69"/>
      <c r="DG46" s="69"/>
      <c r="DH46" s="69"/>
      <c r="DI46" s="69"/>
      <c r="DJ46" s="69"/>
      <c r="DK46" s="69"/>
      <c r="DL46" s="69"/>
      <c r="DM46" s="69"/>
      <c r="DN46" s="69"/>
      <c r="DO46" s="69"/>
      <c r="DP46" s="69"/>
      <c r="DQ46" s="69"/>
      <c r="DR46" s="69"/>
      <c r="DS46" s="69"/>
      <c r="DT46" s="69"/>
      <c r="DU46" s="69"/>
      <c r="DV46" s="69"/>
      <c r="DW46" s="69"/>
      <c r="DX46" s="69"/>
      <c r="DY46" s="69"/>
      <c r="DZ46" s="69"/>
      <c r="EA46" s="69"/>
      <c r="EB46" s="69"/>
      <c r="EC46" s="69"/>
      <c r="ED46" s="69"/>
      <c r="EE46" s="69"/>
      <c r="EF46" s="69"/>
      <c r="EG46" s="69"/>
      <c r="EH46" s="69"/>
      <c r="EI46" s="69"/>
      <c r="EJ46" s="69"/>
      <c r="EK46" s="69"/>
      <c r="EL46" s="69"/>
      <c r="EM46" s="69"/>
      <c r="EN46" s="69"/>
      <c r="EO46" s="69"/>
      <c r="EP46" s="69"/>
      <c r="EQ46" s="69"/>
      <c r="ER46" s="69"/>
      <c r="ES46" s="69"/>
      <c r="ET46" s="69"/>
      <c r="EU46" s="69"/>
      <c r="EV46" s="69"/>
      <c r="EW46" s="69"/>
      <c r="EX46" s="69"/>
      <c r="EY46" s="69"/>
      <c r="EZ46" s="69"/>
      <c r="FA46" s="69"/>
      <c r="FB46" s="69"/>
      <c r="FC46" s="69"/>
      <c r="FD46" s="69"/>
      <c r="FE46" s="69"/>
      <c r="FF46" s="69"/>
      <c r="FG46" s="69"/>
      <c r="FH46" s="69"/>
      <c r="FI46" s="69"/>
      <c r="FJ46" s="69"/>
      <c r="FK46" s="69"/>
      <c r="FL46" s="69"/>
      <c r="FM46" s="69"/>
      <c r="FN46" s="69"/>
      <c r="FO46" s="69"/>
      <c r="FP46" s="69"/>
      <c r="FQ46" s="69"/>
      <c r="FR46" s="69"/>
      <c r="FS46" s="69"/>
      <c r="FT46" s="69"/>
      <c r="FU46" s="69"/>
      <c r="FV46" s="69"/>
      <c r="FW46" s="69"/>
      <c r="FX46" s="69"/>
      <c r="FY46" s="69"/>
      <c r="FZ46" s="69"/>
      <c r="GA46" s="69"/>
      <c r="GB46" s="69"/>
      <c r="GC46" s="69"/>
      <c r="GD46" s="69"/>
      <c r="GE46" s="69"/>
      <c r="GF46" s="69"/>
      <c r="GG46" s="165"/>
    </row>
    <row r="47" spans="1:189" s="66" customFormat="1" x14ac:dyDescent="0.2">
      <c r="A47"/>
      <c r="B47" s="82">
        <v>41426</v>
      </c>
      <c r="C47" s="68">
        <v>0</v>
      </c>
      <c r="D47" s="68">
        <v>0</v>
      </c>
      <c r="E47" s="68">
        <v>0</v>
      </c>
      <c r="F47" s="68">
        <v>0</v>
      </c>
      <c r="G47" s="68">
        <v>0</v>
      </c>
      <c r="H47" s="68">
        <v>0</v>
      </c>
      <c r="I47" s="68">
        <v>0</v>
      </c>
      <c r="J47" s="68">
        <v>0</v>
      </c>
      <c r="K47" s="68">
        <v>0</v>
      </c>
      <c r="L47" s="68">
        <v>0</v>
      </c>
      <c r="M47" s="68">
        <v>0</v>
      </c>
      <c r="N47" s="68">
        <v>0</v>
      </c>
      <c r="O47" s="68">
        <v>0</v>
      </c>
      <c r="P47" s="68">
        <v>0</v>
      </c>
      <c r="Q47" s="68">
        <v>0</v>
      </c>
      <c r="R47" s="68">
        <v>0</v>
      </c>
      <c r="S47" s="68">
        <v>0</v>
      </c>
      <c r="T47" s="68">
        <v>0</v>
      </c>
      <c r="U47" s="68">
        <v>0</v>
      </c>
      <c r="V47" s="68">
        <v>0</v>
      </c>
      <c r="W47" s="68">
        <v>0</v>
      </c>
      <c r="X47" s="68">
        <v>0</v>
      </c>
      <c r="Y47" s="94">
        <v>0</v>
      </c>
      <c r="Z47" s="68">
        <v>0</v>
      </c>
      <c r="AA47" s="68">
        <v>0</v>
      </c>
      <c r="AB47" s="68">
        <v>0</v>
      </c>
      <c r="AC47" s="68">
        <v>0</v>
      </c>
      <c r="AD47" s="68">
        <v>0</v>
      </c>
      <c r="AE47" s="68">
        <v>0</v>
      </c>
      <c r="AF47" s="68">
        <v>0</v>
      </c>
      <c r="AG47" s="68">
        <v>0</v>
      </c>
      <c r="AH47" s="68">
        <v>0</v>
      </c>
      <c r="AI47" s="68">
        <v>0</v>
      </c>
      <c r="AJ47" s="68">
        <v>0</v>
      </c>
      <c r="AK47" s="67"/>
      <c r="AL47" s="68"/>
      <c r="AM47" s="69"/>
      <c r="AN47" s="69"/>
      <c r="AO47" s="69"/>
      <c r="AP47" s="69"/>
      <c r="AQ47" s="69"/>
      <c r="AR47" s="69"/>
      <c r="AS47" s="69"/>
      <c r="AT47" s="69"/>
      <c r="AU47" s="69"/>
      <c r="AV47" s="69"/>
      <c r="AW47" s="69"/>
      <c r="AX47" s="69"/>
      <c r="AY47" s="69"/>
      <c r="AZ47" s="69"/>
      <c r="BA47" s="69"/>
      <c r="BB47" s="69"/>
      <c r="BC47" s="69"/>
      <c r="BD47" s="69"/>
      <c r="BE47" s="69"/>
      <c r="BF47" s="69"/>
      <c r="BG47" s="69"/>
      <c r="BH47" s="69"/>
      <c r="BI47" s="69"/>
      <c r="BJ47" s="69"/>
      <c r="BK47" s="69"/>
      <c r="BL47" s="69"/>
      <c r="BM47" s="69"/>
      <c r="BN47" s="69"/>
      <c r="BO47" s="69"/>
      <c r="BP47" s="69"/>
      <c r="BQ47" s="69"/>
      <c r="BR47" s="69"/>
      <c r="BS47" s="69"/>
      <c r="BT47" s="69"/>
      <c r="BU47" s="69"/>
      <c r="BV47" s="69"/>
      <c r="BW47" s="69"/>
      <c r="BX47" s="69"/>
      <c r="BY47" s="69"/>
      <c r="BZ47" s="69"/>
      <c r="CA47" s="69"/>
      <c r="CB47" s="69"/>
      <c r="CC47" s="69"/>
      <c r="CD47" s="69"/>
      <c r="CE47" s="69"/>
      <c r="CF47" s="69"/>
      <c r="CG47" s="69"/>
      <c r="CH47" s="69"/>
      <c r="CI47" s="69"/>
      <c r="CJ47" s="69"/>
      <c r="CK47" s="69"/>
      <c r="CL47" s="69"/>
      <c r="CM47" s="69"/>
      <c r="CN47" s="69"/>
      <c r="CO47" s="69"/>
      <c r="CP47" s="69"/>
      <c r="CQ47" s="69"/>
      <c r="CR47" s="69"/>
      <c r="CS47" s="69"/>
      <c r="CT47" s="69"/>
      <c r="CU47" s="69"/>
      <c r="CV47" s="69"/>
      <c r="CW47" s="69"/>
      <c r="CX47" s="69"/>
      <c r="CY47" s="69"/>
      <c r="CZ47" s="69"/>
      <c r="DA47" s="69"/>
      <c r="DB47" s="69"/>
      <c r="DC47" s="69"/>
      <c r="DD47" s="69"/>
      <c r="DE47" s="69"/>
      <c r="DF47" s="69"/>
      <c r="DG47" s="69"/>
      <c r="DH47" s="69"/>
      <c r="DI47" s="69"/>
      <c r="DJ47" s="69"/>
      <c r="DK47" s="69"/>
      <c r="DL47" s="69"/>
      <c r="DM47" s="69"/>
      <c r="DN47" s="69"/>
      <c r="DO47" s="69"/>
      <c r="DP47" s="69"/>
      <c r="DQ47" s="69"/>
      <c r="DR47" s="69"/>
      <c r="DS47" s="69"/>
      <c r="DT47" s="69"/>
      <c r="DU47" s="69"/>
      <c r="DV47" s="69"/>
      <c r="DW47" s="69"/>
      <c r="DX47" s="69"/>
      <c r="DY47" s="69"/>
      <c r="DZ47" s="69"/>
      <c r="EA47" s="69"/>
      <c r="EB47" s="69"/>
      <c r="EC47" s="69"/>
      <c r="ED47" s="69"/>
      <c r="EE47" s="69"/>
      <c r="EF47" s="69"/>
      <c r="EG47" s="69"/>
      <c r="EH47" s="69"/>
      <c r="EI47" s="69"/>
      <c r="EJ47" s="69"/>
      <c r="EK47" s="69"/>
      <c r="EL47" s="69"/>
      <c r="EM47" s="69"/>
      <c r="EN47" s="69"/>
      <c r="EO47" s="69"/>
      <c r="EP47" s="69"/>
      <c r="EQ47" s="69"/>
      <c r="ER47" s="69"/>
      <c r="ES47" s="69"/>
      <c r="ET47" s="69"/>
      <c r="EU47" s="69"/>
      <c r="EV47" s="69"/>
      <c r="EW47" s="69"/>
      <c r="EX47" s="69"/>
      <c r="EY47" s="69"/>
      <c r="EZ47" s="69"/>
      <c r="FA47" s="69"/>
      <c r="FB47" s="69"/>
      <c r="FC47" s="69"/>
      <c r="FD47" s="69"/>
      <c r="FE47" s="69"/>
      <c r="FF47" s="69"/>
      <c r="FG47" s="69"/>
      <c r="FH47" s="69"/>
      <c r="FI47" s="69"/>
      <c r="FJ47" s="69"/>
      <c r="FK47" s="69"/>
      <c r="FL47" s="69"/>
      <c r="FM47" s="69"/>
      <c r="FN47" s="69"/>
      <c r="FO47" s="69"/>
      <c r="FP47" s="69"/>
      <c r="FQ47" s="69"/>
      <c r="FR47" s="69"/>
      <c r="FS47" s="69"/>
      <c r="FT47" s="69"/>
      <c r="FU47" s="69"/>
      <c r="FV47" s="69"/>
      <c r="FW47" s="69"/>
      <c r="FX47" s="69"/>
      <c r="FY47" s="69"/>
      <c r="FZ47" s="69"/>
      <c r="GA47" s="69"/>
      <c r="GB47" s="69"/>
      <c r="GC47" s="69"/>
      <c r="GD47" s="69"/>
      <c r="GE47" s="69"/>
      <c r="GF47" s="69"/>
      <c r="GG47" s="165"/>
    </row>
    <row r="48" spans="1:189" s="66" customFormat="1" x14ac:dyDescent="0.2">
      <c r="A48"/>
      <c r="B48" s="82">
        <v>41456</v>
      </c>
      <c r="C48" s="68">
        <v>0</v>
      </c>
      <c r="D48" s="68">
        <v>0</v>
      </c>
      <c r="E48" s="68">
        <v>0</v>
      </c>
      <c r="F48" s="68">
        <v>0</v>
      </c>
      <c r="G48" s="68">
        <v>0</v>
      </c>
      <c r="H48" s="68">
        <v>0</v>
      </c>
      <c r="I48" s="68">
        <v>0</v>
      </c>
      <c r="J48" s="68">
        <v>0</v>
      </c>
      <c r="K48" s="68">
        <v>0</v>
      </c>
      <c r="L48" s="68">
        <v>0</v>
      </c>
      <c r="M48" s="68">
        <v>0</v>
      </c>
      <c r="N48" s="68">
        <v>0</v>
      </c>
      <c r="O48" s="68">
        <v>0</v>
      </c>
      <c r="P48" s="68">
        <v>0</v>
      </c>
      <c r="Q48" s="68">
        <v>0</v>
      </c>
      <c r="R48" s="68">
        <v>0</v>
      </c>
      <c r="S48" s="68">
        <v>0</v>
      </c>
      <c r="T48" s="68">
        <v>0</v>
      </c>
      <c r="U48" s="68">
        <v>0</v>
      </c>
      <c r="V48" s="68">
        <v>0</v>
      </c>
      <c r="W48" s="68">
        <v>0</v>
      </c>
      <c r="X48" s="68">
        <v>0</v>
      </c>
      <c r="Y48" s="68">
        <v>0</v>
      </c>
      <c r="Z48" s="94">
        <v>0</v>
      </c>
      <c r="AA48" s="68">
        <v>0</v>
      </c>
      <c r="AB48" s="68">
        <v>0</v>
      </c>
      <c r="AC48" s="68">
        <v>0</v>
      </c>
      <c r="AD48" s="68">
        <v>0</v>
      </c>
      <c r="AE48" s="68">
        <v>0</v>
      </c>
      <c r="AF48" s="68">
        <v>0</v>
      </c>
      <c r="AG48" s="68">
        <v>0</v>
      </c>
      <c r="AH48" s="68">
        <v>0</v>
      </c>
      <c r="AI48" s="68">
        <v>0</v>
      </c>
      <c r="AJ48" s="68">
        <v>0</v>
      </c>
      <c r="AK48" s="68">
        <v>0</v>
      </c>
      <c r="AL48" s="67"/>
      <c r="AM48" s="68"/>
      <c r="AN48" s="69"/>
      <c r="AO48" s="69"/>
      <c r="AP48" s="69"/>
      <c r="AQ48" s="69"/>
      <c r="AR48" s="69"/>
      <c r="AS48" s="69"/>
      <c r="AT48" s="69"/>
      <c r="AU48" s="69"/>
      <c r="AV48" s="69"/>
      <c r="AW48" s="69"/>
      <c r="AX48" s="69"/>
      <c r="AY48" s="69"/>
      <c r="AZ48" s="69"/>
      <c r="BA48" s="69"/>
      <c r="BB48" s="69"/>
      <c r="BC48" s="69"/>
      <c r="BD48" s="69"/>
      <c r="BE48" s="69"/>
      <c r="BF48" s="69"/>
      <c r="BG48" s="69"/>
      <c r="BH48" s="69"/>
      <c r="BI48" s="69"/>
      <c r="BJ48" s="69"/>
      <c r="BK48" s="69"/>
      <c r="BL48" s="69"/>
      <c r="BM48" s="69"/>
      <c r="BN48" s="69"/>
      <c r="BO48" s="69"/>
      <c r="BP48" s="69"/>
      <c r="BQ48" s="69"/>
      <c r="BR48" s="69"/>
      <c r="BS48" s="69"/>
      <c r="BT48" s="69"/>
      <c r="BU48" s="69"/>
      <c r="BV48" s="69"/>
      <c r="BW48" s="69"/>
      <c r="BX48" s="69"/>
      <c r="BY48" s="69"/>
      <c r="BZ48" s="69"/>
      <c r="CA48" s="69"/>
      <c r="CB48" s="69"/>
      <c r="CC48" s="69"/>
      <c r="CD48" s="69"/>
      <c r="CE48" s="69"/>
      <c r="CF48" s="69"/>
      <c r="CG48" s="69"/>
      <c r="CH48" s="69"/>
      <c r="CI48" s="69"/>
      <c r="CJ48" s="69"/>
      <c r="CK48" s="69"/>
      <c r="CL48" s="69"/>
      <c r="CM48" s="69"/>
      <c r="CN48" s="69"/>
      <c r="CO48" s="69"/>
      <c r="CP48" s="69"/>
      <c r="CQ48" s="69"/>
      <c r="CR48" s="69"/>
      <c r="CS48" s="69"/>
      <c r="CT48" s="69"/>
      <c r="CU48" s="69"/>
      <c r="CV48" s="69"/>
      <c r="CW48" s="69"/>
      <c r="CX48" s="69"/>
      <c r="CY48" s="69"/>
      <c r="CZ48" s="69"/>
      <c r="DA48" s="69"/>
      <c r="DB48" s="69"/>
      <c r="DC48" s="69"/>
      <c r="DD48" s="69"/>
      <c r="DE48" s="69"/>
      <c r="DF48" s="69"/>
      <c r="DG48" s="69"/>
      <c r="DH48" s="69"/>
      <c r="DI48" s="69"/>
      <c r="DJ48" s="69"/>
      <c r="DK48" s="69"/>
      <c r="DL48" s="69"/>
      <c r="DM48" s="69"/>
      <c r="DN48" s="69"/>
      <c r="DO48" s="69"/>
      <c r="DP48" s="69"/>
      <c r="DQ48" s="69"/>
      <c r="DR48" s="69"/>
      <c r="DS48" s="69"/>
      <c r="DT48" s="69"/>
      <c r="DU48" s="69"/>
      <c r="DV48" s="69"/>
      <c r="DW48" s="69"/>
      <c r="DX48" s="69"/>
      <c r="DY48" s="69"/>
      <c r="DZ48" s="69"/>
      <c r="EA48" s="69"/>
      <c r="EB48" s="69"/>
      <c r="EC48" s="69"/>
      <c r="ED48" s="69"/>
      <c r="EE48" s="69"/>
      <c r="EF48" s="69"/>
      <c r="EG48" s="69"/>
      <c r="EH48" s="69"/>
      <c r="EI48" s="69"/>
      <c r="EJ48" s="69"/>
      <c r="EK48" s="69"/>
      <c r="EL48" s="69"/>
      <c r="EM48" s="69"/>
      <c r="EN48" s="69"/>
      <c r="EO48" s="69"/>
      <c r="EP48" s="69"/>
      <c r="EQ48" s="69"/>
      <c r="ER48" s="69"/>
      <c r="ES48" s="69"/>
      <c r="ET48" s="69"/>
      <c r="EU48" s="69"/>
      <c r="EV48" s="69"/>
      <c r="EW48" s="69"/>
      <c r="EX48" s="69"/>
      <c r="EY48" s="69"/>
      <c r="EZ48" s="69"/>
      <c r="FA48" s="69"/>
      <c r="FB48" s="69"/>
      <c r="FC48" s="69"/>
      <c r="FD48" s="69"/>
      <c r="FE48" s="69"/>
      <c r="FF48" s="69"/>
      <c r="FG48" s="69"/>
      <c r="FH48" s="69"/>
      <c r="FI48" s="69"/>
      <c r="FJ48" s="69"/>
      <c r="FK48" s="69"/>
      <c r="FL48" s="69"/>
      <c r="FM48" s="69"/>
      <c r="FN48" s="69"/>
      <c r="FO48" s="69"/>
      <c r="FP48" s="69"/>
      <c r="FQ48" s="69"/>
      <c r="FR48" s="69"/>
      <c r="FS48" s="69"/>
      <c r="FT48" s="69"/>
      <c r="FU48" s="69"/>
      <c r="FV48" s="69"/>
      <c r="FW48" s="69"/>
      <c r="FX48" s="69"/>
      <c r="FY48" s="69"/>
      <c r="FZ48" s="69"/>
      <c r="GA48" s="69"/>
      <c r="GB48" s="69"/>
      <c r="GC48" s="69"/>
      <c r="GD48" s="69"/>
      <c r="GE48" s="69"/>
      <c r="GF48" s="69"/>
      <c r="GG48" s="165"/>
    </row>
    <row r="49" spans="1:189" s="66" customFormat="1" x14ac:dyDescent="0.2">
      <c r="A49"/>
      <c r="B49" s="82">
        <v>41487</v>
      </c>
      <c r="C49" s="68">
        <v>0</v>
      </c>
      <c r="D49" s="68">
        <v>0</v>
      </c>
      <c r="E49" s="68">
        <v>0</v>
      </c>
      <c r="F49" s="68">
        <v>0</v>
      </c>
      <c r="G49" s="68">
        <v>0</v>
      </c>
      <c r="H49" s="68">
        <v>0</v>
      </c>
      <c r="I49" s="68">
        <v>0</v>
      </c>
      <c r="J49" s="68">
        <v>0</v>
      </c>
      <c r="K49" s="68">
        <v>0</v>
      </c>
      <c r="L49" s="68">
        <v>0</v>
      </c>
      <c r="M49" s="68">
        <v>0</v>
      </c>
      <c r="N49" s="68">
        <v>0</v>
      </c>
      <c r="O49" s="68">
        <v>0</v>
      </c>
      <c r="P49" s="68">
        <v>0</v>
      </c>
      <c r="Q49" s="68">
        <v>0</v>
      </c>
      <c r="R49" s="68">
        <v>0</v>
      </c>
      <c r="S49" s="68">
        <v>0</v>
      </c>
      <c r="T49" s="68">
        <v>0</v>
      </c>
      <c r="U49" s="68">
        <v>0</v>
      </c>
      <c r="V49" s="68">
        <v>0</v>
      </c>
      <c r="W49" s="68">
        <v>0</v>
      </c>
      <c r="X49" s="68">
        <v>0</v>
      </c>
      <c r="Y49" s="68">
        <v>0</v>
      </c>
      <c r="Z49" s="68">
        <v>0</v>
      </c>
      <c r="AA49" s="94">
        <v>0</v>
      </c>
      <c r="AB49" s="68">
        <v>0</v>
      </c>
      <c r="AC49" s="68">
        <v>0</v>
      </c>
      <c r="AD49" s="68">
        <v>0</v>
      </c>
      <c r="AE49" s="68">
        <v>0</v>
      </c>
      <c r="AF49" s="68">
        <v>0</v>
      </c>
      <c r="AG49" s="68">
        <v>0</v>
      </c>
      <c r="AH49" s="68">
        <v>0</v>
      </c>
      <c r="AI49" s="68">
        <v>0</v>
      </c>
      <c r="AJ49" s="68">
        <v>0</v>
      </c>
      <c r="AK49" s="68">
        <v>0</v>
      </c>
      <c r="AL49" s="68">
        <v>0</v>
      </c>
      <c r="AM49" s="67"/>
      <c r="AN49" s="68"/>
      <c r="AO49" s="69"/>
      <c r="AP49" s="69"/>
      <c r="AQ49" s="69"/>
      <c r="AR49" s="69"/>
      <c r="AS49" s="69"/>
      <c r="AT49" s="69"/>
      <c r="AU49" s="69"/>
      <c r="AV49" s="69"/>
      <c r="AW49" s="69"/>
      <c r="AX49" s="69"/>
      <c r="AY49" s="69"/>
      <c r="AZ49" s="69"/>
      <c r="BA49" s="69"/>
      <c r="BB49" s="69"/>
      <c r="BC49" s="69"/>
      <c r="BD49" s="69"/>
      <c r="BE49" s="69"/>
      <c r="BF49" s="69"/>
      <c r="BG49" s="69"/>
      <c r="BH49" s="69"/>
      <c r="BI49" s="69"/>
      <c r="BJ49" s="69"/>
      <c r="BK49" s="69"/>
      <c r="BL49" s="69"/>
      <c r="BM49" s="69"/>
      <c r="BN49" s="69"/>
      <c r="BO49" s="69"/>
      <c r="BP49" s="69"/>
      <c r="BQ49" s="69"/>
      <c r="BR49" s="69"/>
      <c r="BS49" s="69"/>
      <c r="BT49" s="69"/>
      <c r="BU49" s="69"/>
      <c r="BV49" s="69"/>
      <c r="BW49" s="69"/>
      <c r="BX49" s="69"/>
      <c r="BY49" s="69"/>
      <c r="BZ49" s="69"/>
      <c r="CA49" s="69"/>
      <c r="CB49" s="69"/>
      <c r="CC49" s="69"/>
      <c r="CD49" s="69"/>
      <c r="CE49" s="69"/>
      <c r="CF49" s="69"/>
      <c r="CG49" s="69"/>
      <c r="CH49" s="69"/>
      <c r="CI49" s="69"/>
      <c r="CJ49" s="69"/>
      <c r="CK49" s="69"/>
      <c r="CL49" s="69"/>
      <c r="CM49" s="69"/>
      <c r="CN49" s="69"/>
      <c r="CO49" s="69"/>
      <c r="CP49" s="69"/>
      <c r="CQ49" s="69"/>
      <c r="CR49" s="69"/>
      <c r="CS49" s="69"/>
      <c r="CT49" s="69"/>
      <c r="CU49" s="69"/>
      <c r="CV49" s="69"/>
      <c r="CW49" s="69"/>
      <c r="CX49" s="69"/>
      <c r="CY49" s="69"/>
      <c r="CZ49" s="69"/>
      <c r="DA49" s="69"/>
      <c r="DB49" s="69"/>
      <c r="DC49" s="69"/>
      <c r="DD49" s="69"/>
      <c r="DE49" s="69"/>
      <c r="DF49" s="69"/>
      <c r="DG49" s="69"/>
      <c r="DH49" s="69"/>
      <c r="DI49" s="69"/>
      <c r="DJ49" s="69"/>
      <c r="DK49" s="69"/>
      <c r="DL49" s="69"/>
      <c r="DM49" s="69"/>
      <c r="DN49" s="69"/>
      <c r="DO49" s="69"/>
      <c r="DP49" s="69"/>
      <c r="DQ49" s="69"/>
      <c r="DR49" s="69"/>
      <c r="DS49" s="69"/>
      <c r="DT49" s="69"/>
      <c r="DU49" s="69"/>
      <c r="DV49" s="69"/>
      <c r="DW49" s="69"/>
      <c r="DX49" s="69"/>
      <c r="DY49" s="69"/>
      <c r="DZ49" s="69"/>
      <c r="EA49" s="69"/>
      <c r="EB49" s="69"/>
      <c r="EC49" s="69"/>
      <c r="ED49" s="69"/>
      <c r="EE49" s="69"/>
      <c r="EF49" s="69"/>
      <c r="EG49" s="69"/>
      <c r="EH49" s="69"/>
      <c r="EI49" s="69"/>
      <c r="EJ49" s="69"/>
      <c r="EK49" s="69"/>
      <c r="EL49" s="69"/>
      <c r="EM49" s="69"/>
      <c r="EN49" s="69"/>
      <c r="EO49" s="69"/>
      <c r="EP49" s="69"/>
      <c r="EQ49" s="69"/>
      <c r="ER49" s="69"/>
      <c r="ES49" s="69"/>
      <c r="ET49" s="69"/>
      <c r="EU49" s="69"/>
      <c r="EV49" s="69"/>
      <c r="EW49" s="69"/>
      <c r="EX49" s="69"/>
      <c r="EY49" s="69"/>
      <c r="EZ49" s="69"/>
      <c r="FA49" s="69"/>
      <c r="FB49" s="69"/>
      <c r="FC49" s="69"/>
      <c r="FD49" s="69"/>
      <c r="FE49" s="69"/>
      <c r="FF49" s="69"/>
      <c r="FG49" s="69"/>
      <c r="FH49" s="69"/>
      <c r="FI49" s="69"/>
      <c r="FJ49" s="69"/>
      <c r="FK49" s="69"/>
      <c r="FL49" s="69"/>
      <c r="FM49" s="69"/>
      <c r="FN49" s="69"/>
      <c r="FO49" s="69"/>
      <c r="FP49" s="69"/>
      <c r="FQ49" s="69"/>
      <c r="FR49" s="69"/>
      <c r="FS49" s="69"/>
      <c r="FT49" s="69"/>
      <c r="FU49" s="69"/>
      <c r="FV49" s="69"/>
      <c r="FW49" s="69"/>
      <c r="FX49" s="69"/>
      <c r="FY49" s="69"/>
      <c r="FZ49" s="69"/>
      <c r="GA49" s="69"/>
      <c r="GB49" s="69"/>
      <c r="GC49" s="69"/>
      <c r="GD49" s="69"/>
      <c r="GE49" s="69"/>
      <c r="GF49" s="69"/>
      <c r="GG49" s="165"/>
    </row>
    <row r="50" spans="1:189" s="66" customFormat="1" x14ac:dyDescent="0.2">
      <c r="A50"/>
      <c r="B50" s="82">
        <v>41518</v>
      </c>
      <c r="C50" s="68">
        <v>0</v>
      </c>
      <c r="D50" s="68">
        <v>0</v>
      </c>
      <c r="E50" s="68">
        <v>0</v>
      </c>
      <c r="F50" s="68">
        <v>0</v>
      </c>
      <c r="G50" s="68">
        <v>0</v>
      </c>
      <c r="H50" s="68">
        <v>0</v>
      </c>
      <c r="I50" s="68">
        <v>0</v>
      </c>
      <c r="J50" s="68">
        <v>0</v>
      </c>
      <c r="K50" s="68">
        <v>0</v>
      </c>
      <c r="L50" s="68">
        <v>0</v>
      </c>
      <c r="M50" s="68">
        <v>0</v>
      </c>
      <c r="N50" s="68">
        <v>0</v>
      </c>
      <c r="O50" s="68">
        <v>0</v>
      </c>
      <c r="P50" s="68">
        <v>0</v>
      </c>
      <c r="Q50" s="68">
        <v>0</v>
      </c>
      <c r="R50" s="68">
        <v>0</v>
      </c>
      <c r="S50" s="68">
        <v>0</v>
      </c>
      <c r="T50" s="68">
        <v>0</v>
      </c>
      <c r="U50" s="68">
        <v>0</v>
      </c>
      <c r="V50" s="68">
        <v>0</v>
      </c>
      <c r="W50" s="68">
        <v>0</v>
      </c>
      <c r="X50" s="68">
        <v>0</v>
      </c>
      <c r="Y50" s="68">
        <v>0</v>
      </c>
      <c r="Z50" s="68">
        <v>0</v>
      </c>
      <c r="AA50" s="68">
        <v>0</v>
      </c>
      <c r="AB50" s="94">
        <v>0</v>
      </c>
      <c r="AC50" s="68">
        <v>0</v>
      </c>
      <c r="AD50" s="68">
        <v>0</v>
      </c>
      <c r="AE50" s="68">
        <v>0</v>
      </c>
      <c r="AF50" s="68">
        <v>0</v>
      </c>
      <c r="AG50" s="68">
        <v>0</v>
      </c>
      <c r="AH50" s="68">
        <v>0</v>
      </c>
      <c r="AI50" s="68">
        <v>0</v>
      </c>
      <c r="AJ50" s="68">
        <v>0</v>
      </c>
      <c r="AK50" s="68">
        <v>0</v>
      </c>
      <c r="AL50" s="68">
        <v>0</v>
      </c>
      <c r="AM50" s="68">
        <v>0</v>
      </c>
      <c r="AN50" s="67"/>
      <c r="AO50" s="68"/>
      <c r="AP50" s="69"/>
      <c r="AQ50" s="69"/>
      <c r="AR50" s="69"/>
      <c r="AS50" s="69"/>
      <c r="AT50" s="69"/>
      <c r="AU50" s="69"/>
      <c r="AV50" s="69"/>
      <c r="AW50" s="69"/>
      <c r="AX50" s="69"/>
      <c r="AY50" s="69"/>
      <c r="AZ50" s="69"/>
      <c r="BA50" s="69"/>
      <c r="BB50" s="69"/>
      <c r="BC50" s="69"/>
      <c r="BD50" s="69"/>
      <c r="BE50" s="69"/>
      <c r="BF50" s="69"/>
      <c r="BG50" s="69"/>
      <c r="BH50" s="69"/>
      <c r="BI50" s="69"/>
      <c r="BJ50" s="69"/>
      <c r="BK50" s="69"/>
      <c r="BL50" s="69"/>
      <c r="BM50" s="69"/>
      <c r="BN50" s="69"/>
      <c r="BO50" s="69"/>
      <c r="BP50" s="69"/>
      <c r="BQ50" s="69"/>
      <c r="BR50" s="69"/>
      <c r="BS50" s="69"/>
      <c r="BT50" s="69"/>
      <c r="BU50" s="69"/>
      <c r="BV50" s="69"/>
      <c r="BW50" s="69"/>
      <c r="BX50" s="69"/>
      <c r="BY50" s="69"/>
      <c r="BZ50" s="69"/>
      <c r="CA50" s="69"/>
      <c r="CB50" s="69"/>
      <c r="CC50" s="69"/>
      <c r="CD50" s="69"/>
      <c r="CE50" s="69"/>
      <c r="CF50" s="69"/>
      <c r="CG50" s="69"/>
      <c r="CH50" s="69"/>
      <c r="CI50" s="69"/>
      <c r="CJ50" s="69"/>
      <c r="CK50" s="69"/>
      <c r="CL50" s="69"/>
      <c r="CM50" s="69"/>
      <c r="CN50" s="69"/>
      <c r="CO50" s="69"/>
      <c r="CP50" s="69"/>
      <c r="CQ50" s="69"/>
      <c r="CR50" s="69"/>
      <c r="CS50" s="69"/>
      <c r="CT50" s="69"/>
      <c r="CU50" s="69"/>
      <c r="CV50" s="69"/>
      <c r="CW50" s="69"/>
      <c r="CX50" s="69"/>
      <c r="CY50" s="69"/>
      <c r="CZ50" s="69"/>
      <c r="DA50" s="69"/>
      <c r="DB50" s="69"/>
      <c r="DC50" s="69"/>
      <c r="DD50" s="69"/>
      <c r="DE50" s="69"/>
      <c r="DF50" s="69"/>
      <c r="DG50" s="69"/>
      <c r="DH50" s="69"/>
      <c r="DI50" s="69"/>
      <c r="DJ50" s="69"/>
      <c r="DK50" s="69"/>
      <c r="DL50" s="69"/>
      <c r="DM50" s="69"/>
      <c r="DN50" s="69"/>
      <c r="DO50" s="69"/>
      <c r="DP50" s="69"/>
      <c r="DQ50" s="69"/>
      <c r="DR50" s="69"/>
      <c r="DS50" s="69"/>
      <c r="DT50" s="69"/>
      <c r="DU50" s="69"/>
      <c r="DV50" s="69"/>
      <c r="DW50" s="69"/>
      <c r="DX50" s="69"/>
      <c r="DY50" s="69"/>
      <c r="DZ50" s="69"/>
      <c r="EA50" s="69"/>
      <c r="EB50" s="69"/>
      <c r="EC50" s="69"/>
      <c r="ED50" s="69"/>
      <c r="EE50" s="69"/>
      <c r="EF50" s="69"/>
      <c r="EG50" s="69"/>
      <c r="EH50" s="69"/>
      <c r="EI50" s="69"/>
      <c r="EJ50" s="69"/>
      <c r="EK50" s="69"/>
      <c r="EL50" s="69"/>
      <c r="EM50" s="69"/>
      <c r="EN50" s="69"/>
      <c r="EO50" s="69"/>
      <c r="EP50" s="69"/>
      <c r="EQ50" s="69"/>
      <c r="ER50" s="69"/>
      <c r="ES50" s="69"/>
      <c r="ET50" s="69"/>
      <c r="EU50" s="69"/>
      <c r="EV50" s="69"/>
      <c r="EW50" s="69"/>
      <c r="EX50" s="69"/>
      <c r="EY50" s="69"/>
      <c r="EZ50" s="69"/>
      <c r="FA50" s="69"/>
      <c r="FB50" s="69"/>
      <c r="FC50" s="69"/>
      <c r="FD50" s="69"/>
      <c r="FE50" s="69"/>
      <c r="FF50" s="69"/>
      <c r="FG50" s="69"/>
      <c r="FH50" s="69"/>
      <c r="FI50" s="69"/>
      <c r="FJ50" s="69"/>
      <c r="FK50" s="69"/>
      <c r="FL50" s="69"/>
      <c r="FM50" s="69"/>
      <c r="FN50" s="69"/>
      <c r="FO50" s="69"/>
      <c r="FP50" s="69"/>
      <c r="FQ50" s="69"/>
      <c r="FR50" s="69"/>
      <c r="FS50" s="69"/>
      <c r="FT50" s="69"/>
      <c r="FU50" s="69"/>
      <c r="FV50" s="69"/>
      <c r="FW50" s="69"/>
      <c r="FX50" s="69"/>
      <c r="FY50" s="69"/>
      <c r="FZ50" s="69"/>
      <c r="GA50" s="69"/>
      <c r="GB50" s="69"/>
      <c r="GC50" s="69"/>
      <c r="GD50" s="69"/>
      <c r="GE50" s="69"/>
      <c r="GF50" s="69"/>
      <c r="GG50" s="165"/>
    </row>
    <row r="51" spans="1:189" s="66" customFormat="1" x14ac:dyDescent="0.2">
      <c r="A51"/>
      <c r="B51" s="82">
        <v>41548</v>
      </c>
      <c r="C51" s="68">
        <v>0</v>
      </c>
      <c r="D51" s="68">
        <v>0</v>
      </c>
      <c r="E51" s="68">
        <v>0</v>
      </c>
      <c r="F51" s="68">
        <v>0</v>
      </c>
      <c r="G51" s="68">
        <v>0</v>
      </c>
      <c r="H51" s="68">
        <v>0</v>
      </c>
      <c r="I51" s="68">
        <v>0</v>
      </c>
      <c r="J51" s="68">
        <v>0</v>
      </c>
      <c r="K51" s="68">
        <v>0</v>
      </c>
      <c r="L51" s="68">
        <v>0</v>
      </c>
      <c r="M51" s="68">
        <v>0</v>
      </c>
      <c r="N51" s="68">
        <v>0</v>
      </c>
      <c r="O51" s="68">
        <v>0</v>
      </c>
      <c r="P51" s="68">
        <v>0</v>
      </c>
      <c r="Q51" s="68">
        <v>0</v>
      </c>
      <c r="R51" s="68">
        <v>0</v>
      </c>
      <c r="S51" s="68">
        <v>0</v>
      </c>
      <c r="T51" s="68">
        <v>0</v>
      </c>
      <c r="U51" s="68">
        <v>0</v>
      </c>
      <c r="V51" s="68">
        <v>0</v>
      </c>
      <c r="W51" s="68">
        <v>0</v>
      </c>
      <c r="X51" s="68">
        <v>0</v>
      </c>
      <c r="Y51" s="68">
        <v>0</v>
      </c>
      <c r="Z51" s="68">
        <v>0</v>
      </c>
      <c r="AA51" s="68">
        <v>0</v>
      </c>
      <c r="AB51" s="68">
        <v>0</v>
      </c>
      <c r="AC51" s="94">
        <v>0</v>
      </c>
      <c r="AD51" s="68">
        <v>0</v>
      </c>
      <c r="AE51" s="68">
        <v>0</v>
      </c>
      <c r="AF51" s="68">
        <v>0</v>
      </c>
      <c r="AG51" s="68">
        <v>0</v>
      </c>
      <c r="AH51" s="68">
        <v>0</v>
      </c>
      <c r="AI51" s="68">
        <v>0</v>
      </c>
      <c r="AJ51" s="68">
        <v>0</v>
      </c>
      <c r="AK51" s="68">
        <v>0</v>
      </c>
      <c r="AL51" s="68">
        <v>0</v>
      </c>
      <c r="AM51" s="68">
        <v>0</v>
      </c>
      <c r="AN51" s="68">
        <v>0</v>
      </c>
      <c r="AO51" s="67"/>
      <c r="AP51" s="68"/>
      <c r="AQ51" s="69"/>
      <c r="AR51" s="69"/>
      <c r="AS51" s="69"/>
      <c r="AT51" s="69"/>
      <c r="AU51" s="69"/>
      <c r="AV51" s="69"/>
      <c r="AW51" s="69"/>
      <c r="AX51" s="69"/>
      <c r="AY51" s="69"/>
      <c r="AZ51" s="69"/>
      <c r="BA51" s="69"/>
      <c r="BB51" s="69"/>
      <c r="BC51" s="69"/>
      <c r="BD51" s="69"/>
      <c r="BE51" s="69"/>
      <c r="BF51" s="69"/>
      <c r="BG51" s="69"/>
      <c r="BH51" s="69"/>
      <c r="BI51" s="69"/>
      <c r="BJ51" s="69"/>
      <c r="BK51" s="69"/>
      <c r="BL51" s="69"/>
      <c r="BM51" s="69"/>
      <c r="BN51" s="69"/>
      <c r="BO51" s="69"/>
      <c r="BP51" s="69"/>
      <c r="BQ51" s="69"/>
      <c r="BR51" s="69"/>
      <c r="BS51" s="69"/>
      <c r="BT51" s="69"/>
      <c r="BU51" s="69"/>
      <c r="BV51" s="69"/>
      <c r="BW51" s="69"/>
      <c r="BX51" s="69"/>
      <c r="BY51" s="69"/>
      <c r="BZ51" s="69"/>
      <c r="CA51" s="69"/>
      <c r="CB51" s="69"/>
      <c r="CC51" s="69"/>
      <c r="CD51" s="69"/>
      <c r="CE51" s="69"/>
      <c r="CF51" s="69"/>
      <c r="CG51" s="69"/>
      <c r="CH51" s="69"/>
      <c r="CI51" s="69"/>
      <c r="CJ51" s="69"/>
      <c r="CK51" s="69"/>
      <c r="CL51" s="69"/>
      <c r="CM51" s="69"/>
      <c r="CN51" s="69"/>
      <c r="CO51" s="69"/>
      <c r="CP51" s="69"/>
      <c r="CQ51" s="69"/>
      <c r="CR51" s="69"/>
      <c r="CS51" s="69"/>
      <c r="CT51" s="69"/>
      <c r="CU51" s="69"/>
      <c r="CV51" s="69"/>
      <c r="CW51" s="69"/>
      <c r="CX51" s="69"/>
      <c r="CY51" s="69"/>
      <c r="CZ51" s="69"/>
      <c r="DA51" s="69"/>
      <c r="DB51" s="69"/>
      <c r="DC51" s="69"/>
      <c r="DD51" s="69"/>
      <c r="DE51" s="69"/>
      <c r="DF51" s="69"/>
      <c r="DG51" s="69"/>
      <c r="DH51" s="69"/>
      <c r="DI51" s="69"/>
      <c r="DJ51" s="69"/>
      <c r="DK51" s="69"/>
      <c r="DL51" s="69"/>
      <c r="DM51" s="69"/>
      <c r="DN51" s="69"/>
      <c r="DO51" s="69"/>
      <c r="DP51" s="69"/>
      <c r="DQ51" s="69"/>
      <c r="DR51" s="69"/>
      <c r="DS51" s="69"/>
      <c r="DT51" s="69"/>
      <c r="DU51" s="69"/>
      <c r="DV51" s="69"/>
      <c r="DW51" s="69"/>
      <c r="DX51" s="69"/>
      <c r="DY51" s="69"/>
      <c r="DZ51" s="69"/>
      <c r="EA51" s="69"/>
      <c r="EB51" s="69"/>
      <c r="EC51" s="69"/>
      <c r="ED51" s="69"/>
      <c r="EE51" s="69"/>
      <c r="EF51" s="69"/>
      <c r="EG51" s="69"/>
      <c r="EH51" s="69"/>
      <c r="EI51" s="69"/>
      <c r="EJ51" s="69"/>
      <c r="EK51" s="69"/>
      <c r="EL51" s="69"/>
      <c r="EM51" s="69"/>
      <c r="EN51" s="69"/>
      <c r="EO51" s="69"/>
      <c r="EP51" s="69"/>
      <c r="EQ51" s="69"/>
      <c r="ER51" s="69"/>
      <c r="ES51" s="69"/>
      <c r="ET51" s="69"/>
      <c r="EU51" s="69"/>
      <c r="EV51" s="69"/>
      <c r="EW51" s="69"/>
      <c r="EX51" s="69"/>
      <c r="EY51" s="69"/>
      <c r="EZ51" s="69"/>
      <c r="FA51" s="69"/>
      <c r="FB51" s="69"/>
      <c r="FC51" s="69"/>
      <c r="FD51" s="69"/>
      <c r="FE51" s="69"/>
      <c r="FF51" s="69"/>
      <c r="FG51" s="69"/>
      <c r="FH51" s="69"/>
      <c r="FI51" s="69"/>
      <c r="FJ51" s="69"/>
      <c r="FK51" s="69"/>
      <c r="FL51" s="69"/>
      <c r="FM51" s="69"/>
      <c r="FN51" s="69"/>
      <c r="FO51" s="69"/>
      <c r="FP51" s="69"/>
      <c r="FQ51" s="69"/>
      <c r="FR51" s="69"/>
      <c r="FS51" s="69"/>
      <c r="FT51" s="69"/>
      <c r="FU51" s="69"/>
      <c r="FV51" s="69"/>
      <c r="FW51" s="69"/>
      <c r="FX51" s="69"/>
      <c r="FY51" s="69"/>
      <c r="FZ51" s="69"/>
      <c r="GA51" s="69"/>
      <c r="GB51" s="69"/>
      <c r="GC51" s="69"/>
      <c r="GD51" s="69"/>
      <c r="GE51" s="69"/>
      <c r="GF51" s="69"/>
      <c r="GG51" s="165"/>
    </row>
    <row r="52" spans="1:189" s="66" customFormat="1" x14ac:dyDescent="0.2">
      <c r="A52"/>
      <c r="B52" s="82">
        <v>41579</v>
      </c>
      <c r="C52" s="68">
        <v>0</v>
      </c>
      <c r="D52" s="68">
        <v>0</v>
      </c>
      <c r="E52" s="68">
        <v>0</v>
      </c>
      <c r="F52" s="68">
        <v>0</v>
      </c>
      <c r="G52" s="68">
        <v>0</v>
      </c>
      <c r="H52" s="68">
        <v>0</v>
      </c>
      <c r="I52" s="68">
        <v>0</v>
      </c>
      <c r="J52" s="68">
        <v>0</v>
      </c>
      <c r="K52" s="68">
        <v>0</v>
      </c>
      <c r="L52" s="68">
        <v>0</v>
      </c>
      <c r="M52" s="68">
        <v>0</v>
      </c>
      <c r="N52" s="68">
        <v>0</v>
      </c>
      <c r="O52" s="68">
        <v>0</v>
      </c>
      <c r="P52" s="68">
        <v>0</v>
      </c>
      <c r="Q52" s="68">
        <v>0</v>
      </c>
      <c r="R52" s="68">
        <v>0</v>
      </c>
      <c r="S52" s="68">
        <v>0</v>
      </c>
      <c r="T52" s="68">
        <v>0</v>
      </c>
      <c r="U52" s="68">
        <v>0</v>
      </c>
      <c r="V52" s="68">
        <v>0</v>
      </c>
      <c r="W52" s="68">
        <v>0</v>
      </c>
      <c r="X52" s="68">
        <v>0</v>
      </c>
      <c r="Y52" s="68">
        <v>0</v>
      </c>
      <c r="Z52" s="68">
        <v>0</v>
      </c>
      <c r="AA52" s="68">
        <v>0</v>
      </c>
      <c r="AB52" s="68">
        <v>0</v>
      </c>
      <c r="AC52" s="68">
        <v>0</v>
      </c>
      <c r="AD52" s="94">
        <v>0</v>
      </c>
      <c r="AE52" s="68">
        <v>0</v>
      </c>
      <c r="AF52" s="68">
        <v>0</v>
      </c>
      <c r="AG52" s="68">
        <v>0</v>
      </c>
      <c r="AH52" s="68">
        <v>0</v>
      </c>
      <c r="AI52" s="68">
        <v>0</v>
      </c>
      <c r="AJ52" s="68">
        <v>0</v>
      </c>
      <c r="AK52" s="68">
        <v>0</v>
      </c>
      <c r="AL52" s="68">
        <v>0</v>
      </c>
      <c r="AM52" s="68">
        <v>0</v>
      </c>
      <c r="AN52" s="68">
        <v>0</v>
      </c>
      <c r="AO52" s="68">
        <v>0</v>
      </c>
      <c r="AP52" s="67"/>
      <c r="AQ52" s="68"/>
      <c r="AR52" s="69"/>
      <c r="AS52" s="69"/>
      <c r="AT52" s="69"/>
      <c r="AU52" s="69"/>
      <c r="AV52" s="69"/>
      <c r="AW52" s="69"/>
      <c r="AX52" s="69"/>
      <c r="AY52" s="69"/>
      <c r="AZ52" s="69"/>
      <c r="BA52" s="69"/>
      <c r="BB52" s="69"/>
      <c r="BC52" s="69"/>
      <c r="BD52" s="69"/>
      <c r="BE52" s="69"/>
      <c r="BF52" s="69"/>
      <c r="BG52" s="69"/>
      <c r="BH52" s="69"/>
      <c r="BI52" s="69"/>
      <c r="BJ52" s="69"/>
      <c r="BK52" s="69"/>
      <c r="BL52" s="69"/>
      <c r="BM52" s="69"/>
      <c r="BN52" s="69"/>
      <c r="BO52" s="69"/>
      <c r="BP52" s="69"/>
      <c r="BQ52" s="69"/>
      <c r="BR52" s="69"/>
      <c r="BS52" s="69"/>
      <c r="BT52" s="69"/>
      <c r="BU52" s="69"/>
      <c r="BV52" s="69"/>
      <c r="BW52" s="69"/>
      <c r="BX52" s="69"/>
      <c r="BY52" s="69"/>
      <c r="BZ52" s="69"/>
      <c r="CA52" s="69"/>
      <c r="CB52" s="69"/>
      <c r="CC52" s="69"/>
      <c r="CD52" s="69"/>
      <c r="CE52" s="69"/>
      <c r="CF52" s="69"/>
      <c r="CG52" s="69"/>
      <c r="CH52" s="69"/>
      <c r="CI52" s="69"/>
      <c r="CJ52" s="69"/>
      <c r="CK52" s="69"/>
      <c r="CL52" s="69"/>
      <c r="CM52" s="69"/>
      <c r="CN52" s="69"/>
      <c r="CO52" s="69"/>
      <c r="CP52" s="69"/>
      <c r="CQ52" s="69"/>
      <c r="CR52" s="69"/>
      <c r="CS52" s="69"/>
      <c r="CT52" s="69"/>
      <c r="CU52" s="69"/>
      <c r="CV52" s="69"/>
      <c r="CW52" s="69"/>
      <c r="CX52" s="69"/>
      <c r="CY52" s="69"/>
      <c r="CZ52" s="69"/>
      <c r="DA52" s="69"/>
      <c r="DB52" s="69"/>
      <c r="DC52" s="69"/>
      <c r="DD52" s="69"/>
      <c r="DE52" s="69"/>
      <c r="DF52" s="69"/>
      <c r="DG52" s="69"/>
      <c r="DH52" s="69"/>
      <c r="DI52" s="69"/>
      <c r="DJ52" s="69"/>
      <c r="DK52" s="69"/>
      <c r="DL52" s="69"/>
      <c r="DM52" s="69"/>
      <c r="DN52" s="69"/>
      <c r="DO52" s="69"/>
      <c r="DP52" s="69"/>
      <c r="DQ52" s="69"/>
      <c r="DR52" s="69"/>
      <c r="DS52" s="69"/>
      <c r="DT52" s="69"/>
      <c r="DU52" s="69"/>
      <c r="DV52" s="69"/>
      <c r="DW52" s="69"/>
      <c r="DX52" s="69"/>
      <c r="DY52" s="69"/>
      <c r="DZ52" s="69"/>
      <c r="EA52" s="69"/>
      <c r="EB52" s="69"/>
      <c r="EC52" s="69"/>
      <c r="ED52" s="69"/>
      <c r="EE52" s="69"/>
      <c r="EF52" s="69"/>
      <c r="EG52" s="69"/>
      <c r="EH52" s="69"/>
      <c r="EI52" s="69"/>
      <c r="EJ52" s="69"/>
      <c r="EK52" s="69"/>
      <c r="EL52" s="69"/>
      <c r="EM52" s="69"/>
      <c r="EN52" s="69"/>
      <c r="EO52" s="69"/>
      <c r="EP52" s="69"/>
      <c r="EQ52" s="69"/>
      <c r="ER52" s="69"/>
      <c r="ES52" s="69"/>
      <c r="ET52" s="69"/>
      <c r="EU52" s="69"/>
      <c r="EV52" s="69"/>
      <c r="EW52" s="69"/>
      <c r="EX52" s="69"/>
      <c r="EY52" s="69"/>
      <c r="EZ52" s="69"/>
      <c r="FA52" s="69"/>
      <c r="FB52" s="69"/>
      <c r="FC52" s="69"/>
      <c r="FD52" s="69"/>
      <c r="FE52" s="69"/>
      <c r="FF52" s="69"/>
      <c r="FG52" s="69"/>
      <c r="FH52" s="69"/>
      <c r="FI52" s="69"/>
      <c r="FJ52" s="69"/>
      <c r="FK52" s="69"/>
      <c r="FL52" s="69"/>
      <c r="FM52" s="69"/>
      <c r="FN52" s="69"/>
      <c r="FO52" s="69"/>
      <c r="FP52" s="69"/>
      <c r="FQ52" s="69"/>
      <c r="FR52" s="69"/>
      <c r="FS52" s="69"/>
      <c r="FT52" s="69"/>
      <c r="FU52" s="69"/>
      <c r="FV52" s="69"/>
      <c r="FW52" s="69"/>
      <c r="FX52" s="69"/>
      <c r="FY52" s="69"/>
      <c r="FZ52" s="69"/>
      <c r="GA52" s="69"/>
      <c r="GB52" s="69"/>
      <c r="GC52" s="69"/>
      <c r="GD52" s="69"/>
      <c r="GE52" s="69"/>
      <c r="GF52" s="69"/>
      <c r="GG52" s="165"/>
    </row>
    <row r="53" spans="1:189" s="66" customFormat="1" x14ac:dyDescent="0.2">
      <c r="A53"/>
      <c r="B53" s="82">
        <v>41609</v>
      </c>
      <c r="C53" s="68">
        <v>0</v>
      </c>
      <c r="D53" s="68">
        <v>0</v>
      </c>
      <c r="E53" s="68">
        <v>0</v>
      </c>
      <c r="F53" s="68">
        <v>0</v>
      </c>
      <c r="G53" s="68">
        <v>0</v>
      </c>
      <c r="H53" s="68">
        <v>0</v>
      </c>
      <c r="I53" s="68">
        <v>0</v>
      </c>
      <c r="J53" s="68">
        <v>0</v>
      </c>
      <c r="K53" s="68">
        <v>0</v>
      </c>
      <c r="L53" s="68">
        <v>0</v>
      </c>
      <c r="M53" s="68">
        <v>0</v>
      </c>
      <c r="N53" s="68">
        <v>0</v>
      </c>
      <c r="O53" s="68">
        <v>0</v>
      </c>
      <c r="P53" s="68">
        <v>0</v>
      </c>
      <c r="Q53" s="68">
        <v>0</v>
      </c>
      <c r="R53" s="68">
        <v>0</v>
      </c>
      <c r="S53" s="68">
        <v>0</v>
      </c>
      <c r="T53" s="68">
        <v>0</v>
      </c>
      <c r="U53" s="68">
        <v>0</v>
      </c>
      <c r="V53" s="68">
        <v>0</v>
      </c>
      <c r="W53" s="68">
        <v>0</v>
      </c>
      <c r="X53" s="68">
        <v>0</v>
      </c>
      <c r="Y53" s="68">
        <v>0</v>
      </c>
      <c r="Z53" s="68">
        <v>0</v>
      </c>
      <c r="AA53" s="68">
        <v>0</v>
      </c>
      <c r="AB53" s="68">
        <v>0</v>
      </c>
      <c r="AC53" s="68">
        <v>0</v>
      </c>
      <c r="AD53" s="68">
        <v>0</v>
      </c>
      <c r="AE53" s="94">
        <v>0</v>
      </c>
      <c r="AF53" s="68">
        <v>0</v>
      </c>
      <c r="AG53" s="68">
        <v>0</v>
      </c>
      <c r="AH53" s="68">
        <v>0</v>
      </c>
      <c r="AI53" s="68">
        <v>0</v>
      </c>
      <c r="AJ53" s="68">
        <v>0</v>
      </c>
      <c r="AK53" s="68">
        <v>0</v>
      </c>
      <c r="AL53" s="68">
        <v>0</v>
      </c>
      <c r="AM53" s="68">
        <v>0</v>
      </c>
      <c r="AN53" s="68">
        <v>0</v>
      </c>
      <c r="AO53" s="68">
        <v>0</v>
      </c>
      <c r="AP53" s="68">
        <v>0</v>
      </c>
      <c r="AQ53" s="67"/>
      <c r="AR53" s="68"/>
      <c r="AS53" s="69"/>
      <c r="AT53" s="69"/>
      <c r="AU53" s="69"/>
      <c r="AV53" s="69"/>
      <c r="AW53" s="69"/>
      <c r="AX53" s="69"/>
      <c r="AY53" s="69"/>
      <c r="AZ53" s="69"/>
      <c r="BA53" s="69"/>
      <c r="BB53" s="69"/>
      <c r="BC53" s="69"/>
      <c r="BD53" s="69"/>
      <c r="BE53" s="69"/>
      <c r="BF53" s="69"/>
      <c r="BG53" s="69"/>
      <c r="BH53" s="69"/>
      <c r="BI53" s="69"/>
      <c r="BJ53" s="69"/>
      <c r="BK53" s="69"/>
      <c r="BL53" s="69"/>
      <c r="BM53" s="69"/>
      <c r="BN53" s="69"/>
      <c r="BO53" s="69"/>
      <c r="BP53" s="69"/>
      <c r="BQ53" s="69"/>
      <c r="BR53" s="69"/>
      <c r="BS53" s="69"/>
      <c r="BT53" s="69"/>
      <c r="BU53" s="69"/>
      <c r="BV53" s="69"/>
      <c r="BW53" s="69"/>
      <c r="BX53" s="69"/>
      <c r="BY53" s="69"/>
      <c r="BZ53" s="69"/>
      <c r="CA53" s="69"/>
      <c r="CB53" s="69"/>
      <c r="CC53" s="69"/>
      <c r="CD53" s="69"/>
      <c r="CE53" s="69"/>
      <c r="CF53" s="69"/>
      <c r="CG53" s="69"/>
      <c r="CH53" s="69"/>
      <c r="CI53" s="69"/>
      <c r="CJ53" s="69"/>
      <c r="CK53" s="69"/>
      <c r="CL53" s="69"/>
      <c r="CM53" s="69"/>
      <c r="CN53" s="69"/>
      <c r="CO53" s="69"/>
      <c r="CP53" s="69"/>
      <c r="CQ53" s="69"/>
      <c r="CR53" s="69"/>
      <c r="CS53" s="69"/>
      <c r="CT53" s="69"/>
      <c r="CU53" s="69"/>
      <c r="CV53" s="69"/>
      <c r="CW53" s="69"/>
      <c r="CX53" s="69"/>
      <c r="CY53" s="69"/>
      <c r="CZ53" s="69"/>
      <c r="DA53" s="69"/>
      <c r="DB53" s="69"/>
      <c r="DC53" s="69"/>
      <c r="DD53" s="69"/>
      <c r="DE53" s="69"/>
      <c r="DF53" s="69"/>
      <c r="DG53" s="69"/>
      <c r="DH53" s="69"/>
      <c r="DI53" s="69"/>
      <c r="DJ53" s="69"/>
      <c r="DK53" s="69"/>
      <c r="DL53" s="69"/>
      <c r="DM53" s="69"/>
      <c r="DN53" s="69"/>
      <c r="DO53" s="69"/>
      <c r="DP53" s="69"/>
      <c r="DQ53" s="69"/>
      <c r="DR53" s="69"/>
      <c r="DS53" s="69"/>
      <c r="DT53" s="69"/>
      <c r="DU53" s="69"/>
      <c r="DV53" s="69"/>
      <c r="DW53" s="69"/>
      <c r="DX53" s="69"/>
      <c r="DY53" s="69"/>
      <c r="DZ53" s="69"/>
      <c r="EA53" s="69"/>
      <c r="EB53" s="69"/>
      <c r="EC53" s="69"/>
      <c r="ED53" s="69"/>
      <c r="EE53" s="69"/>
      <c r="EF53" s="69"/>
      <c r="EG53" s="69"/>
      <c r="EH53" s="69"/>
      <c r="EI53" s="69"/>
      <c r="EJ53" s="69"/>
      <c r="EK53" s="69"/>
      <c r="EL53" s="69"/>
      <c r="EM53" s="69"/>
      <c r="EN53" s="69"/>
      <c r="EO53" s="69"/>
      <c r="EP53" s="69"/>
      <c r="EQ53" s="69"/>
      <c r="ER53" s="69"/>
      <c r="ES53" s="69"/>
      <c r="ET53" s="69"/>
      <c r="EU53" s="69"/>
      <c r="EV53" s="69"/>
      <c r="EW53" s="69"/>
      <c r="EX53" s="69"/>
      <c r="EY53" s="69"/>
      <c r="EZ53" s="69"/>
      <c r="FA53" s="69"/>
      <c r="FB53" s="69"/>
      <c r="FC53" s="69"/>
      <c r="FD53" s="69"/>
      <c r="FE53" s="69"/>
      <c r="FF53" s="69"/>
      <c r="FG53" s="69"/>
      <c r="FH53" s="69"/>
      <c r="FI53" s="69"/>
      <c r="FJ53" s="69"/>
      <c r="FK53" s="69"/>
      <c r="FL53" s="69"/>
      <c r="FM53" s="69"/>
      <c r="FN53" s="69"/>
      <c r="FO53" s="69"/>
      <c r="FP53" s="69"/>
      <c r="FQ53" s="69"/>
      <c r="FR53" s="69"/>
      <c r="FS53" s="69"/>
      <c r="FT53" s="69"/>
      <c r="FU53" s="69"/>
      <c r="FV53" s="69"/>
      <c r="FW53" s="69"/>
      <c r="FX53" s="69"/>
      <c r="FY53" s="69"/>
      <c r="FZ53" s="69"/>
      <c r="GA53" s="69"/>
      <c r="GB53" s="69"/>
      <c r="GC53" s="69"/>
      <c r="GD53" s="69"/>
      <c r="GE53" s="69"/>
      <c r="GF53" s="69"/>
      <c r="GG53" s="165"/>
    </row>
    <row r="54" spans="1:189" s="66" customFormat="1" x14ac:dyDescent="0.2">
      <c r="A54"/>
      <c r="B54" s="82">
        <v>41640</v>
      </c>
      <c r="C54" s="68">
        <v>0</v>
      </c>
      <c r="D54" s="68">
        <v>0</v>
      </c>
      <c r="E54" s="68">
        <v>0</v>
      </c>
      <c r="F54" s="68">
        <v>0</v>
      </c>
      <c r="G54" s="68">
        <v>0</v>
      </c>
      <c r="H54" s="68">
        <v>0</v>
      </c>
      <c r="I54" s="68">
        <v>0</v>
      </c>
      <c r="J54" s="68">
        <v>0</v>
      </c>
      <c r="K54" s="68">
        <v>0</v>
      </c>
      <c r="L54" s="68">
        <v>0</v>
      </c>
      <c r="M54" s="68">
        <v>0</v>
      </c>
      <c r="N54" s="68">
        <v>0</v>
      </c>
      <c r="O54" s="68">
        <v>0</v>
      </c>
      <c r="P54" s="68">
        <v>0</v>
      </c>
      <c r="Q54" s="68">
        <v>0</v>
      </c>
      <c r="R54" s="68">
        <v>0</v>
      </c>
      <c r="S54" s="68">
        <v>0</v>
      </c>
      <c r="T54" s="68">
        <v>0</v>
      </c>
      <c r="U54" s="68">
        <v>0</v>
      </c>
      <c r="V54" s="68">
        <v>0</v>
      </c>
      <c r="W54" s="68">
        <v>0</v>
      </c>
      <c r="X54" s="68">
        <v>0</v>
      </c>
      <c r="Y54" s="68">
        <v>0</v>
      </c>
      <c r="Z54" s="68">
        <v>0</v>
      </c>
      <c r="AA54" s="68">
        <v>0</v>
      </c>
      <c r="AB54" s="68">
        <v>0</v>
      </c>
      <c r="AC54" s="68">
        <v>0</v>
      </c>
      <c r="AD54" s="68">
        <v>0</v>
      </c>
      <c r="AE54" s="68">
        <v>0</v>
      </c>
      <c r="AF54" s="94">
        <v>0</v>
      </c>
      <c r="AG54" s="68">
        <v>0</v>
      </c>
      <c r="AH54" s="68">
        <v>0</v>
      </c>
      <c r="AI54" s="68">
        <v>0</v>
      </c>
      <c r="AJ54" s="68">
        <v>0</v>
      </c>
      <c r="AK54" s="68">
        <v>0</v>
      </c>
      <c r="AL54" s="68">
        <v>0</v>
      </c>
      <c r="AM54" s="68">
        <v>0</v>
      </c>
      <c r="AN54" s="68">
        <v>0</v>
      </c>
      <c r="AO54" s="68">
        <v>0</v>
      </c>
      <c r="AP54" s="68">
        <v>0</v>
      </c>
      <c r="AQ54" s="68">
        <v>0</v>
      </c>
      <c r="AR54" s="67"/>
      <c r="AS54" s="68"/>
      <c r="AT54" s="69"/>
      <c r="AU54" s="69"/>
      <c r="AV54" s="69"/>
      <c r="AW54" s="69"/>
      <c r="AX54" s="69"/>
      <c r="AY54" s="69"/>
      <c r="AZ54" s="69"/>
      <c r="BA54" s="69"/>
      <c r="BB54" s="69"/>
      <c r="BC54" s="69"/>
      <c r="BD54" s="69"/>
      <c r="BE54" s="69"/>
      <c r="BF54" s="69"/>
      <c r="BG54" s="69"/>
      <c r="BH54" s="69"/>
      <c r="BI54" s="69"/>
      <c r="BJ54" s="69"/>
      <c r="BK54" s="69"/>
      <c r="BL54" s="69"/>
      <c r="BM54" s="69"/>
      <c r="BN54" s="69"/>
      <c r="BO54" s="69"/>
      <c r="BP54" s="69"/>
      <c r="BQ54" s="69"/>
      <c r="BR54" s="69"/>
      <c r="BS54" s="69"/>
      <c r="BT54" s="69"/>
      <c r="BU54" s="69"/>
      <c r="BV54" s="69"/>
      <c r="BW54" s="69"/>
      <c r="BX54" s="69"/>
      <c r="BY54" s="69"/>
      <c r="BZ54" s="69"/>
      <c r="CA54" s="69"/>
      <c r="CB54" s="69"/>
      <c r="CC54" s="69"/>
      <c r="CD54" s="69"/>
      <c r="CE54" s="69"/>
      <c r="CF54" s="69"/>
      <c r="CG54" s="69"/>
      <c r="CH54" s="69"/>
      <c r="CI54" s="69"/>
      <c r="CJ54" s="69"/>
      <c r="CK54" s="69"/>
      <c r="CL54" s="69"/>
      <c r="CM54" s="69"/>
      <c r="CN54" s="69"/>
      <c r="CO54" s="69"/>
      <c r="CP54" s="69"/>
      <c r="CQ54" s="69"/>
      <c r="CR54" s="69"/>
      <c r="CS54" s="69"/>
      <c r="CT54" s="69"/>
      <c r="CU54" s="69"/>
      <c r="CV54" s="69"/>
      <c r="CW54" s="69"/>
      <c r="CX54" s="69"/>
      <c r="CY54" s="69"/>
      <c r="CZ54" s="69"/>
      <c r="DA54" s="69"/>
      <c r="DB54" s="69"/>
      <c r="DC54" s="69"/>
      <c r="DD54" s="69"/>
      <c r="DE54" s="69"/>
      <c r="DF54" s="69"/>
      <c r="DG54" s="69"/>
      <c r="DH54" s="69"/>
      <c r="DI54" s="69"/>
      <c r="DJ54" s="69"/>
      <c r="DK54" s="69"/>
      <c r="DL54" s="69"/>
      <c r="DM54" s="69"/>
      <c r="DN54" s="69"/>
      <c r="DO54" s="69"/>
      <c r="DP54" s="69"/>
      <c r="DQ54" s="69"/>
      <c r="DR54" s="69"/>
      <c r="DS54" s="69"/>
      <c r="DT54" s="69"/>
      <c r="DU54" s="69"/>
      <c r="DV54" s="69"/>
      <c r="DW54" s="69"/>
      <c r="DX54" s="69"/>
      <c r="DY54" s="69"/>
      <c r="DZ54" s="69"/>
      <c r="EA54" s="69"/>
      <c r="EB54" s="69"/>
      <c r="EC54" s="69"/>
      <c r="ED54" s="69"/>
      <c r="EE54" s="69"/>
      <c r="EF54" s="69"/>
      <c r="EG54" s="69"/>
      <c r="EH54" s="69"/>
      <c r="EI54" s="69"/>
      <c r="EJ54" s="69"/>
      <c r="EK54" s="69"/>
      <c r="EL54" s="69"/>
      <c r="EM54" s="69"/>
      <c r="EN54" s="69"/>
      <c r="EO54" s="69"/>
      <c r="EP54" s="69"/>
      <c r="EQ54" s="69"/>
      <c r="ER54" s="69"/>
      <c r="ES54" s="69"/>
      <c r="ET54" s="69"/>
      <c r="EU54" s="69"/>
      <c r="EV54" s="69"/>
      <c r="EW54" s="69"/>
      <c r="EX54" s="69"/>
      <c r="EY54" s="69"/>
      <c r="EZ54" s="69"/>
      <c r="FA54" s="69"/>
      <c r="FB54" s="69"/>
      <c r="FC54" s="69"/>
      <c r="FD54" s="69"/>
      <c r="FE54" s="69"/>
      <c r="FF54" s="69"/>
      <c r="FG54" s="69"/>
      <c r="FH54" s="69"/>
      <c r="FI54" s="69"/>
      <c r="FJ54" s="69"/>
      <c r="FK54" s="69"/>
      <c r="FL54" s="69"/>
      <c r="FM54" s="69"/>
      <c r="FN54" s="69"/>
      <c r="FO54" s="69"/>
      <c r="FP54" s="69"/>
      <c r="FQ54" s="69"/>
      <c r="FR54" s="69"/>
      <c r="FS54" s="69"/>
      <c r="FT54" s="69"/>
      <c r="FU54" s="69"/>
      <c r="FV54" s="69"/>
      <c r="FW54" s="69"/>
      <c r="FX54" s="69"/>
      <c r="FY54" s="69"/>
      <c r="FZ54" s="69"/>
      <c r="GA54" s="69"/>
      <c r="GB54" s="69"/>
      <c r="GC54" s="69"/>
      <c r="GD54" s="69"/>
      <c r="GE54" s="69"/>
      <c r="GF54" s="69"/>
      <c r="GG54" s="165"/>
    </row>
    <row r="55" spans="1:189" s="66" customFormat="1" x14ac:dyDescent="0.2">
      <c r="A55"/>
      <c r="B55" s="82">
        <v>41671</v>
      </c>
      <c r="C55" s="68">
        <v>0</v>
      </c>
      <c r="D55" s="68">
        <v>0</v>
      </c>
      <c r="E55" s="68">
        <v>0</v>
      </c>
      <c r="F55" s="68">
        <v>0</v>
      </c>
      <c r="G55" s="68">
        <v>0</v>
      </c>
      <c r="H55" s="68">
        <v>0</v>
      </c>
      <c r="I55" s="68">
        <v>0</v>
      </c>
      <c r="J55" s="68">
        <v>0</v>
      </c>
      <c r="K55" s="68">
        <v>0</v>
      </c>
      <c r="L55" s="68">
        <v>0</v>
      </c>
      <c r="M55" s="68">
        <v>0</v>
      </c>
      <c r="N55" s="68">
        <v>0</v>
      </c>
      <c r="O55" s="68">
        <v>0</v>
      </c>
      <c r="P55" s="68">
        <v>0</v>
      </c>
      <c r="Q55" s="68">
        <v>0</v>
      </c>
      <c r="R55" s="68">
        <v>0</v>
      </c>
      <c r="S55" s="68">
        <v>0</v>
      </c>
      <c r="T55" s="68">
        <v>0</v>
      </c>
      <c r="U55" s="68">
        <v>0</v>
      </c>
      <c r="V55" s="68">
        <v>0</v>
      </c>
      <c r="W55" s="68">
        <v>0</v>
      </c>
      <c r="X55" s="68">
        <v>0</v>
      </c>
      <c r="Y55" s="68">
        <v>0</v>
      </c>
      <c r="Z55" s="68">
        <v>0</v>
      </c>
      <c r="AA55" s="68">
        <v>0</v>
      </c>
      <c r="AB55" s="68">
        <v>0</v>
      </c>
      <c r="AC55" s="68">
        <v>0</v>
      </c>
      <c r="AD55" s="68">
        <v>0</v>
      </c>
      <c r="AE55" s="68">
        <v>0</v>
      </c>
      <c r="AF55" s="68">
        <v>0</v>
      </c>
      <c r="AG55" s="94">
        <v>0</v>
      </c>
      <c r="AH55" s="68">
        <v>0</v>
      </c>
      <c r="AI55" s="68">
        <v>0</v>
      </c>
      <c r="AJ55" s="68">
        <v>0</v>
      </c>
      <c r="AK55" s="68">
        <v>0</v>
      </c>
      <c r="AL55" s="68">
        <v>0</v>
      </c>
      <c r="AM55" s="68">
        <v>0</v>
      </c>
      <c r="AN55" s="68">
        <v>0</v>
      </c>
      <c r="AO55" s="68">
        <v>0</v>
      </c>
      <c r="AP55" s="68">
        <v>0</v>
      </c>
      <c r="AQ55" s="68">
        <v>0</v>
      </c>
      <c r="AR55" s="68">
        <v>0</v>
      </c>
      <c r="AS55" s="67"/>
      <c r="AT55" s="68"/>
      <c r="AU55" s="69"/>
      <c r="AV55" s="69"/>
      <c r="AW55" s="69"/>
      <c r="AX55" s="69"/>
      <c r="AY55" s="69"/>
      <c r="AZ55" s="69"/>
      <c r="BA55" s="69"/>
      <c r="BB55" s="69"/>
      <c r="BC55" s="69"/>
      <c r="BD55" s="69"/>
      <c r="BE55" s="69"/>
      <c r="BF55" s="69"/>
      <c r="BG55" s="69"/>
      <c r="BH55" s="69"/>
      <c r="BI55" s="69"/>
      <c r="BJ55" s="69"/>
      <c r="BK55" s="69"/>
      <c r="BL55" s="69"/>
      <c r="BM55" s="69"/>
      <c r="BN55" s="69"/>
      <c r="BO55" s="69"/>
      <c r="BP55" s="69"/>
      <c r="BQ55" s="69"/>
      <c r="BR55" s="69"/>
      <c r="BS55" s="69"/>
      <c r="BT55" s="69"/>
      <c r="BU55" s="69"/>
      <c r="BV55" s="69"/>
      <c r="BW55" s="69"/>
      <c r="BX55" s="69"/>
      <c r="BY55" s="69"/>
      <c r="BZ55" s="69"/>
      <c r="CA55" s="69"/>
      <c r="CB55" s="69"/>
      <c r="CC55" s="69"/>
      <c r="CD55" s="69"/>
      <c r="CE55" s="69"/>
      <c r="CF55" s="69"/>
      <c r="CG55" s="69"/>
      <c r="CH55" s="69"/>
      <c r="CI55" s="69"/>
      <c r="CJ55" s="69"/>
      <c r="CK55" s="69"/>
      <c r="CL55" s="69"/>
      <c r="CM55" s="69"/>
      <c r="CN55" s="69"/>
      <c r="CO55" s="69"/>
      <c r="CP55" s="69"/>
      <c r="CQ55" s="69"/>
      <c r="CR55" s="69"/>
      <c r="CS55" s="69"/>
      <c r="CT55" s="69"/>
      <c r="CU55" s="69"/>
      <c r="CV55" s="69"/>
      <c r="CW55" s="69"/>
      <c r="CX55" s="69"/>
      <c r="CY55" s="69"/>
      <c r="CZ55" s="69"/>
      <c r="DA55" s="69"/>
      <c r="DB55" s="69"/>
      <c r="DC55" s="69"/>
      <c r="DD55" s="69"/>
      <c r="DE55" s="69"/>
      <c r="DF55" s="69"/>
      <c r="DG55" s="69"/>
      <c r="DH55" s="69"/>
      <c r="DI55" s="69"/>
      <c r="DJ55" s="69"/>
      <c r="DK55" s="69"/>
      <c r="DL55" s="69"/>
      <c r="DM55" s="69"/>
      <c r="DN55" s="69"/>
      <c r="DO55" s="69"/>
      <c r="DP55" s="69"/>
      <c r="DQ55" s="69"/>
      <c r="DR55" s="69"/>
      <c r="DS55" s="69"/>
      <c r="DT55" s="69"/>
      <c r="DU55" s="69"/>
      <c r="DV55" s="69"/>
      <c r="DW55" s="69"/>
      <c r="DX55" s="69"/>
      <c r="DY55" s="69"/>
      <c r="DZ55" s="69"/>
      <c r="EA55" s="69"/>
      <c r="EB55" s="69"/>
      <c r="EC55" s="69"/>
      <c r="ED55" s="69"/>
      <c r="EE55" s="69"/>
      <c r="EF55" s="69"/>
      <c r="EG55" s="69"/>
      <c r="EH55" s="69"/>
      <c r="EI55" s="69"/>
      <c r="EJ55" s="69"/>
      <c r="EK55" s="69"/>
      <c r="EL55" s="69"/>
      <c r="EM55" s="69"/>
      <c r="EN55" s="69"/>
      <c r="EO55" s="69"/>
      <c r="EP55" s="69"/>
      <c r="EQ55" s="69"/>
      <c r="ER55" s="69"/>
      <c r="ES55" s="69"/>
      <c r="ET55" s="69"/>
      <c r="EU55" s="69"/>
      <c r="EV55" s="69"/>
      <c r="EW55" s="69"/>
      <c r="EX55" s="69"/>
      <c r="EY55" s="69"/>
      <c r="EZ55" s="69"/>
      <c r="FA55" s="69"/>
      <c r="FB55" s="69"/>
      <c r="FC55" s="69"/>
      <c r="FD55" s="69"/>
      <c r="FE55" s="69"/>
      <c r="FF55" s="69"/>
      <c r="FG55" s="69"/>
      <c r="FH55" s="69"/>
      <c r="FI55" s="69"/>
      <c r="FJ55" s="69"/>
      <c r="FK55" s="69"/>
      <c r="FL55" s="69"/>
      <c r="FM55" s="69"/>
      <c r="FN55" s="69"/>
      <c r="FO55" s="69"/>
      <c r="FP55" s="69"/>
      <c r="FQ55" s="69"/>
      <c r="FR55" s="69"/>
      <c r="FS55" s="69"/>
      <c r="FT55" s="69"/>
      <c r="FU55" s="69"/>
      <c r="FV55" s="69"/>
      <c r="FW55" s="69"/>
      <c r="FX55" s="69"/>
      <c r="FY55" s="69"/>
      <c r="FZ55" s="69"/>
      <c r="GA55" s="69"/>
      <c r="GB55" s="69"/>
      <c r="GC55" s="69"/>
      <c r="GD55" s="69"/>
      <c r="GE55" s="69"/>
      <c r="GF55" s="69"/>
      <c r="GG55" s="165"/>
    </row>
    <row r="56" spans="1:189" s="66" customFormat="1" x14ac:dyDescent="0.2">
      <c r="A56"/>
      <c r="B56" s="82">
        <v>41699</v>
      </c>
      <c r="C56" s="68">
        <v>0</v>
      </c>
      <c r="D56" s="68">
        <v>0</v>
      </c>
      <c r="E56" s="68">
        <v>0</v>
      </c>
      <c r="F56" s="68">
        <v>0</v>
      </c>
      <c r="G56" s="68">
        <v>0</v>
      </c>
      <c r="H56" s="68">
        <v>0</v>
      </c>
      <c r="I56" s="68">
        <v>0</v>
      </c>
      <c r="J56" s="68">
        <v>0</v>
      </c>
      <c r="K56" s="68">
        <v>0</v>
      </c>
      <c r="L56" s="68">
        <v>0</v>
      </c>
      <c r="M56" s="68">
        <v>0</v>
      </c>
      <c r="N56" s="68">
        <v>0</v>
      </c>
      <c r="O56" s="68">
        <v>0</v>
      </c>
      <c r="P56" s="68">
        <v>0</v>
      </c>
      <c r="Q56" s="68">
        <v>0</v>
      </c>
      <c r="R56" s="68">
        <v>0</v>
      </c>
      <c r="S56" s="68">
        <v>0</v>
      </c>
      <c r="T56" s="68">
        <v>0</v>
      </c>
      <c r="U56" s="68">
        <v>0</v>
      </c>
      <c r="V56" s="68">
        <v>0</v>
      </c>
      <c r="W56" s="68">
        <v>0</v>
      </c>
      <c r="X56" s="68">
        <v>0</v>
      </c>
      <c r="Y56" s="68">
        <v>0</v>
      </c>
      <c r="Z56" s="68">
        <v>0</v>
      </c>
      <c r="AA56" s="68">
        <v>0</v>
      </c>
      <c r="AB56" s="68">
        <v>0</v>
      </c>
      <c r="AC56" s="68">
        <v>0</v>
      </c>
      <c r="AD56" s="68">
        <v>0</v>
      </c>
      <c r="AE56" s="68">
        <v>0</v>
      </c>
      <c r="AF56" s="68">
        <v>0</v>
      </c>
      <c r="AG56" s="68">
        <v>0</v>
      </c>
      <c r="AH56" s="94">
        <v>0</v>
      </c>
      <c r="AI56" s="68">
        <v>0</v>
      </c>
      <c r="AJ56" s="68">
        <v>0</v>
      </c>
      <c r="AK56" s="68">
        <v>0</v>
      </c>
      <c r="AL56" s="68">
        <v>0</v>
      </c>
      <c r="AM56" s="68">
        <v>0</v>
      </c>
      <c r="AN56" s="68">
        <v>0</v>
      </c>
      <c r="AO56" s="68">
        <v>0</v>
      </c>
      <c r="AP56" s="68">
        <v>0</v>
      </c>
      <c r="AQ56" s="68">
        <v>0</v>
      </c>
      <c r="AR56" s="68">
        <v>0</v>
      </c>
      <c r="AS56" s="68">
        <v>0</v>
      </c>
      <c r="AT56" s="67"/>
      <c r="AU56" s="68"/>
      <c r="AV56" s="69"/>
      <c r="AW56" s="69"/>
      <c r="AX56" s="69"/>
      <c r="AY56" s="69"/>
      <c r="AZ56" s="69"/>
      <c r="BA56" s="69"/>
      <c r="BB56" s="69"/>
      <c r="BC56" s="69"/>
      <c r="BD56" s="69"/>
      <c r="BE56" s="69"/>
      <c r="BF56" s="69"/>
      <c r="BG56" s="69"/>
      <c r="BH56" s="69"/>
      <c r="BI56" s="69"/>
      <c r="BJ56" s="69"/>
      <c r="BK56" s="69"/>
      <c r="BL56" s="69"/>
      <c r="BM56" s="69"/>
      <c r="BN56" s="69"/>
      <c r="BO56" s="69"/>
      <c r="BP56" s="69"/>
      <c r="BQ56" s="69"/>
      <c r="BR56" s="69"/>
      <c r="BS56" s="69"/>
      <c r="BT56" s="69"/>
      <c r="BU56" s="69"/>
      <c r="BV56" s="69"/>
      <c r="BW56" s="69"/>
      <c r="BX56" s="69"/>
      <c r="BY56" s="69"/>
      <c r="BZ56" s="69"/>
      <c r="CA56" s="69"/>
      <c r="CB56" s="69"/>
      <c r="CC56" s="69"/>
      <c r="CD56" s="69"/>
      <c r="CE56" s="69"/>
      <c r="CF56" s="69"/>
      <c r="CG56" s="69"/>
      <c r="CH56" s="69"/>
      <c r="CI56" s="69"/>
      <c r="CJ56" s="69"/>
      <c r="CK56" s="69"/>
      <c r="CL56" s="69"/>
      <c r="CM56" s="69"/>
      <c r="CN56" s="69"/>
      <c r="CO56" s="69"/>
      <c r="CP56" s="69"/>
      <c r="CQ56" s="69"/>
      <c r="CR56" s="69"/>
      <c r="CS56" s="69"/>
      <c r="CT56" s="69"/>
      <c r="CU56" s="69"/>
      <c r="CV56" s="69"/>
      <c r="CW56" s="69"/>
      <c r="CX56" s="69"/>
      <c r="CY56" s="69"/>
      <c r="CZ56" s="69"/>
      <c r="DA56" s="69"/>
      <c r="DB56" s="69"/>
      <c r="DC56" s="69"/>
      <c r="DD56" s="69"/>
      <c r="DE56" s="69"/>
      <c r="DF56" s="69"/>
      <c r="DG56" s="69"/>
      <c r="DH56" s="69"/>
      <c r="DI56" s="69"/>
      <c r="DJ56" s="69"/>
      <c r="DK56" s="69"/>
      <c r="DL56" s="69"/>
      <c r="DM56" s="69"/>
      <c r="DN56" s="69"/>
      <c r="DO56" s="69"/>
      <c r="DP56" s="69"/>
      <c r="DQ56" s="69"/>
      <c r="DR56" s="69"/>
      <c r="DS56" s="69"/>
      <c r="DT56" s="69"/>
      <c r="DU56" s="69"/>
      <c r="DV56" s="69"/>
      <c r="DW56" s="69"/>
      <c r="DX56" s="69"/>
      <c r="DY56" s="69"/>
      <c r="DZ56" s="69"/>
      <c r="EA56" s="69"/>
      <c r="EB56" s="69"/>
      <c r="EC56" s="69"/>
      <c r="ED56" s="69"/>
      <c r="EE56" s="69"/>
      <c r="EF56" s="69"/>
      <c r="EG56" s="69"/>
      <c r="EH56" s="69"/>
      <c r="EI56" s="69"/>
      <c r="EJ56" s="69"/>
      <c r="EK56" s="69"/>
      <c r="EL56" s="69"/>
      <c r="EM56" s="69"/>
      <c r="EN56" s="69"/>
      <c r="EO56" s="69"/>
      <c r="EP56" s="69"/>
      <c r="EQ56" s="69"/>
      <c r="ER56" s="69"/>
      <c r="ES56" s="69"/>
      <c r="ET56" s="69"/>
      <c r="EU56" s="69"/>
      <c r="EV56" s="69"/>
      <c r="EW56" s="69"/>
      <c r="EX56" s="69"/>
      <c r="EY56" s="69"/>
      <c r="EZ56" s="69"/>
      <c r="FA56" s="69"/>
      <c r="FB56" s="69"/>
      <c r="FC56" s="69"/>
      <c r="FD56" s="69"/>
      <c r="FE56" s="69"/>
      <c r="FF56" s="69"/>
      <c r="FG56" s="69"/>
      <c r="FH56" s="69"/>
      <c r="FI56" s="69"/>
      <c r="FJ56" s="69"/>
      <c r="FK56" s="69"/>
      <c r="FL56" s="69"/>
      <c r="FM56" s="69"/>
      <c r="FN56" s="69"/>
      <c r="FO56" s="69"/>
      <c r="FP56" s="69"/>
      <c r="FQ56" s="69"/>
      <c r="FR56" s="69"/>
      <c r="FS56" s="69"/>
      <c r="FT56" s="69"/>
      <c r="FU56" s="69"/>
      <c r="FV56" s="69"/>
      <c r="FW56" s="69"/>
      <c r="FX56" s="69"/>
      <c r="FY56" s="69"/>
      <c r="FZ56" s="69"/>
      <c r="GA56" s="69"/>
      <c r="GB56" s="69"/>
      <c r="GC56" s="69"/>
      <c r="GD56" s="69"/>
      <c r="GE56" s="69"/>
      <c r="GF56" s="69"/>
      <c r="GG56" s="165"/>
    </row>
    <row r="57" spans="1:189" s="66" customFormat="1" x14ac:dyDescent="0.2">
      <c r="A57"/>
      <c r="B57" s="82">
        <v>41730</v>
      </c>
      <c r="C57" s="68">
        <v>0</v>
      </c>
      <c r="D57" s="68">
        <v>0</v>
      </c>
      <c r="E57" s="68">
        <v>0</v>
      </c>
      <c r="F57" s="68">
        <v>0</v>
      </c>
      <c r="G57" s="68">
        <v>0</v>
      </c>
      <c r="H57" s="68">
        <v>0</v>
      </c>
      <c r="I57" s="68">
        <v>0</v>
      </c>
      <c r="J57" s="68">
        <v>0</v>
      </c>
      <c r="K57" s="68">
        <v>0</v>
      </c>
      <c r="L57" s="68">
        <v>0</v>
      </c>
      <c r="M57" s="68">
        <v>0</v>
      </c>
      <c r="N57" s="68">
        <v>0</v>
      </c>
      <c r="O57" s="68">
        <v>0</v>
      </c>
      <c r="P57" s="68">
        <v>0</v>
      </c>
      <c r="Q57" s="68">
        <v>0</v>
      </c>
      <c r="R57" s="68">
        <v>0</v>
      </c>
      <c r="S57" s="68">
        <v>0</v>
      </c>
      <c r="T57" s="68">
        <v>0</v>
      </c>
      <c r="U57" s="68">
        <v>0</v>
      </c>
      <c r="V57" s="68">
        <v>0</v>
      </c>
      <c r="W57" s="68">
        <v>0</v>
      </c>
      <c r="X57" s="68">
        <v>0</v>
      </c>
      <c r="Y57" s="68">
        <v>0</v>
      </c>
      <c r="Z57" s="68">
        <v>0</v>
      </c>
      <c r="AA57" s="68">
        <v>0</v>
      </c>
      <c r="AB57" s="68">
        <v>0</v>
      </c>
      <c r="AC57" s="68">
        <v>0</v>
      </c>
      <c r="AD57" s="68">
        <v>0</v>
      </c>
      <c r="AE57" s="68">
        <v>0</v>
      </c>
      <c r="AF57" s="68">
        <v>0</v>
      </c>
      <c r="AG57" s="68">
        <v>0</v>
      </c>
      <c r="AH57" s="68">
        <v>0</v>
      </c>
      <c r="AI57" s="94">
        <v>0</v>
      </c>
      <c r="AJ57" s="68">
        <v>0</v>
      </c>
      <c r="AK57" s="68">
        <v>0</v>
      </c>
      <c r="AL57" s="68">
        <v>0</v>
      </c>
      <c r="AM57" s="68">
        <v>0</v>
      </c>
      <c r="AN57" s="68">
        <v>0</v>
      </c>
      <c r="AO57" s="68">
        <v>0</v>
      </c>
      <c r="AP57" s="68">
        <v>0</v>
      </c>
      <c r="AQ57" s="68">
        <v>0</v>
      </c>
      <c r="AR57" s="68">
        <v>0</v>
      </c>
      <c r="AS57" s="68">
        <v>0</v>
      </c>
      <c r="AT57" s="68">
        <v>0</v>
      </c>
      <c r="AU57" s="67"/>
      <c r="AV57" s="68"/>
      <c r="AW57" s="69"/>
      <c r="AX57" s="69"/>
      <c r="AY57" s="69"/>
      <c r="AZ57" s="69"/>
      <c r="BA57" s="69"/>
      <c r="BB57" s="69"/>
      <c r="BC57" s="69"/>
      <c r="BD57" s="69"/>
      <c r="BE57" s="69"/>
      <c r="BF57" s="69"/>
      <c r="BG57" s="69"/>
      <c r="BH57" s="69"/>
      <c r="BI57" s="69"/>
      <c r="BJ57" s="69"/>
      <c r="BK57" s="69"/>
      <c r="BL57" s="69"/>
      <c r="BM57" s="69"/>
      <c r="BN57" s="69"/>
      <c r="BO57" s="69"/>
      <c r="BP57" s="69"/>
      <c r="BQ57" s="69"/>
      <c r="BR57" s="69"/>
      <c r="BS57" s="69"/>
      <c r="BT57" s="69"/>
      <c r="BU57" s="69"/>
      <c r="BV57" s="69"/>
      <c r="BW57" s="69"/>
      <c r="BX57" s="69"/>
      <c r="BY57" s="69"/>
      <c r="BZ57" s="69"/>
      <c r="CA57" s="69"/>
      <c r="CB57" s="69"/>
      <c r="CC57" s="69"/>
      <c r="CD57" s="69"/>
      <c r="CE57" s="69"/>
      <c r="CF57" s="69"/>
      <c r="CG57" s="69"/>
      <c r="CH57" s="69"/>
      <c r="CI57" s="69"/>
      <c r="CJ57" s="69"/>
      <c r="CK57" s="69"/>
      <c r="CL57" s="69"/>
      <c r="CM57" s="69"/>
      <c r="CN57" s="69"/>
      <c r="CO57" s="69"/>
      <c r="CP57" s="69"/>
      <c r="CQ57" s="69"/>
      <c r="CR57" s="69"/>
      <c r="CS57" s="69"/>
      <c r="CT57" s="69"/>
      <c r="CU57" s="69"/>
      <c r="CV57" s="69"/>
      <c r="CW57" s="69"/>
      <c r="CX57" s="69"/>
      <c r="CY57" s="69"/>
      <c r="CZ57" s="69"/>
      <c r="DA57" s="69"/>
      <c r="DB57" s="69"/>
      <c r="DC57" s="69"/>
      <c r="DD57" s="69"/>
      <c r="DE57" s="69"/>
      <c r="DF57" s="69"/>
      <c r="DG57" s="69"/>
      <c r="DH57" s="69"/>
      <c r="DI57" s="69"/>
      <c r="DJ57" s="69"/>
      <c r="DK57" s="69"/>
      <c r="DL57" s="69"/>
      <c r="DM57" s="69"/>
      <c r="DN57" s="69"/>
      <c r="DO57" s="69"/>
      <c r="DP57" s="69"/>
      <c r="DQ57" s="69"/>
      <c r="DR57" s="69"/>
      <c r="DS57" s="69"/>
      <c r="DT57" s="69"/>
      <c r="DU57" s="69"/>
      <c r="DV57" s="69"/>
      <c r="DW57" s="69"/>
      <c r="DX57" s="69"/>
      <c r="DY57" s="69"/>
      <c r="DZ57" s="69"/>
      <c r="EA57" s="69"/>
      <c r="EB57" s="69"/>
      <c r="EC57" s="69"/>
      <c r="ED57" s="69"/>
      <c r="EE57" s="69"/>
      <c r="EF57" s="69"/>
      <c r="EG57" s="69"/>
      <c r="EH57" s="69"/>
      <c r="EI57" s="69"/>
      <c r="EJ57" s="69"/>
      <c r="EK57" s="69"/>
      <c r="EL57" s="69"/>
      <c r="EM57" s="69"/>
      <c r="EN57" s="69"/>
      <c r="EO57" s="69"/>
      <c r="EP57" s="69"/>
      <c r="EQ57" s="69"/>
      <c r="ER57" s="69"/>
      <c r="ES57" s="69"/>
      <c r="ET57" s="69"/>
      <c r="EU57" s="69"/>
      <c r="EV57" s="69"/>
      <c r="EW57" s="69"/>
      <c r="EX57" s="69"/>
      <c r="EY57" s="69"/>
      <c r="EZ57" s="69"/>
      <c r="FA57" s="69"/>
      <c r="FB57" s="69"/>
      <c r="FC57" s="69"/>
      <c r="FD57" s="69"/>
      <c r="FE57" s="69"/>
      <c r="FF57" s="69"/>
      <c r="FG57" s="69"/>
      <c r="FH57" s="69"/>
      <c r="FI57" s="69"/>
      <c r="FJ57" s="69"/>
      <c r="FK57" s="69"/>
      <c r="FL57" s="69"/>
      <c r="FM57" s="69"/>
      <c r="FN57" s="69"/>
      <c r="FO57" s="69"/>
      <c r="FP57" s="69"/>
      <c r="FQ57" s="69"/>
      <c r="FR57" s="69"/>
      <c r="FS57" s="69"/>
      <c r="FT57" s="69"/>
      <c r="FU57" s="69"/>
      <c r="FV57" s="69"/>
      <c r="FW57" s="69"/>
      <c r="FX57" s="69"/>
      <c r="FY57" s="69"/>
      <c r="FZ57" s="69"/>
      <c r="GA57" s="69"/>
      <c r="GB57" s="69"/>
      <c r="GC57" s="69"/>
      <c r="GD57" s="69"/>
      <c r="GE57" s="69"/>
      <c r="GF57" s="69"/>
      <c r="GG57" s="165"/>
    </row>
    <row r="58" spans="1:189" s="66" customFormat="1" x14ac:dyDescent="0.2">
      <c r="A58"/>
      <c r="B58" s="82">
        <v>41760</v>
      </c>
      <c r="C58" s="68">
        <v>0</v>
      </c>
      <c r="D58" s="68">
        <v>0</v>
      </c>
      <c r="E58" s="68">
        <v>0</v>
      </c>
      <c r="F58" s="68">
        <v>0</v>
      </c>
      <c r="G58" s="68">
        <v>0</v>
      </c>
      <c r="H58" s="68">
        <v>0</v>
      </c>
      <c r="I58" s="68">
        <v>0</v>
      </c>
      <c r="J58" s="68">
        <v>0</v>
      </c>
      <c r="K58" s="68">
        <v>0</v>
      </c>
      <c r="L58" s="68">
        <v>0</v>
      </c>
      <c r="M58" s="68">
        <v>0</v>
      </c>
      <c r="N58" s="68">
        <v>0</v>
      </c>
      <c r="O58" s="68">
        <v>0</v>
      </c>
      <c r="P58" s="68">
        <v>0</v>
      </c>
      <c r="Q58" s="68">
        <v>0</v>
      </c>
      <c r="R58" s="68">
        <v>0</v>
      </c>
      <c r="S58" s="68">
        <v>0</v>
      </c>
      <c r="T58" s="68">
        <v>0</v>
      </c>
      <c r="U58" s="68">
        <v>0</v>
      </c>
      <c r="V58" s="68">
        <v>0</v>
      </c>
      <c r="W58" s="68">
        <v>0</v>
      </c>
      <c r="X58" s="68">
        <v>0</v>
      </c>
      <c r="Y58" s="68">
        <v>0</v>
      </c>
      <c r="Z58" s="68">
        <v>0</v>
      </c>
      <c r="AA58" s="68">
        <v>0</v>
      </c>
      <c r="AB58" s="68">
        <v>0</v>
      </c>
      <c r="AC58" s="68">
        <v>0</v>
      </c>
      <c r="AD58" s="68">
        <v>0</v>
      </c>
      <c r="AE58" s="68">
        <v>0</v>
      </c>
      <c r="AF58" s="68">
        <v>0</v>
      </c>
      <c r="AG58" s="68">
        <v>0</v>
      </c>
      <c r="AH58" s="68">
        <v>0</v>
      </c>
      <c r="AI58" s="68">
        <v>0</v>
      </c>
      <c r="AJ58" s="94">
        <v>0</v>
      </c>
      <c r="AK58" s="68">
        <v>0</v>
      </c>
      <c r="AL58" s="68">
        <v>0</v>
      </c>
      <c r="AM58" s="68">
        <v>0</v>
      </c>
      <c r="AN58" s="68">
        <v>0</v>
      </c>
      <c r="AO58" s="68">
        <v>0</v>
      </c>
      <c r="AP58" s="68">
        <v>0</v>
      </c>
      <c r="AQ58" s="68">
        <v>0</v>
      </c>
      <c r="AR58" s="68">
        <v>0</v>
      </c>
      <c r="AS58" s="68">
        <v>0</v>
      </c>
      <c r="AT58" s="68">
        <v>0</v>
      </c>
      <c r="AU58" s="68">
        <v>0</v>
      </c>
      <c r="AV58" s="67"/>
      <c r="AW58" s="68"/>
      <c r="AX58" s="69"/>
      <c r="AY58" s="69"/>
      <c r="AZ58" s="69"/>
      <c r="BA58" s="69"/>
      <c r="BB58" s="69"/>
      <c r="BC58" s="69"/>
      <c r="BD58" s="69"/>
      <c r="BE58" s="69"/>
      <c r="BF58" s="69"/>
      <c r="BG58" s="69"/>
      <c r="BH58" s="69"/>
      <c r="BI58" s="69"/>
      <c r="BJ58" s="69"/>
      <c r="BK58" s="69"/>
      <c r="BL58" s="69"/>
      <c r="BM58" s="69"/>
      <c r="BN58" s="69"/>
      <c r="BO58" s="69"/>
      <c r="BP58" s="69"/>
      <c r="BQ58" s="69"/>
      <c r="BR58" s="69"/>
      <c r="BS58" s="69"/>
      <c r="BT58" s="69"/>
      <c r="BU58" s="69"/>
      <c r="BV58" s="69"/>
      <c r="BW58" s="69"/>
      <c r="BX58" s="69"/>
      <c r="BY58" s="69"/>
      <c r="BZ58" s="69"/>
      <c r="CA58" s="69"/>
      <c r="CB58" s="69"/>
      <c r="CC58" s="69"/>
      <c r="CD58" s="69"/>
      <c r="CE58" s="69"/>
      <c r="CF58" s="69"/>
      <c r="CG58" s="69"/>
      <c r="CH58" s="69"/>
      <c r="CI58" s="69"/>
      <c r="CJ58" s="69"/>
      <c r="CK58" s="69"/>
      <c r="CL58" s="69"/>
      <c r="CM58" s="69"/>
      <c r="CN58" s="69"/>
      <c r="CO58" s="69"/>
      <c r="CP58" s="69"/>
      <c r="CQ58" s="69"/>
      <c r="CR58" s="69"/>
      <c r="CS58" s="69"/>
      <c r="CT58" s="69"/>
      <c r="CU58" s="69"/>
      <c r="CV58" s="69"/>
      <c r="CW58" s="69"/>
      <c r="CX58" s="69"/>
      <c r="CY58" s="69"/>
      <c r="CZ58" s="69"/>
      <c r="DA58" s="69"/>
      <c r="DB58" s="69"/>
      <c r="DC58" s="69"/>
      <c r="DD58" s="69"/>
      <c r="DE58" s="69"/>
      <c r="DF58" s="69"/>
      <c r="DG58" s="69"/>
      <c r="DH58" s="69"/>
      <c r="DI58" s="69"/>
      <c r="DJ58" s="69"/>
      <c r="DK58" s="69"/>
      <c r="DL58" s="69"/>
      <c r="DM58" s="69"/>
      <c r="DN58" s="69"/>
      <c r="DO58" s="69"/>
      <c r="DP58" s="69"/>
      <c r="DQ58" s="69"/>
      <c r="DR58" s="69"/>
      <c r="DS58" s="69"/>
      <c r="DT58" s="69"/>
      <c r="DU58" s="69"/>
      <c r="DV58" s="69"/>
      <c r="DW58" s="69"/>
      <c r="DX58" s="69"/>
      <c r="DY58" s="69"/>
      <c r="DZ58" s="69"/>
      <c r="EA58" s="69"/>
      <c r="EB58" s="69"/>
      <c r="EC58" s="69"/>
      <c r="ED58" s="69"/>
      <c r="EE58" s="69"/>
      <c r="EF58" s="69"/>
      <c r="EG58" s="69"/>
      <c r="EH58" s="69"/>
      <c r="EI58" s="69"/>
      <c r="EJ58" s="69"/>
      <c r="EK58" s="69"/>
      <c r="EL58" s="69"/>
      <c r="EM58" s="69"/>
      <c r="EN58" s="69"/>
      <c r="EO58" s="69"/>
      <c r="EP58" s="69"/>
      <c r="EQ58" s="69"/>
      <c r="ER58" s="69"/>
      <c r="ES58" s="69"/>
      <c r="ET58" s="69"/>
      <c r="EU58" s="69"/>
      <c r="EV58" s="69"/>
      <c r="EW58" s="69"/>
      <c r="EX58" s="69"/>
      <c r="EY58" s="69"/>
      <c r="EZ58" s="69"/>
      <c r="FA58" s="69"/>
      <c r="FB58" s="69"/>
      <c r="FC58" s="69"/>
      <c r="FD58" s="69"/>
      <c r="FE58" s="69"/>
      <c r="FF58" s="69"/>
      <c r="FG58" s="69"/>
      <c r="FH58" s="69"/>
      <c r="FI58" s="69"/>
      <c r="FJ58" s="69"/>
      <c r="FK58" s="69"/>
      <c r="FL58" s="69"/>
      <c r="FM58" s="69"/>
      <c r="FN58" s="69"/>
      <c r="FO58" s="69"/>
      <c r="FP58" s="69"/>
      <c r="FQ58" s="69"/>
      <c r="FR58" s="69"/>
      <c r="FS58" s="69"/>
      <c r="FT58" s="69"/>
      <c r="FU58" s="69"/>
      <c r="FV58" s="69"/>
      <c r="FW58" s="69"/>
      <c r="FX58" s="69"/>
      <c r="FY58" s="69"/>
      <c r="FZ58" s="69"/>
      <c r="GA58" s="69"/>
      <c r="GB58" s="69"/>
      <c r="GC58" s="69"/>
      <c r="GD58" s="69"/>
      <c r="GE58" s="69"/>
      <c r="GF58" s="69"/>
      <c r="GG58" s="165"/>
    </row>
    <row r="59" spans="1:189" s="66" customFormat="1" x14ac:dyDescent="0.2">
      <c r="A59"/>
      <c r="B59" s="82">
        <v>41791</v>
      </c>
      <c r="C59" s="68">
        <v>0</v>
      </c>
      <c r="D59" s="68">
        <v>0</v>
      </c>
      <c r="E59" s="68">
        <v>0</v>
      </c>
      <c r="F59" s="68">
        <v>0</v>
      </c>
      <c r="G59" s="68">
        <v>0</v>
      </c>
      <c r="H59" s="68">
        <v>0</v>
      </c>
      <c r="I59" s="68">
        <v>0</v>
      </c>
      <c r="J59" s="68">
        <v>0</v>
      </c>
      <c r="K59" s="68">
        <v>0</v>
      </c>
      <c r="L59" s="68">
        <v>0</v>
      </c>
      <c r="M59" s="68">
        <v>0</v>
      </c>
      <c r="N59" s="68">
        <v>0</v>
      </c>
      <c r="O59" s="68">
        <v>0</v>
      </c>
      <c r="P59" s="68">
        <v>0</v>
      </c>
      <c r="Q59" s="68">
        <v>0</v>
      </c>
      <c r="R59" s="68">
        <v>0</v>
      </c>
      <c r="S59" s="68">
        <v>0</v>
      </c>
      <c r="T59" s="68">
        <v>0</v>
      </c>
      <c r="U59" s="68">
        <v>0</v>
      </c>
      <c r="V59" s="68">
        <v>0</v>
      </c>
      <c r="W59" s="68">
        <v>0</v>
      </c>
      <c r="X59" s="68">
        <v>0</v>
      </c>
      <c r="Y59" s="68">
        <v>0</v>
      </c>
      <c r="Z59" s="68">
        <v>0</v>
      </c>
      <c r="AA59" s="68">
        <v>0</v>
      </c>
      <c r="AB59" s="68">
        <v>0</v>
      </c>
      <c r="AC59" s="68">
        <v>0</v>
      </c>
      <c r="AD59" s="68">
        <v>0</v>
      </c>
      <c r="AE59" s="68">
        <v>0</v>
      </c>
      <c r="AF59" s="68">
        <v>0</v>
      </c>
      <c r="AG59" s="68">
        <v>0</v>
      </c>
      <c r="AH59" s="68">
        <v>0</v>
      </c>
      <c r="AI59" s="68">
        <v>0</v>
      </c>
      <c r="AJ59" s="68">
        <v>0</v>
      </c>
      <c r="AK59" s="94">
        <v>0</v>
      </c>
      <c r="AL59" s="68">
        <v>0</v>
      </c>
      <c r="AM59" s="68">
        <v>0</v>
      </c>
      <c r="AN59" s="68">
        <v>0</v>
      </c>
      <c r="AO59" s="68">
        <v>0</v>
      </c>
      <c r="AP59" s="68">
        <v>0</v>
      </c>
      <c r="AQ59" s="68">
        <v>0</v>
      </c>
      <c r="AR59" s="68">
        <v>0</v>
      </c>
      <c r="AS59" s="68">
        <v>0</v>
      </c>
      <c r="AT59" s="68">
        <v>0</v>
      </c>
      <c r="AU59" s="68">
        <v>0</v>
      </c>
      <c r="AV59" s="68">
        <v>0</v>
      </c>
      <c r="AW59" s="67"/>
      <c r="AX59" s="68"/>
      <c r="AY59" s="69"/>
      <c r="AZ59" s="69"/>
      <c r="BA59" s="69"/>
      <c r="BB59" s="69"/>
      <c r="BC59" s="69"/>
      <c r="BD59" s="69"/>
      <c r="BE59" s="69"/>
      <c r="BF59" s="69"/>
      <c r="BG59" s="69"/>
      <c r="BH59" s="69"/>
      <c r="BI59" s="69"/>
      <c r="BJ59" s="69"/>
      <c r="BK59" s="69"/>
      <c r="BL59" s="69"/>
      <c r="BM59" s="69"/>
      <c r="BN59" s="69"/>
      <c r="BO59" s="69"/>
      <c r="BP59" s="69"/>
      <c r="BQ59" s="69"/>
      <c r="BR59" s="69"/>
      <c r="BS59" s="69"/>
      <c r="BT59" s="69"/>
      <c r="BU59" s="69"/>
      <c r="BV59" s="69"/>
      <c r="BW59" s="69"/>
      <c r="BX59" s="69"/>
      <c r="BY59" s="69"/>
      <c r="BZ59" s="69"/>
      <c r="CA59" s="69"/>
      <c r="CB59" s="69"/>
      <c r="CC59" s="69"/>
      <c r="CD59" s="69"/>
      <c r="CE59" s="69"/>
      <c r="CF59" s="69"/>
      <c r="CG59" s="69"/>
      <c r="CH59" s="69"/>
      <c r="CI59" s="69"/>
      <c r="CJ59" s="69"/>
      <c r="CK59" s="69"/>
      <c r="CL59" s="69"/>
      <c r="CM59" s="69"/>
      <c r="CN59" s="69"/>
      <c r="CO59" s="69"/>
      <c r="CP59" s="69"/>
      <c r="CQ59" s="69"/>
      <c r="CR59" s="69"/>
      <c r="CS59" s="69"/>
      <c r="CT59" s="69"/>
      <c r="CU59" s="69"/>
      <c r="CV59" s="69"/>
      <c r="CW59" s="69"/>
      <c r="CX59" s="69"/>
      <c r="CY59" s="69"/>
      <c r="CZ59" s="69"/>
      <c r="DA59" s="69"/>
      <c r="DB59" s="69"/>
      <c r="DC59" s="69"/>
      <c r="DD59" s="69"/>
      <c r="DE59" s="69"/>
      <c r="DF59" s="69"/>
      <c r="DG59" s="69"/>
      <c r="DH59" s="69"/>
      <c r="DI59" s="69"/>
      <c r="DJ59" s="69"/>
      <c r="DK59" s="69"/>
      <c r="DL59" s="69"/>
      <c r="DM59" s="69"/>
      <c r="DN59" s="69"/>
      <c r="DO59" s="69"/>
      <c r="DP59" s="69"/>
      <c r="DQ59" s="69"/>
      <c r="DR59" s="69"/>
      <c r="DS59" s="69"/>
      <c r="DT59" s="69"/>
      <c r="DU59" s="69"/>
      <c r="DV59" s="69"/>
      <c r="DW59" s="69"/>
      <c r="DX59" s="69"/>
      <c r="DY59" s="69"/>
      <c r="DZ59" s="69"/>
      <c r="EA59" s="69"/>
      <c r="EB59" s="69"/>
      <c r="EC59" s="69"/>
      <c r="ED59" s="69"/>
      <c r="EE59" s="69"/>
      <c r="EF59" s="69"/>
      <c r="EG59" s="69"/>
      <c r="EH59" s="69"/>
      <c r="EI59" s="69"/>
      <c r="EJ59" s="69"/>
      <c r="EK59" s="69"/>
      <c r="EL59" s="69"/>
      <c r="EM59" s="69"/>
      <c r="EN59" s="69"/>
      <c r="EO59" s="69"/>
      <c r="EP59" s="69"/>
      <c r="EQ59" s="69"/>
      <c r="ER59" s="69"/>
      <c r="ES59" s="69"/>
      <c r="ET59" s="69"/>
      <c r="EU59" s="69"/>
      <c r="EV59" s="69"/>
      <c r="EW59" s="69"/>
      <c r="EX59" s="69"/>
      <c r="EY59" s="69"/>
      <c r="EZ59" s="69"/>
      <c r="FA59" s="69"/>
      <c r="FB59" s="69"/>
      <c r="FC59" s="69"/>
      <c r="FD59" s="69"/>
      <c r="FE59" s="69"/>
      <c r="FF59" s="69"/>
      <c r="FG59" s="69"/>
      <c r="FH59" s="69"/>
      <c r="FI59" s="69"/>
      <c r="FJ59" s="69"/>
      <c r="FK59" s="69"/>
      <c r="FL59" s="69"/>
      <c r="FM59" s="69"/>
      <c r="FN59" s="69"/>
      <c r="FO59" s="69"/>
      <c r="FP59" s="69"/>
      <c r="FQ59" s="69"/>
      <c r="FR59" s="69"/>
      <c r="FS59" s="69"/>
      <c r="FT59" s="69"/>
      <c r="FU59" s="69"/>
      <c r="FV59" s="69"/>
      <c r="FW59" s="69"/>
      <c r="FX59" s="69"/>
      <c r="FY59" s="69"/>
      <c r="FZ59" s="69"/>
      <c r="GA59" s="69"/>
      <c r="GB59" s="69"/>
      <c r="GC59" s="69"/>
      <c r="GD59" s="69"/>
      <c r="GE59" s="69"/>
      <c r="GF59" s="69"/>
      <c r="GG59" s="165"/>
    </row>
    <row r="60" spans="1:189" s="66" customFormat="1" x14ac:dyDescent="0.2">
      <c r="A60"/>
      <c r="B60" s="82">
        <v>41821</v>
      </c>
      <c r="C60" s="68">
        <v>0</v>
      </c>
      <c r="D60" s="68">
        <v>0</v>
      </c>
      <c r="E60" s="68">
        <v>0</v>
      </c>
      <c r="F60" s="68">
        <v>0</v>
      </c>
      <c r="G60" s="68">
        <v>0</v>
      </c>
      <c r="H60" s="68">
        <v>0</v>
      </c>
      <c r="I60" s="68">
        <v>0</v>
      </c>
      <c r="J60" s="68">
        <v>0</v>
      </c>
      <c r="K60" s="68">
        <v>0</v>
      </c>
      <c r="L60" s="68">
        <v>0</v>
      </c>
      <c r="M60" s="68">
        <v>0</v>
      </c>
      <c r="N60" s="68">
        <v>0</v>
      </c>
      <c r="O60" s="68">
        <v>0</v>
      </c>
      <c r="P60" s="68">
        <v>0</v>
      </c>
      <c r="Q60" s="68">
        <v>0</v>
      </c>
      <c r="R60" s="68">
        <v>0</v>
      </c>
      <c r="S60" s="68">
        <v>0</v>
      </c>
      <c r="T60" s="68">
        <v>0</v>
      </c>
      <c r="U60" s="68">
        <v>0</v>
      </c>
      <c r="V60" s="68">
        <v>0</v>
      </c>
      <c r="W60" s="68">
        <v>0</v>
      </c>
      <c r="X60" s="68">
        <v>0</v>
      </c>
      <c r="Y60" s="68">
        <v>0</v>
      </c>
      <c r="Z60" s="68">
        <v>0</v>
      </c>
      <c r="AA60" s="68">
        <v>0</v>
      </c>
      <c r="AB60" s="68">
        <v>0</v>
      </c>
      <c r="AC60" s="68">
        <v>0</v>
      </c>
      <c r="AD60" s="68">
        <v>0</v>
      </c>
      <c r="AE60" s="68">
        <v>0</v>
      </c>
      <c r="AF60" s="68">
        <v>0</v>
      </c>
      <c r="AG60" s="68">
        <v>0</v>
      </c>
      <c r="AH60" s="68">
        <v>0</v>
      </c>
      <c r="AI60" s="68">
        <v>0</v>
      </c>
      <c r="AJ60" s="68">
        <v>0</v>
      </c>
      <c r="AK60" s="68">
        <v>0</v>
      </c>
      <c r="AL60" s="94">
        <v>0</v>
      </c>
      <c r="AM60" s="68">
        <v>0</v>
      </c>
      <c r="AN60" s="68">
        <v>0</v>
      </c>
      <c r="AO60" s="68">
        <v>0</v>
      </c>
      <c r="AP60" s="68">
        <v>0</v>
      </c>
      <c r="AQ60" s="68">
        <v>0</v>
      </c>
      <c r="AR60" s="68">
        <v>0</v>
      </c>
      <c r="AS60" s="68">
        <v>0</v>
      </c>
      <c r="AT60" s="68">
        <v>0</v>
      </c>
      <c r="AU60" s="68">
        <v>0</v>
      </c>
      <c r="AV60" s="68">
        <v>0</v>
      </c>
      <c r="AW60" s="68">
        <v>0</v>
      </c>
      <c r="AX60" s="67"/>
      <c r="AY60" s="68"/>
      <c r="AZ60" s="69"/>
      <c r="BA60" s="69"/>
      <c r="BB60" s="69"/>
      <c r="BC60" s="69"/>
      <c r="BD60" s="69"/>
      <c r="BE60" s="69"/>
      <c r="BF60" s="69"/>
      <c r="BG60" s="69"/>
      <c r="BH60" s="69"/>
      <c r="BI60" s="69"/>
      <c r="BJ60" s="69"/>
      <c r="BK60" s="69"/>
      <c r="BL60" s="69"/>
      <c r="BM60" s="69"/>
      <c r="BN60" s="69"/>
      <c r="BO60" s="69"/>
      <c r="BP60" s="69"/>
      <c r="BQ60" s="69"/>
      <c r="BR60" s="69"/>
      <c r="BS60" s="69"/>
      <c r="BT60" s="69"/>
      <c r="BU60" s="69"/>
      <c r="BV60" s="69"/>
      <c r="BW60" s="69"/>
      <c r="BX60" s="69"/>
      <c r="BY60" s="69"/>
      <c r="BZ60" s="69"/>
      <c r="CA60" s="69"/>
      <c r="CB60" s="69"/>
      <c r="CC60" s="69"/>
      <c r="CD60" s="69"/>
      <c r="CE60" s="69"/>
      <c r="CF60" s="69"/>
      <c r="CG60" s="69"/>
      <c r="CH60" s="69"/>
      <c r="CI60" s="69"/>
      <c r="CJ60" s="69"/>
      <c r="CK60" s="69"/>
      <c r="CL60" s="69"/>
      <c r="CM60" s="69"/>
      <c r="CN60" s="69"/>
      <c r="CO60" s="69"/>
      <c r="CP60" s="69"/>
      <c r="CQ60" s="69"/>
      <c r="CR60" s="69"/>
      <c r="CS60" s="69"/>
      <c r="CT60" s="69"/>
      <c r="CU60" s="69"/>
      <c r="CV60" s="69"/>
      <c r="CW60" s="69"/>
      <c r="CX60" s="69"/>
      <c r="CY60" s="69"/>
      <c r="CZ60" s="69"/>
      <c r="DA60" s="69"/>
      <c r="DB60" s="69"/>
      <c r="DC60" s="69"/>
      <c r="DD60" s="69"/>
      <c r="DE60" s="69"/>
      <c r="DF60" s="69"/>
      <c r="DG60" s="69"/>
      <c r="DH60" s="69"/>
      <c r="DI60" s="69"/>
      <c r="DJ60" s="69"/>
      <c r="DK60" s="69"/>
      <c r="DL60" s="69"/>
      <c r="DM60" s="69"/>
      <c r="DN60" s="69"/>
      <c r="DO60" s="69"/>
      <c r="DP60" s="69"/>
      <c r="DQ60" s="69"/>
      <c r="DR60" s="69"/>
      <c r="DS60" s="69"/>
      <c r="DT60" s="69"/>
      <c r="DU60" s="69"/>
      <c r="DV60" s="69"/>
      <c r="DW60" s="69"/>
      <c r="DX60" s="69"/>
      <c r="DY60" s="69"/>
      <c r="DZ60" s="69"/>
      <c r="EA60" s="69"/>
      <c r="EB60" s="69"/>
      <c r="EC60" s="69"/>
      <c r="ED60" s="69"/>
      <c r="EE60" s="69"/>
      <c r="EF60" s="69"/>
      <c r="EG60" s="69"/>
      <c r="EH60" s="69"/>
      <c r="EI60" s="69"/>
      <c r="EJ60" s="69"/>
      <c r="EK60" s="69"/>
      <c r="EL60" s="69"/>
      <c r="EM60" s="69"/>
      <c r="EN60" s="69"/>
      <c r="EO60" s="69"/>
      <c r="EP60" s="69"/>
      <c r="EQ60" s="69"/>
      <c r="ER60" s="69"/>
      <c r="ES60" s="69"/>
      <c r="ET60" s="69"/>
      <c r="EU60" s="69"/>
      <c r="EV60" s="69"/>
      <c r="EW60" s="69"/>
      <c r="EX60" s="69"/>
      <c r="EY60" s="69"/>
      <c r="EZ60" s="69"/>
      <c r="FA60" s="69"/>
      <c r="FB60" s="69"/>
      <c r="FC60" s="69"/>
      <c r="FD60" s="69"/>
      <c r="FE60" s="69"/>
      <c r="FF60" s="69"/>
      <c r="FG60" s="69"/>
      <c r="FH60" s="69"/>
      <c r="FI60" s="69"/>
      <c r="FJ60" s="69"/>
      <c r="FK60" s="69"/>
      <c r="FL60" s="69"/>
      <c r="FM60" s="69"/>
      <c r="FN60" s="69"/>
      <c r="FO60" s="69"/>
      <c r="FP60" s="69"/>
      <c r="FQ60" s="69"/>
      <c r="FR60" s="69"/>
      <c r="FS60" s="69"/>
      <c r="FT60" s="69"/>
      <c r="FU60" s="69"/>
      <c r="FV60" s="69"/>
      <c r="FW60" s="69"/>
      <c r="FX60" s="69"/>
      <c r="FY60" s="69"/>
      <c r="FZ60" s="69"/>
      <c r="GA60" s="69"/>
      <c r="GB60" s="69"/>
      <c r="GC60" s="69"/>
      <c r="GD60" s="69"/>
      <c r="GE60" s="69"/>
      <c r="GF60" s="69"/>
      <c r="GG60" s="165"/>
    </row>
    <row r="61" spans="1:189" s="66" customFormat="1" x14ac:dyDescent="0.2">
      <c r="A61"/>
      <c r="B61" s="82">
        <v>41852</v>
      </c>
      <c r="C61" s="68">
        <v>0</v>
      </c>
      <c r="D61" s="68">
        <v>0</v>
      </c>
      <c r="E61" s="68">
        <v>0</v>
      </c>
      <c r="F61" s="68">
        <v>0</v>
      </c>
      <c r="G61" s="68">
        <v>0</v>
      </c>
      <c r="H61" s="68">
        <v>0</v>
      </c>
      <c r="I61" s="68">
        <v>0</v>
      </c>
      <c r="J61" s="68">
        <v>0</v>
      </c>
      <c r="K61" s="68">
        <v>0</v>
      </c>
      <c r="L61" s="68">
        <v>0</v>
      </c>
      <c r="M61" s="68">
        <v>0</v>
      </c>
      <c r="N61" s="68">
        <v>0</v>
      </c>
      <c r="O61" s="68">
        <v>0</v>
      </c>
      <c r="P61" s="68">
        <v>0</v>
      </c>
      <c r="Q61" s="68">
        <v>0</v>
      </c>
      <c r="R61" s="68">
        <v>0</v>
      </c>
      <c r="S61" s="68">
        <v>0</v>
      </c>
      <c r="T61" s="68">
        <v>0</v>
      </c>
      <c r="U61" s="68">
        <v>0</v>
      </c>
      <c r="V61" s="68">
        <v>0</v>
      </c>
      <c r="W61" s="68">
        <v>0</v>
      </c>
      <c r="X61" s="68">
        <v>0</v>
      </c>
      <c r="Y61" s="68">
        <v>0</v>
      </c>
      <c r="Z61" s="68">
        <v>0</v>
      </c>
      <c r="AA61" s="68">
        <v>0</v>
      </c>
      <c r="AB61" s="68">
        <v>0</v>
      </c>
      <c r="AC61" s="68">
        <v>0</v>
      </c>
      <c r="AD61" s="68">
        <v>0</v>
      </c>
      <c r="AE61" s="68">
        <v>0</v>
      </c>
      <c r="AF61" s="68">
        <v>0</v>
      </c>
      <c r="AG61" s="68">
        <v>0</v>
      </c>
      <c r="AH61" s="68">
        <v>0</v>
      </c>
      <c r="AI61" s="68">
        <v>0</v>
      </c>
      <c r="AJ61" s="68">
        <v>0</v>
      </c>
      <c r="AK61" s="68">
        <v>0</v>
      </c>
      <c r="AL61" s="68">
        <v>0</v>
      </c>
      <c r="AM61" s="94">
        <v>0</v>
      </c>
      <c r="AN61" s="68">
        <v>0</v>
      </c>
      <c r="AO61" s="68">
        <v>0</v>
      </c>
      <c r="AP61" s="68">
        <v>0</v>
      </c>
      <c r="AQ61" s="68">
        <v>0</v>
      </c>
      <c r="AR61" s="68">
        <v>0</v>
      </c>
      <c r="AS61" s="68">
        <v>0</v>
      </c>
      <c r="AT61" s="68">
        <v>0</v>
      </c>
      <c r="AU61" s="68">
        <v>0</v>
      </c>
      <c r="AV61" s="68">
        <v>0</v>
      </c>
      <c r="AW61" s="68">
        <v>0</v>
      </c>
      <c r="AX61" s="68">
        <v>0</v>
      </c>
      <c r="AY61" s="67"/>
      <c r="AZ61" s="68"/>
      <c r="BA61" s="69"/>
      <c r="BB61" s="69"/>
      <c r="BC61" s="69"/>
      <c r="BD61" s="69"/>
      <c r="BE61" s="69"/>
      <c r="BF61" s="69"/>
      <c r="BG61" s="69"/>
      <c r="BH61" s="69"/>
      <c r="BI61" s="69"/>
      <c r="BJ61" s="69"/>
      <c r="BK61" s="69"/>
      <c r="BL61" s="69"/>
      <c r="BM61" s="69"/>
      <c r="BN61" s="69"/>
      <c r="BO61" s="69"/>
      <c r="BP61" s="69"/>
      <c r="BQ61" s="69"/>
      <c r="BR61" s="69"/>
      <c r="BS61" s="69"/>
      <c r="BT61" s="69"/>
      <c r="BU61" s="69"/>
      <c r="BV61" s="69"/>
      <c r="BW61" s="69"/>
      <c r="BX61" s="69"/>
      <c r="BY61" s="69"/>
      <c r="BZ61" s="69"/>
      <c r="CA61" s="69"/>
      <c r="CB61" s="69"/>
      <c r="CC61" s="69"/>
      <c r="CD61" s="69"/>
      <c r="CE61" s="69"/>
      <c r="CF61" s="69"/>
      <c r="CG61" s="69"/>
      <c r="CH61" s="69"/>
      <c r="CI61" s="69"/>
      <c r="CJ61" s="69"/>
      <c r="CK61" s="69"/>
      <c r="CL61" s="69"/>
      <c r="CM61" s="69"/>
      <c r="CN61" s="69"/>
      <c r="CO61" s="69"/>
      <c r="CP61" s="69"/>
      <c r="CQ61" s="69"/>
      <c r="CR61" s="69"/>
      <c r="CS61" s="69"/>
      <c r="CT61" s="69"/>
      <c r="CU61" s="69"/>
      <c r="CV61" s="69"/>
      <c r="CW61" s="69"/>
      <c r="CX61" s="69"/>
      <c r="CY61" s="69"/>
      <c r="CZ61" s="69"/>
      <c r="DA61" s="69"/>
      <c r="DB61" s="69"/>
      <c r="DC61" s="69"/>
      <c r="DD61" s="69"/>
      <c r="DE61" s="69"/>
      <c r="DF61" s="69"/>
      <c r="DG61" s="69"/>
      <c r="DH61" s="69"/>
      <c r="DI61" s="69"/>
      <c r="DJ61" s="69"/>
      <c r="DK61" s="69"/>
      <c r="DL61" s="69"/>
      <c r="DM61" s="69"/>
      <c r="DN61" s="69"/>
      <c r="DO61" s="69"/>
      <c r="DP61" s="69"/>
      <c r="DQ61" s="69"/>
      <c r="DR61" s="69"/>
      <c r="DS61" s="69"/>
      <c r="DT61" s="69"/>
      <c r="DU61" s="69"/>
      <c r="DV61" s="69"/>
      <c r="DW61" s="69"/>
      <c r="DX61" s="69"/>
      <c r="DY61" s="69"/>
      <c r="DZ61" s="69"/>
      <c r="EA61" s="69"/>
      <c r="EB61" s="69"/>
      <c r="EC61" s="69"/>
      <c r="ED61" s="69"/>
      <c r="EE61" s="69"/>
      <c r="EF61" s="69"/>
      <c r="EG61" s="69"/>
      <c r="EH61" s="69"/>
      <c r="EI61" s="69"/>
      <c r="EJ61" s="69"/>
      <c r="EK61" s="69"/>
      <c r="EL61" s="69"/>
      <c r="EM61" s="69"/>
      <c r="EN61" s="69"/>
      <c r="EO61" s="69"/>
      <c r="EP61" s="69"/>
      <c r="EQ61" s="69"/>
      <c r="ER61" s="69"/>
      <c r="ES61" s="69"/>
      <c r="ET61" s="69"/>
      <c r="EU61" s="69"/>
      <c r="EV61" s="69"/>
      <c r="EW61" s="69"/>
      <c r="EX61" s="69"/>
      <c r="EY61" s="69"/>
      <c r="EZ61" s="69"/>
      <c r="FA61" s="69"/>
      <c r="FB61" s="69"/>
      <c r="FC61" s="69"/>
      <c r="FD61" s="69"/>
      <c r="FE61" s="69"/>
      <c r="FF61" s="69"/>
      <c r="FG61" s="69"/>
      <c r="FH61" s="69"/>
      <c r="FI61" s="69"/>
      <c r="FJ61" s="69"/>
      <c r="FK61" s="69"/>
      <c r="FL61" s="69"/>
      <c r="FM61" s="69"/>
      <c r="FN61" s="69"/>
      <c r="FO61" s="69"/>
      <c r="FP61" s="69"/>
      <c r="FQ61" s="69"/>
      <c r="FR61" s="69"/>
      <c r="FS61" s="69"/>
      <c r="FT61" s="69"/>
      <c r="FU61" s="69"/>
      <c r="FV61" s="69"/>
      <c r="FW61" s="69"/>
      <c r="FX61" s="69"/>
      <c r="FY61" s="69"/>
      <c r="FZ61" s="69"/>
      <c r="GA61" s="69"/>
      <c r="GB61" s="69"/>
      <c r="GC61" s="69"/>
      <c r="GD61" s="69"/>
      <c r="GE61" s="69"/>
      <c r="GF61" s="69"/>
      <c r="GG61" s="165"/>
    </row>
    <row r="62" spans="1:189" s="66" customFormat="1" x14ac:dyDescent="0.2">
      <c r="A62"/>
      <c r="B62" s="82">
        <v>41883</v>
      </c>
      <c r="C62" s="68">
        <v>0</v>
      </c>
      <c r="D62" s="68">
        <v>0</v>
      </c>
      <c r="E62" s="68">
        <v>0</v>
      </c>
      <c r="F62" s="68">
        <v>0</v>
      </c>
      <c r="G62" s="68">
        <v>0</v>
      </c>
      <c r="H62" s="68">
        <v>0</v>
      </c>
      <c r="I62" s="68">
        <v>0</v>
      </c>
      <c r="J62" s="68">
        <v>0</v>
      </c>
      <c r="K62" s="68">
        <v>0</v>
      </c>
      <c r="L62" s="68">
        <v>0</v>
      </c>
      <c r="M62" s="68">
        <v>0</v>
      </c>
      <c r="N62" s="68">
        <v>0</v>
      </c>
      <c r="O62" s="68">
        <v>0</v>
      </c>
      <c r="P62" s="68">
        <v>0</v>
      </c>
      <c r="Q62" s="68">
        <v>0</v>
      </c>
      <c r="R62" s="68">
        <v>0</v>
      </c>
      <c r="S62" s="68">
        <v>0</v>
      </c>
      <c r="T62" s="68">
        <v>0</v>
      </c>
      <c r="U62" s="68">
        <v>0</v>
      </c>
      <c r="V62" s="68">
        <v>0</v>
      </c>
      <c r="W62" s="68">
        <v>0</v>
      </c>
      <c r="X62" s="68">
        <v>0</v>
      </c>
      <c r="Y62" s="68">
        <v>0</v>
      </c>
      <c r="Z62" s="68">
        <v>0</v>
      </c>
      <c r="AA62" s="68">
        <v>0</v>
      </c>
      <c r="AB62" s="68">
        <v>0</v>
      </c>
      <c r="AC62" s="68">
        <v>0</v>
      </c>
      <c r="AD62" s="68">
        <v>0</v>
      </c>
      <c r="AE62" s="68">
        <v>0</v>
      </c>
      <c r="AF62" s="68">
        <v>0</v>
      </c>
      <c r="AG62" s="68">
        <v>0</v>
      </c>
      <c r="AH62" s="68">
        <v>0</v>
      </c>
      <c r="AI62" s="68">
        <v>0</v>
      </c>
      <c r="AJ62" s="68">
        <v>0</v>
      </c>
      <c r="AK62" s="68">
        <v>0</v>
      </c>
      <c r="AL62" s="68">
        <v>0</v>
      </c>
      <c r="AM62" s="68">
        <v>0</v>
      </c>
      <c r="AN62" s="94">
        <v>0</v>
      </c>
      <c r="AO62" s="68">
        <v>0</v>
      </c>
      <c r="AP62" s="68">
        <v>0</v>
      </c>
      <c r="AQ62" s="68">
        <v>0</v>
      </c>
      <c r="AR62" s="68">
        <v>0</v>
      </c>
      <c r="AS62" s="68">
        <v>0</v>
      </c>
      <c r="AT62" s="68">
        <v>0</v>
      </c>
      <c r="AU62" s="68">
        <v>0</v>
      </c>
      <c r="AV62" s="68">
        <v>0</v>
      </c>
      <c r="AW62" s="68">
        <v>0</v>
      </c>
      <c r="AX62" s="68">
        <v>0</v>
      </c>
      <c r="AY62" s="68">
        <v>0</v>
      </c>
      <c r="AZ62" s="67"/>
      <c r="BA62" s="68"/>
      <c r="BB62" s="69"/>
      <c r="BC62" s="69"/>
      <c r="BD62" s="69"/>
      <c r="BE62" s="69"/>
      <c r="BF62" s="69"/>
      <c r="BG62" s="69"/>
      <c r="BH62" s="69"/>
      <c r="BI62" s="69"/>
      <c r="BJ62" s="69"/>
      <c r="BK62" s="69"/>
      <c r="BL62" s="69"/>
      <c r="BM62" s="69"/>
      <c r="BN62" s="69"/>
      <c r="BO62" s="69"/>
      <c r="BP62" s="69"/>
      <c r="BQ62" s="69"/>
      <c r="BR62" s="69"/>
      <c r="BS62" s="69"/>
      <c r="BT62" s="69"/>
      <c r="BU62" s="69"/>
      <c r="BV62" s="69"/>
      <c r="BW62" s="69"/>
      <c r="BX62" s="69"/>
      <c r="BY62" s="69"/>
      <c r="BZ62" s="69"/>
      <c r="CA62" s="69"/>
      <c r="CB62" s="69"/>
      <c r="CC62" s="69"/>
      <c r="CD62" s="69"/>
      <c r="CE62" s="69"/>
      <c r="CF62" s="69"/>
      <c r="CG62" s="69"/>
      <c r="CH62" s="69"/>
      <c r="CI62" s="69"/>
      <c r="CJ62" s="69"/>
      <c r="CK62" s="69"/>
      <c r="CL62" s="69"/>
      <c r="CM62" s="69"/>
      <c r="CN62" s="69"/>
      <c r="CO62" s="69"/>
      <c r="CP62" s="69"/>
      <c r="CQ62" s="69"/>
      <c r="CR62" s="69"/>
      <c r="CS62" s="69"/>
      <c r="CT62" s="69"/>
      <c r="CU62" s="69"/>
      <c r="CV62" s="69"/>
      <c r="CW62" s="69"/>
      <c r="CX62" s="69"/>
      <c r="CY62" s="69"/>
      <c r="CZ62" s="69"/>
      <c r="DA62" s="69"/>
      <c r="DB62" s="69"/>
      <c r="DC62" s="69"/>
      <c r="DD62" s="69"/>
      <c r="DE62" s="69"/>
      <c r="DF62" s="69"/>
      <c r="DG62" s="69"/>
      <c r="DH62" s="69"/>
      <c r="DI62" s="69"/>
      <c r="DJ62" s="69"/>
      <c r="DK62" s="69"/>
      <c r="DL62" s="69"/>
      <c r="DM62" s="69"/>
      <c r="DN62" s="69"/>
      <c r="DO62" s="69"/>
      <c r="DP62" s="69"/>
      <c r="DQ62" s="69"/>
      <c r="DR62" s="69"/>
      <c r="DS62" s="69"/>
      <c r="DT62" s="69"/>
      <c r="DU62" s="69"/>
      <c r="DV62" s="69"/>
      <c r="DW62" s="69"/>
      <c r="DX62" s="69"/>
      <c r="DY62" s="69"/>
      <c r="DZ62" s="69"/>
      <c r="EA62" s="69"/>
      <c r="EB62" s="69"/>
      <c r="EC62" s="69"/>
      <c r="ED62" s="69"/>
      <c r="EE62" s="69"/>
      <c r="EF62" s="69"/>
      <c r="EG62" s="69"/>
      <c r="EH62" s="69"/>
      <c r="EI62" s="69"/>
      <c r="EJ62" s="69"/>
      <c r="EK62" s="69"/>
      <c r="EL62" s="69"/>
      <c r="EM62" s="69"/>
      <c r="EN62" s="69"/>
      <c r="EO62" s="69"/>
      <c r="EP62" s="69"/>
      <c r="EQ62" s="69"/>
      <c r="ER62" s="69"/>
      <c r="ES62" s="69"/>
      <c r="ET62" s="69"/>
      <c r="EU62" s="69"/>
      <c r="EV62" s="69"/>
      <c r="EW62" s="69"/>
      <c r="EX62" s="69"/>
      <c r="EY62" s="69"/>
      <c r="EZ62" s="69"/>
      <c r="FA62" s="69"/>
      <c r="FB62" s="69"/>
      <c r="FC62" s="69"/>
      <c r="FD62" s="69"/>
      <c r="FE62" s="69"/>
      <c r="FF62" s="69"/>
      <c r="FG62" s="69"/>
      <c r="FH62" s="69"/>
      <c r="FI62" s="69"/>
      <c r="FJ62" s="69"/>
      <c r="FK62" s="69"/>
      <c r="FL62" s="69"/>
      <c r="FM62" s="69"/>
      <c r="FN62" s="69"/>
      <c r="FO62" s="69"/>
      <c r="FP62" s="69"/>
      <c r="FQ62" s="69"/>
      <c r="FR62" s="69"/>
      <c r="FS62" s="69"/>
      <c r="FT62" s="69"/>
      <c r="FU62" s="69"/>
      <c r="FV62" s="69"/>
      <c r="FW62" s="69"/>
      <c r="FX62" s="69"/>
      <c r="FY62" s="69"/>
      <c r="FZ62" s="69"/>
      <c r="GA62" s="69"/>
      <c r="GB62" s="69"/>
      <c r="GC62" s="69"/>
      <c r="GD62" s="69"/>
      <c r="GE62" s="69"/>
      <c r="GF62" s="69"/>
      <c r="GG62" s="165"/>
    </row>
    <row r="63" spans="1:189" s="66" customFormat="1" x14ac:dyDescent="0.2">
      <c r="A63"/>
      <c r="B63" s="82">
        <v>41913</v>
      </c>
      <c r="C63" s="68">
        <v>0</v>
      </c>
      <c r="D63" s="68">
        <v>-0.10000000000000853</v>
      </c>
      <c r="E63" s="68">
        <v>-0.10000000000000853</v>
      </c>
      <c r="F63" s="68">
        <v>-9.9999999999994316E-2</v>
      </c>
      <c r="G63" s="68">
        <v>-9.9999999999994316E-2</v>
      </c>
      <c r="H63" s="68">
        <v>-0.20000000000000284</v>
      </c>
      <c r="I63" s="68">
        <v>-9.9999999999994316E-2</v>
      </c>
      <c r="J63" s="68">
        <v>-9.9999999999994316E-2</v>
      </c>
      <c r="K63" s="68">
        <v>-0.10000000000000853</v>
      </c>
      <c r="L63" s="68">
        <v>-0.20000000000000284</v>
      </c>
      <c r="M63" s="68">
        <v>-9.9999999999994316E-2</v>
      </c>
      <c r="N63" s="68">
        <v>-0.20000000000000284</v>
      </c>
      <c r="O63" s="68">
        <v>-9.9999999999994316E-2</v>
      </c>
      <c r="P63" s="68">
        <v>-0.20000000000000284</v>
      </c>
      <c r="Q63" s="68">
        <v>-9.9999999999994316E-2</v>
      </c>
      <c r="R63" s="68">
        <v>-0.10000000000000853</v>
      </c>
      <c r="S63" s="68">
        <v>-0.20000000000000284</v>
      </c>
      <c r="T63" s="68">
        <v>-0.20000000000000284</v>
      </c>
      <c r="U63" s="68">
        <v>-0.20000000000000284</v>
      </c>
      <c r="V63" s="68">
        <v>-0.10000000000000853</v>
      </c>
      <c r="W63" s="68">
        <v>-0.20000000000000284</v>
      </c>
      <c r="X63" s="68">
        <v>-9.9999999999994316E-2</v>
      </c>
      <c r="Y63" s="68">
        <v>-0.20000000000000284</v>
      </c>
      <c r="Z63" s="68">
        <v>-9.9999999999994316E-2</v>
      </c>
      <c r="AA63" s="68">
        <v>-9.9999999999994316E-2</v>
      </c>
      <c r="AB63" s="68">
        <v>-0.10000000000000853</v>
      </c>
      <c r="AC63" s="68">
        <v>-9.9999999999994316E-2</v>
      </c>
      <c r="AD63" s="68">
        <v>-0.10000000000000853</v>
      </c>
      <c r="AE63" s="68">
        <v>-0.20000000000000284</v>
      </c>
      <c r="AF63" s="68">
        <v>-0.20000000000000284</v>
      </c>
      <c r="AG63" s="68">
        <v>-0.19999999999998863</v>
      </c>
      <c r="AH63" s="68">
        <v>-9.9999999999994316E-2</v>
      </c>
      <c r="AI63" s="68">
        <v>-0.20000000000000284</v>
      </c>
      <c r="AJ63" s="68">
        <v>-0.20000000000000284</v>
      </c>
      <c r="AK63" s="68">
        <v>-0.29999999999999716</v>
      </c>
      <c r="AL63" s="68">
        <v>-0.20000000000000284</v>
      </c>
      <c r="AM63" s="68">
        <v>-0.20000000000000284</v>
      </c>
      <c r="AN63" s="68">
        <v>-9.9999999999994316E-2</v>
      </c>
      <c r="AO63" s="94">
        <v>-0.20000000000000284</v>
      </c>
      <c r="AP63" s="68">
        <v>-0.20000000000000284</v>
      </c>
      <c r="AQ63" s="68">
        <v>-0.20000000000000284</v>
      </c>
      <c r="AR63" s="68">
        <v>-9.9999999999994316E-2</v>
      </c>
      <c r="AS63" s="68">
        <v>-9.9999999999994316E-2</v>
      </c>
      <c r="AT63" s="68">
        <v>-0.20000000000000284</v>
      </c>
      <c r="AU63" s="68">
        <v>-0.19999999999998863</v>
      </c>
      <c r="AV63" s="68">
        <v>-0.20000000000000284</v>
      </c>
      <c r="AW63" s="68">
        <v>-0.20000000000000284</v>
      </c>
      <c r="AX63" s="68">
        <v>-0.19999999999998863</v>
      </c>
      <c r="AY63" s="68">
        <v>-0.20000000000000284</v>
      </c>
      <c r="AZ63" s="68">
        <v>-0.20000000000000284</v>
      </c>
      <c r="BA63" s="67"/>
      <c r="BB63" s="68"/>
      <c r="BC63" s="69"/>
      <c r="BD63" s="69"/>
      <c r="BE63" s="69"/>
      <c r="BF63" s="69"/>
      <c r="BG63" s="69"/>
      <c r="BH63" s="69"/>
      <c r="BI63" s="69"/>
      <c r="BJ63" s="69"/>
      <c r="BK63" s="69"/>
      <c r="BL63" s="69"/>
      <c r="BM63" s="69"/>
      <c r="BN63" s="69"/>
      <c r="BO63" s="69"/>
      <c r="BP63" s="69"/>
      <c r="BQ63" s="69"/>
      <c r="BR63" s="69"/>
      <c r="BS63" s="69"/>
      <c r="BT63" s="69"/>
      <c r="BU63" s="69"/>
      <c r="BV63" s="69"/>
      <c r="BW63" s="69"/>
      <c r="BX63" s="69"/>
      <c r="BY63" s="69"/>
      <c r="BZ63" s="69"/>
      <c r="CA63" s="69"/>
      <c r="CB63" s="69"/>
      <c r="CC63" s="69"/>
      <c r="CD63" s="69"/>
      <c r="CE63" s="69"/>
      <c r="CF63" s="69"/>
      <c r="CG63" s="69"/>
      <c r="CH63" s="69"/>
      <c r="CI63" s="69"/>
      <c r="CJ63" s="69"/>
      <c r="CK63" s="69"/>
      <c r="CL63" s="69"/>
      <c r="CM63" s="69"/>
      <c r="CN63" s="69"/>
      <c r="CO63" s="69"/>
      <c r="CP63" s="69"/>
      <c r="CQ63" s="69"/>
      <c r="CR63" s="69"/>
      <c r="CS63" s="69"/>
      <c r="CT63" s="69"/>
      <c r="CU63" s="69"/>
      <c r="CV63" s="69"/>
      <c r="CW63" s="69"/>
      <c r="CX63" s="69"/>
      <c r="CY63" s="69"/>
      <c r="CZ63" s="69"/>
      <c r="DA63" s="69"/>
      <c r="DB63" s="69"/>
      <c r="DC63" s="69"/>
      <c r="DD63" s="69"/>
      <c r="DE63" s="69"/>
      <c r="DF63" s="69"/>
      <c r="DG63" s="69"/>
      <c r="DH63" s="69"/>
      <c r="DI63" s="69"/>
      <c r="DJ63" s="69"/>
      <c r="DK63" s="69"/>
      <c r="DL63" s="69"/>
      <c r="DM63" s="69"/>
      <c r="DN63" s="69"/>
      <c r="DO63" s="69"/>
      <c r="DP63" s="69"/>
      <c r="DQ63" s="69"/>
      <c r="DR63" s="69"/>
      <c r="DS63" s="69"/>
      <c r="DT63" s="69"/>
      <c r="DU63" s="69"/>
      <c r="DV63" s="69"/>
      <c r="DW63" s="69"/>
      <c r="DX63" s="69"/>
      <c r="DY63" s="69"/>
      <c r="DZ63" s="69"/>
      <c r="EA63" s="69"/>
      <c r="EB63" s="69"/>
      <c r="EC63" s="69"/>
      <c r="ED63" s="69"/>
      <c r="EE63" s="69"/>
      <c r="EF63" s="69"/>
      <c r="EG63" s="69"/>
      <c r="EH63" s="69"/>
      <c r="EI63" s="69"/>
      <c r="EJ63" s="69"/>
      <c r="EK63" s="69"/>
      <c r="EL63" s="69"/>
      <c r="EM63" s="69"/>
      <c r="EN63" s="69"/>
      <c r="EO63" s="69"/>
      <c r="EP63" s="69"/>
      <c r="EQ63" s="69"/>
      <c r="ER63" s="69"/>
      <c r="ES63" s="69"/>
      <c r="ET63" s="69"/>
      <c r="EU63" s="69"/>
      <c r="EV63" s="69"/>
      <c r="EW63" s="69"/>
      <c r="EX63" s="69"/>
      <c r="EY63" s="69"/>
      <c r="EZ63" s="69"/>
      <c r="FA63" s="69"/>
      <c r="FB63" s="69"/>
      <c r="FC63" s="69"/>
      <c r="FD63" s="69"/>
      <c r="FE63" s="69"/>
      <c r="FF63" s="69"/>
      <c r="FG63" s="69"/>
      <c r="FH63" s="69"/>
      <c r="FI63" s="69"/>
      <c r="FJ63" s="69"/>
      <c r="FK63" s="69"/>
      <c r="FL63" s="69"/>
      <c r="FM63" s="69"/>
      <c r="FN63" s="69"/>
      <c r="FO63" s="69"/>
      <c r="FP63" s="69"/>
      <c r="FQ63" s="69"/>
      <c r="FR63" s="69"/>
      <c r="FS63" s="69"/>
      <c r="FT63" s="69"/>
      <c r="FU63" s="69"/>
      <c r="FV63" s="69"/>
      <c r="FW63" s="69"/>
      <c r="FX63" s="69"/>
      <c r="FY63" s="69"/>
      <c r="FZ63" s="69"/>
      <c r="GA63" s="69"/>
      <c r="GB63" s="69"/>
      <c r="GC63" s="69"/>
      <c r="GD63" s="69"/>
      <c r="GE63" s="69"/>
      <c r="GF63" s="69"/>
      <c r="GG63" s="165"/>
    </row>
    <row r="64" spans="1:189" s="66" customFormat="1" x14ac:dyDescent="0.2">
      <c r="A64"/>
      <c r="B64" s="82">
        <v>41944</v>
      </c>
      <c r="C64" s="68">
        <v>0</v>
      </c>
      <c r="D64" s="68">
        <v>0</v>
      </c>
      <c r="E64" s="68">
        <v>0</v>
      </c>
      <c r="F64" s="68">
        <v>0</v>
      </c>
      <c r="G64" s="68">
        <v>0</v>
      </c>
      <c r="H64" s="68">
        <v>0</v>
      </c>
      <c r="I64" s="68">
        <v>0</v>
      </c>
      <c r="J64" s="68">
        <v>0</v>
      </c>
      <c r="K64" s="68">
        <v>0</v>
      </c>
      <c r="L64" s="68">
        <v>0</v>
      </c>
      <c r="M64" s="68">
        <v>0</v>
      </c>
      <c r="N64" s="68">
        <v>0</v>
      </c>
      <c r="O64" s="68">
        <v>0</v>
      </c>
      <c r="P64" s="68">
        <v>0</v>
      </c>
      <c r="Q64" s="68">
        <v>0</v>
      </c>
      <c r="R64" s="68">
        <v>0</v>
      </c>
      <c r="S64" s="68">
        <v>0</v>
      </c>
      <c r="T64" s="68">
        <v>0</v>
      </c>
      <c r="U64" s="68">
        <v>0</v>
      </c>
      <c r="V64" s="68">
        <v>0</v>
      </c>
      <c r="W64" s="68">
        <v>0</v>
      </c>
      <c r="X64" s="68">
        <v>0</v>
      </c>
      <c r="Y64" s="68">
        <v>0</v>
      </c>
      <c r="Z64" s="68">
        <v>0</v>
      </c>
      <c r="AA64" s="68">
        <v>0</v>
      </c>
      <c r="AB64" s="68">
        <v>0</v>
      </c>
      <c r="AC64" s="68">
        <v>0</v>
      </c>
      <c r="AD64" s="68">
        <v>0</v>
      </c>
      <c r="AE64" s="68">
        <v>0</v>
      </c>
      <c r="AF64" s="68">
        <v>0</v>
      </c>
      <c r="AG64" s="68">
        <v>0</v>
      </c>
      <c r="AH64" s="68">
        <v>0</v>
      </c>
      <c r="AI64" s="68">
        <v>0</v>
      </c>
      <c r="AJ64" s="68">
        <v>0</v>
      </c>
      <c r="AK64" s="68">
        <v>0</v>
      </c>
      <c r="AL64" s="68">
        <v>0</v>
      </c>
      <c r="AM64" s="68">
        <v>0</v>
      </c>
      <c r="AN64" s="68">
        <v>0</v>
      </c>
      <c r="AO64" s="68">
        <v>0</v>
      </c>
      <c r="AP64" s="94">
        <v>0</v>
      </c>
      <c r="AQ64" s="68">
        <v>0</v>
      </c>
      <c r="AR64" s="68">
        <v>0</v>
      </c>
      <c r="AS64" s="68">
        <v>0</v>
      </c>
      <c r="AT64" s="68">
        <v>0</v>
      </c>
      <c r="AU64" s="68">
        <v>0</v>
      </c>
      <c r="AV64" s="68">
        <v>0</v>
      </c>
      <c r="AW64" s="68">
        <v>0</v>
      </c>
      <c r="AX64" s="68">
        <v>0</v>
      </c>
      <c r="AY64" s="68">
        <v>0</v>
      </c>
      <c r="AZ64" s="68">
        <v>0</v>
      </c>
      <c r="BA64" s="68">
        <v>0</v>
      </c>
      <c r="BB64" s="67"/>
      <c r="BC64" s="68"/>
      <c r="BD64" s="69"/>
      <c r="BE64" s="69"/>
      <c r="BF64" s="69"/>
      <c r="BG64" s="69"/>
      <c r="BH64" s="69"/>
      <c r="BI64" s="69"/>
      <c r="BJ64" s="69"/>
      <c r="BK64" s="69"/>
      <c r="BL64" s="69"/>
      <c r="BM64" s="69"/>
      <c r="BN64" s="69"/>
      <c r="BO64" s="69"/>
      <c r="BP64" s="69"/>
      <c r="BQ64" s="69"/>
      <c r="BR64" s="69"/>
      <c r="BS64" s="69"/>
      <c r="BT64" s="69"/>
      <c r="BU64" s="69"/>
      <c r="BV64" s="69"/>
      <c r="BW64" s="69"/>
      <c r="BX64" s="69"/>
      <c r="BY64" s="69"/>
      <c r="BZ64" s="69"/>
      <c r="CA64" s="69"/>
      <c r="CB64" s="69"/>
      <c r="CC64" s="69"/>
      <c r="CD64" s="69"/>
      <c r="CE64" s="69"/>
      <c r="CF64" s="69"/>
      <c r="CG64" s="69"/>
      <c r="CH64" s="69"/>
      <c r="CI64" s="69"/>
      <c r="CJ64" s="69"/>
      <c r="CK64" s="69"/>
      <c r="CL64" s="69"/>
      <c r="CM64" s="69"/>
      <c r="CN64" s="69"/>
      <c r="CO64" s="69"/>
      <c r="CP64" s="69"/>
      <c r="CQ64" s="69"/>
      <c r="CR64" s="69"/>
      <c r="CS64" s="69"/>
      <c r="CT64" s="69"/>
      <c r="CU64" s="69"/>
      <c r="CV64" s="69"/>
      <c r="CW64" s="69"/>
      <c r="CX64" s="69"/>
      <c r="CY64" s="69"/>
      <c r="CZ64" s="69"/>
      <c r="DA64" s="69"/>
      <c r="DB64" s="69"/>
      <c r="DC64" s="69"/>
      <c r="DD64" s="69"/>
      <c r="DE64" s="69"/>
      <c r="DF64" s="69"/>
      <c r="DG64" s="69"/>
      <c r="DH64" s="69"/>
      <c r="DI64" s="69"/>
      <c r="DJ64" s="69"/>
      <c r="DK64" s="69"/>
      <c r="DL64" s="69"/>
      <c r="DM64" s="69"/>
      <c r="DN64" s="69"/>
      <c r="DO64" s="69"/>
      <c r="DP64" s="69"/>
      <c r="DQ64" s="69"/>
      <c r="DR64" s="69"/>
      <c r="DS64" s="69"/>
      <c r="DT64" s="69"/>
      <c r="DU64" s="69"/>
      <c r="DV64" s="69"/>
      <c r="DW64" s="69"/>
      <c r="DX64" s="69"/>
      <c r="DY64" s="69"/>
      <c r="DZ64" s="69"/>
      <c r="EA64" s="69"/>
      <c r="EB64" s="69"/>
      <c r="EC64" s="69"/>
      <c r="ED64" s="69"/>
      <c r="EE64" s="69"/>
      <c r="EF64" s="69"/>
      <c r="EG64" s="69"/>
      <c r="EH64" s="69"/>
      <c r="EI64" s="69"/>
      <c r="EJ64" s="69"/>
      <c r="EK64" s="69"/>
      <c r="EL64" s="69"/>
      <c r="EM64" s="69"/>
      <c r="EN64" s="69"/>
      <c r="EO64" s="69"/>
      <c r="EP64" s="69"/>
      <c r="EQ64" s="69"/>
      <c r="ER64" s="69"/>
      <c r="ES64" s="69"/>
      <c r="ET64" s="69"/>
      <c r="EU64" s="69"/>
      <c r="EV64" s="69"/>
      <c r="EW64" s="69"/>
      <c r="EX64" s="69"/>
      <c r="EY64" s="69"/>
      <c r="EZ64" s="69"/>
      <c r="FA64" s="69"/>
      <c r="FB64" s="69"/>
      <c r="FC64" s="69"/>
      <c r="FD64" s="69"/>
      <c r="FE64" s="69"/>
      <c r="FF64" s="69"/>
      <c r="FG64" s="69"/>
      <c r="FH64" s="69"/>
      <c r="FI64" s="69"/>
      <c r="FJ64" s="69"/>
      <c r="FK64" s="69"/>
      <c r="FL64" s="69"/>
      <c r="FM64" s="69"/>
      <c r="FN64" s="69"/>
      <c r="FO64" s="69"/>
      <c r="FP64" s="69"/>
      <c r="FQ64" s="69"/>
      <c r="FR64" s="69"/>
      <c r="FS64" s="69"/>
      <c r="FT64" s="69"/>
      <c r="FU64" s="69"/>
      <c r="FV64" s="69"/>
      <c r="FW64" s="69"/>
      <c r="FX64" s="69"/>
      <c r="FY64" s="69"/>
      <c r="FZ64" s="69"/>
      <c r="GA64" s="69"/>
      <c r="GB64" s="69"/>
      <c r="GC64" s="69"/>
      <c r="GD64" s="69"/>
      <c r="GE64" s="69"/>
      <c r="GF64" s="69"/>
      <c r="GG64" s="165"/>
    </row>
    <row r="65" spans="1:189" s="66" customFormat="1" x14ac:dyDescent="0.2">
      <c r="A65"/>
      <c r="B65" s="82">
        <v>41974</v>
      </c>
      <c r="C65" s="68">
        <v>0</v>
      </c>
      <c r="D65" s="68">
        <v>0</v>
      </c>
      <c r="E65" s="68">
        <v>0</v>
      </c>
      <c r="F65" s="68">
        <v>0</v>
      </c>
      <c r="G65" s="68">
        <v>0</v>
      </c>
      <c r="H65" s="68">
        <v>0</v>
      </c>
      <c r="I65" s="68">
        <v>0</v>
      </c>
      <c r="J65" s="68">
        <v>0</v>
      </c>
      <c r="K65" s="68">
        <v>0</v>
      </c>
      <c r="L65" s="68">
        <v>0</v>
      </c>
      <c r="M65" s="68">
        <v>0</v>
      </c>
      <c r="N65" s="68">
        <v>0</v>
      </c>
      <c r="O65" s="68">
        <v>0</v>
      </c>
      <c r="P65" s="68">
        <v>0</v>
      </c>
      <c r="Q65" s="68">
        <v>0</v>
      </c>
      <c r="R65" s="68">
        <v>0</v>
      </c>
      <c r="S65" s="68">
        <v>0</v>
      </c>
      <c r="T65" s="68">
        <v>0</v>
      </c>
      <c r="U65" s="68">
        <v>0</v>
      </c>
      <c r="V65" s="68">
        <v>0</v>
      </c>
      <c r="W65" s="68">
        <v>0</v>
      </c>
      <c r="X65" s="68">
        <v>0</v>
      </c>
      <c r="Y65" s="68">
        <v>0</v>
      </c>
      <c r="Z65" s="68">
        <v>0</v>
      </c>
      <c r="AA65" s="68">
        <v>0</v>
      </c>
      <c r="AB65" s="68">
        <v>0</v>
      </c>
      <c r="AC65" s="68">
        <v>0</v>
      </c>
      <c r="AD65" s="68">
        <v>0</v>
      </c>
      <c r="AE65" s="68">
        <v>0</v>
      </c>
      <c r="AF65" s="68">
        <v>0</v>
      </c>
      <c r="AG65" s="68">
        <v>0</v>
      </c>
      <c r="AH65" s="68">
        <v>0</v>
      </c>
      <c r="AI65" s="68">
        <v>0</v>
      </c>
      <c r="AJ65" s="68">
        <v>0</v>
      </c>
      <c r="AK65" s="68">
        <v>0</v>
      </c>
      <c r="AL65" s="68">
        <v>0</v>
      </c>
      <c r="AM65" s="68">
        <v>0</v>
      </c>
      <c r="AN65" s="68">
        <v>0</v>
      </c>
      <c r="AO65" s="68">
        <v>0</v>
      </c>
      <c r="AP65" s="68">
        <v>0</v>
      </c>
      <c r="AQ65" s="94">
        <v>0</v>
      </c>
      <c r="AR65" s="68">
        <v>0</v>
      </c>
      <c r="AS65" s="68">
        <v>0</v>
      </c>
      <c r="AT65" s="68">
        <v>0</v>
      </c>
      <c r="AU65" s="68">
        <v>0</v>
      </c>
      <c r="AV65" s="68">
        <v>0</v>
      </c>
      <c r="AW65" s="68">
        <v>0</v>
      </c>
      <c r="AX65" s="68">
        <v>0</v>
      </c>
      <c r="AY65" s="68">
        <v>0</v>
      </c>
      <c r="AZ65" s="68">
        <v>0</v>
      </c>
      <c r="BA65" s="68">
        <v>0</v>
      </c>
      <c r="BB65" s="68">
        <v>0</v>
      </c>
      <c r="BC65" s="67"/>
      <c r="BD65" s="68"/>
      <c r="BE65" s="69"/>
      <c r="BF65" s="69"/>
      <c r="BG65" s="69"/>
      <c r="BH65" s="69"/>
      <c r="BI65" s="69"/>
      <c r="BJ65" s="69"/>
      <c r="BK65" s="69"/>
      <c r="BL65" s="69"/>
      <c r="BM65" s="69"/>
      <c r="BN65" s="69"/>
      <c r="BO65" s="69"/>
      <c r="BP65" s="69"/>
      <c r="BQ65" s="69"/>
      <c r="BR65" s="69"/>
      <c r="BS65" s="69"/>
      <c r="BT65" s="69"/>
      <c r="BU65" s="69"/>
      <c r="BV65" s="69"/>
      <c r="BW65" s="69"/>
      <c r="BX65" s="69"/>
      <c r="BY65" s="69"/>
      <c r="BZ65" s="69"/>
      <c r="CA65" s="69"/>
      <c r="CB65" s="69"/>
      <c r="CC65" s="69"/>
      <c r="CD65" s="69"/>
      <c r="CE65" s="69"/>
      <c r="CF65" s="69"/>
      <c r="CG65" s="69"/>
      <c r="CH65" s="69"/>
      <c r="CI65" s="69"/>
      <c r="CJ65" s="69"/>
      <c r="CK65" s="69"/>
      <c r="CL65" s="69"/>
      <c r="CM65" s="69"/>
      <c r="CN65" s="69"/>
      <c r="CO65" s="69"/>
      <c r="CP65" s="69"/>
      <c r="CQ65" s="69"/>
      <c r="CR65" s="69"/>
      <c r="CS65" s="69"/>
      <c r="CT65" s="69"/>
      <c r="CU65" s="69"/>
      <c r="CV65" s="69"/>
      <c r="CW65" s="69"/>
      <c r="CX65" s="69"/>
      <c r="CY65" s="69"/>
      <c r="CZ65" s="69"/>
      <c r="DA65" s="69"/>
      <c r="DB65" s="69"/>
      <c r="DC65" s="69"/>
      <c r="DD65" s="69"/>
      <c r="DE65" s="69"/>
      <c r="DF65" s="69"/>
      <c r="DG65" s="69"/>
      <c r="DH65" s="69"/>
      <c r="DI65" s="69"/>
      <c r="DJ65" s="69"/>
      <c r="DK65" s="69"/>
      <c r="DL65" s="69"/>
      <c r="DM65" s="69"/>
      <c r="DN65" s="69"/>
      <c r="DO65" s="69"/>
      <c r="DP65" s="69"/>
      <c r="DQ65" s="69"/>
      <c r="DR65" s="69"/>
      <c r="DS65" s="69"/>
      <c r="DT65" s="69"/>
      <c r="DU65" s="69"/>
      <c r="DV65" s="69"/>
      <c r="DW65" s="69"/>
      <c r="DX65" s="69"/>
      <c r="DY65" s="69"/>
      <c r="DZ65" s="69"/>
      <c r="EA65" s="69"/>
      <c r="EB65" s="69"/>
      <c r="EC65" s="69"/>
      <c r="ED65" s="69"/>
      <c r="EE65" s="69"/>
      <c r="EF65" s="69"/>
      <c r="EG65" s="69"/>
      <c r="EH65" s="69"/>
      <c r="EI65" s="69"/>
      <c r="EJ65" s="69"/>
      <c r="EK65" s="69"/>
      <c r="EL65" s="69"/>
      <c r="EM65" s="69"/>
      <c r="EN65" s="69"/>
      <c r="EO65" s="69"/>
      <c r="EP65" s="69"/>
      <c r="EQ65" s="69"/>
      <c r="ER65" s="69"/>
      <c r="ES65" s="69"/>
      <c r="ET65" s="69"/>
      <c r="EU65" s="69"/>
      <c r="EV65" s="69"/>
      <c r="EW65" s="69"/>
      <c r="EX65" s="69"/>
      <c r="EY65" s="69"/>
      <c r="EZ65" s="69"/>
      <c r="FA65" s="69"/>
      <c r="FB65" s="69"/>
      <c r="FC65" s="69"/>
      <c r="FD65" s="69"/>
      <c r="FE65" s="69"/>
      <c r="FF65" s="69"/>
      <c r="FG65" s="69"/>
      <c r="FH65" s="69"/>
      <c r="FI65" s="69"/>
      <c r="FJ65" s="69"/>
      <c r="FK65" s="69"/>
      <c r="FL65" s="69"/>
      <c r="FM65" s="69"/>
      <c r="FN65" s="69"/>
      <c r="FO65" s="69"/>
      <c r="FP65" s="69"/>
      <c r="FQ65" s="69"/>
      <c r="FR65" s="69"/>
      <c r="FS65" s="69"/>
      <c r="FT65" s="69"/>
      <c r="FU65" s="69"/>
      <c r="FV65" s="69"/>
      <c r="FW65" s="69"/>
      <c r="FX65" s="69"/>
      <c r="FY65" s="69"/>
      <c r="FZ65" s="69"/>
      <c r="GA65" s="69"/>
      <c r="GB65" s="69"/>
      <c r="GC65" s="69"/>
      <c r="GD65" s="69"/>
      <c r="GE65" s="69"/>
      <c r="GF65" s="69"/>
      <c r="GG65" s="165"/>
    </row>
    <row r="66" spans="1:189" s="66" customFormat="1" x14ac:dyDescent="0.2">
      <c r="A66"/>
      <c r="B66" s="82">
        <v>42005</v>
      </c>
      <c r="C66" s="68">
        <v>0</v>
      </c>
      <c r="D66" s="68">
        <v>0</v>
      </c>
      <c r="E66" s="68">
        <v>0</v>
      </c>
      <c r="F66" s="68">
        <v>0</v>
      </c>
      <c r="G66" s="68">
        <v>0</v>
      </c>
      <c r="H66" s="68">
        <v>0</v>
      </c>
      <c r="I66" s="68">
        <v>0</v>
      </c>
      <c r="J66" s="68">
        <v>0</v>
      </c>
      <c r="K66" s="68">
        <v>0</v>
      </c>
      <c r="L66" s="68">
        <v>0</v>
      </c>
      <c r="M66" s="68">
        <v>0</v>
      </c>
      <c r="N66" s="68">
        <v>0</v>
      </c>
      <c r="O66" s="68">
        <v>0</v>
      </c>
      <c r="P66" s="68">
        <v>0</v>
      </c>
      <c r="Q66" s="68">
        <v>0</v>
      </c>
      <c r="R66" s="68">
        <v>0</v>
      </c>
      <c r="S66" s="68">
        <v>0</v>
      </c>
      <c r="T66" s="68">
        <v>0</v>
      </c>
      <c r="U66" s="68">
        <v>0</v>
      </c>
      <c r="V66" s="68">
        <v>0</v>
      </c>
      <c r="W66" s="68">
        <v>0</v>
      </c>
      <c r="X66" s="68">
        <v>0</v>
      </c>
      <c r="Y66" s="68">
        <v>0</v>
      </c>
      <c r="Z66" s="68">
        <v>0</v>
      </c>
      <c r="AA66" s="68">
        <v>0</v>
      </c>
      <c r="AB66" s="68">
        <v>0</v>
      </c>
      <c r="AC66" s="68">
        <v>0</v>
      </c>
      <c r="AD66" s="68">
        <v>0</v>
      </c>
      <c r="AE66" s="68">
        <v>0</v>
      </c>
      <c r="AF66" s="68">
        <v>0</v>
      </c>
      <c r="AG66" s="68">
        <v>0</v>
      </c>
      <c r="AH66" s="68">
        <v>0</v>
      </c>
      <c r="AI66" s="68">
        <v>0</v>
      </c>
      <c r="AJ66" s="68">
        <v>0</v>
      </c>
      <c r="AK66" s="68">
        <v>0</v>
      </c>
      <c r="AL66" s="68">
        <v>0</v>
      </c>
      <c r="AM66" s="68">
        <v>0</v>
      </c>
      <c r="AN66" s="68">
        <v>0</v>
      </c>
      <c r="AO66" s="68">
        <v>0</v>
      </c>
      <c r="AP66" s="68">
        <v>0</v>
      </c>
      <c r="AQ66" s="68">
        <v>0</v>
      </c>
      <c r="AR66" s="94">
        <v>0</v>
      </c>
      <c r="AS66" s="68">
        <v>0</v>
      </c>
      <c r="AT66" s="68">
        <v>0</v>
      </c>
      <c r="AU66" s="68">
        <v>0</v>
      </c>
      <c r="AV66" s="68">
        <v>0</v>
      </c>
      <c r="AW66" s="68">
        <v>0</v>
      </c>
      <c r="AX66" s="68">
        <v>0</v>
      </c>
      <c r="AY66" s="68">
        <v>0</v>
      </c>
      <c r="AZ66" s="68">
        <v>0</v>
      </c>
      <c r="BA66" s="68">
        <v>0</v>
      </c>
      <c r="BB66" s="68">
        <v>0</v>
      </c>
      <c r="BC66" s="68">
        <v>0</v>
      </c>
      <c r="BD66" s="67"/>
      <c r="BE66" s="68"/>
      <c r="BF66" s="69"/>
      <c r="BG66" s="69"/>
      <c r="BH66" s="69"/>
      <c r="BI66" s="69"/>
      <c r="BJ66" s="69"/>
      <c r="BK66" s="69"/>
      <c r="BL66" s="69"/>
      <c r="BM66" s="69"/>
      <c r="BN66" s="69"/>
      <c r="BO66" s="69"/>
      <c r="BP66" s="69"/>
      <c r="BQ66" s="69"/>
      <c r="BR66" s="69"/>
      <c r="BS66" s="69"/>
      <c r="BT66" s="69"/>
      <c r="BU66" s="69"/>
      <c r="BV66" s="69"/>
      <c r="BW66" s="69"/>
      <c r="BX66" s="69"/>
      <c r="BY66" s="69"/>
      <c r="BZ66" s="69"/>
      <c r="CA66" s="69"/>
      <c r="CB66" s="69"/>
      <c r="CC66" s="69"/>
      <c r="CD66" s="69"/>
      <c r="CE66" s="69"/>
      <c r="CF66" s="69"/>
      <c r="CG66" s="69"/>
      <c r="CH66" s="69"/>
      <c r="CI66" s="69"/>
      <c r="CJ66" s="69"/>
      <c r="CK66" s="69"/>
      <c r="CL66" s="69"/>
      <c r="CM66" s="69"/>
      <c r="CN66" s="69"/>
      <c r="CO66" s="69"/>
      <c r="CP66" s="69"/>
      <c r="CQ66" s="69"/>
      <c r="CR66" s="69"/>
      <c r="CS66" s="69"/>
      <c r="CT66" s="69"/>
      <c r="CU66" s="69"/>
      <c r="CV66" s="69"/>
      <c r="CW66" s="69"/>
      <c r="CX66" s="69"/>
      <c r="CY66" s="69"/>
      <c r="CZ66" s="69"/>
      <c r="DA66" s="69"/>
      <c r="DB66" s="69"/>
      <c r="DC66" s="69"/>
      <c r="DD66" s="69"/>
      <c r="DE66" s="69"/>
      <c r="DF66" s="69"/>
      <c r="DG66" s="69"/>
      <c r="DH66" s="69"/>
      <c r="DI66" s="69"/>
      <c r="DJ66" s="69"/>
      <c r="DK66" s="69"/>
      <c r="DL66" s="69"/>
      <c r="DM66" s="69"/>
      <c r="DN66" s="69"/>
      <c r="DO66" s="69"/>
      <c r="DP66" s="69"/>
      <c r="DQ66" s="69"/>
      <c r="DR66" s="69"/>
      <c r="DS66" s="69"/>
      <c r="DT66" s="69"/>
      <c r="DU66" s="69"/>
      <c r="DV66" s="69"/>
      <c r="DW66" s="69"/>
      <c r="DX66" s="69"/>
      <c r="DY66" s="69"/>
      <c r="DZ66" s="69"/>
      <c r="EA66" s="69"/>
      <c r="EB66" s="69"/>
      <c r="EC66" s="69"/>
      <c r="ED66" s="69"/>
      <c r="EE66" s="69"/>
      <c r="EF66" s="69"/>
      <c r="EG66" s="69"/>
      <c r="EH66" s="69"/>
      <c r="EI66" s="69"/>
      <c r="EJ66" s="69"/>
      <c r="EK66" s="69"/>
      <c r="EL66" s="69"/>
      <c r="EM66" s="69"/>
      <c r="EN66" s="69"/>
      <c r="EO66" s="69"/>
      <c r="EP66" s="69"/>
      <c r="EQ66" s="69"/>
      <c r="ER66" s="69"/>
      <c r="ES66" s="69"/>
      <c r="ET66" s="69"/>
      <c r="EU66" s="69"/>
      <c r="EV66" s="69"/>
      <c r="EW66" s="69"/>
      <c r="EX66" s="69"/>
      <c r="EY66" s="69"/>
      <c r="EZ66" s="69"/>
      <c r="FA66" s="69"/>
      <c r="FB66" s="69"/>
      <c r="FC66" s="69"/>
      <c r="FD66" s="69"/>
      <c r="FE66" s="69"/>
      <c r="FF66" s="69"/>
      <c r="FG66" s="69"/>
      <c r="FH66" s="69"/>
      <c r="FI66" s="69"/>
      <c r="FJ66" s="69"/>
      <c r="FK66" s="69"/>
      <c r="FL66" s="69"/>
      <c r="FM66" s="69"/>
      <c r="FN66" s="69"/>
      <c r="FO66" s="69"/>
      <c r="FP66" s="69"/>
      <c r="FQ66" s="69"/>
      <c r="FR66" s="69"/>
      <c r="FS66" s="69"/>
      <c r="FT66" s="69"/>
      <c r="FU66" s="69"/>
      <c r="FV66" s="69"/>
      <c r="FW66" s="69"/>
      <c r="FX66" s="69"/>
      <c r="FY66" s="69"/>
      <c r="FZ66" s="69"/>
      <c r="GA66" s="69"/>
      <c r="GB66" s="69"/>
      <c r="GC66" s="69"/>
      <c r="GD66" s="69"/>
      <c r="GE66" s="69"/>
      <c r="GF66" s="69"/>
      <c r="GG66" s="165"/>
    </row>
    <row r="67" spans="1:189" s="66" customFormat="1" x14ac:dyDescent="0.2">
      <c r="A67"/>
      <c r="B67" s="82">
        <v>42036</v>
      </c>
      <c r="C67" s="68">
        <v>0</v>
      </c>
      <c r="D67" s="68">
        <v>0</v>
      </c>
      <c r="E67" s="68">
        <v>0</v>
      </c>
      <c r="F67" s="68">
        <v>0</v>
      </c>
      <c r="G67" s="68">
        <v>0</v>
      </c>
      <c r="H67" s="68">
        <v>0</v>
      </c>
      <c r="I67" s="68">
        <v>0</v>
      </c>
      <c r="J67" s="68">
        <v>0</v>
      </c>
      <c r="K67" s="68">
        <v>0</v>
      </c>
      <c r="L67" s="68">
        <v>0</v>
      </c>
      <c r="M67" s="68">
        <v>0</v>
      </c>
      <c r="N67" s="68">
        <v>0</v>
      </c>
      <c r="O67" s="68">
        <v>0</v>
      </c>
      <c r="P67" s="68">
        <v>0</v>
      </c>
      <c r="Q67" s="68">
        <v>0</v>
      </c>
      <c r="R67" s="68">
        <v>0</v>
      </c>
      <c r="S67" s="68">
        <v>0</v>
      </c>
      <c r="T67" s="68">
        <v>0</v>
      </c>
      <c r="U67" s="68">
        <v>0</v>
      </c>
      <c r="V67" s="68">
        <v>0</v>
      </c>
      <c r="W67" s="68">
        <v>0</v>
      </c>
      <c r="X67" s="68">
        <v>0</v>
      </c>
      <c r="Y67" s="68">
        <v>0</v>
      </c>
      <c r="Z67" s="68">
        <v>0</v>
      </c>
      <c r="AA67" s="68">
        <v>0</v>
      </c>
      <c r="AB67" s="68">
        <v>0</v>
      </c>
      <c r="AC67" s="68">
        <v>0</v>
      </c>
      <c r="AD67" s="68">
        <v>0</v>
      </c>
      <c r="AE67" s="68">
        <v>0</v>
      </c>
      <c r="AF67" s="68">
        <v>0</v>
      </c>
      <c r="AG67" s="68">
        <v>0</v>
      </c>
      <c r="AH67" s="68">
        <v>0</v>
      </c>
      <c r="AI67" s="68">
        <v>0</v>
      </c>
      <c r="AJ67" s="68">
        <v>0</v>
      </c>
      <c r="AK67" s="68">
        <v>0</v>
      </c>
      <c r="AL67" s="68">
        <v>0</v>
      </c>
      <c r="AM67" s="68">
        <v>0</v>
      </c>
      <c r="AN67" s="68">
        <v>0</v>
      </c>
      <c r="AO67" s="68">
        <v>0</v>
      </c>
      <c r="AP67" s="68">
        <v>0</v>
      </c>
      <c r="AQ67" s="68">
        <v>0</v>
      </c>
      <c r="AR67" s="68">
        <v>0</v>
      </c>
      <c r="AS67" s="94">
        <v>0</v>
      </c>
      <c r="AT67" s="68">
        <v>0</v>
      </c>
      <c r="AU67" s="68">
        <v>0</v>
      </c>
      <c r="AV67" s="68">
        <v>0</v>
      </c>
      <c r="AW67" s="68">
        <v>0</v>
      </c>
      <c r="AX67" s="68">
        <v>0</v>
      </c>
      <c r="AY67" s="68">
        <v>0</v>
      </c>
      <c r="AZ67" s="68">
        <v>0</v>
      </c>
      <c r="BA67" s="68">
        <v>0</v>
      </c>
      <c r="BB67" s="68">
        <v>0</v>
      </c>
      <c r="BC67" s="68">
        <v>0</v>
      </c>
      <c r="BD67" s="68">
        <v>0</v>
      </c>
      <c r="BE67" s="67"/>
      <c r="BF67" s="68"/>
      <c r="BG67" s="69"/>
      <c r="BH67" s="69"/>
      <c r="BI67" s="69"/>
      <c r="BJ67" s="69"/>
      <c r="BK67" s="69"/>
      <c r="BL67" s="69"/>
      <c r="BM67" s="69"/>
      <c r="BN67" s="69"/>
      <c r="BO67" s="69"/>
      <c r="BP67" s="69"/>
      <c r="BQ67" s="69"/>
      <c r="BR67" s="69"/>
      <c r="BS67" s="69"/>
      <c r="BT67" s="69"/>
      <c r="BU67" s="69"/>
      <c r="BV67" s="69"/>
      <c r="BW67" s="69"/>
      <c r="BX67" s="69"/>
      <c r="BY67" s="69"/>
      <c r="BZ67" s="69"/>
      <c r="CA67" s="69"/>
      <c r="CB67" s="69"/>
      <c r="CC67" s="69"/>
      <c r="CD67" s="69"/>
      <c r="CE67" s="69"/>
      <c r="CF67" s="69"/>
      <c r="CG67" s="69"/>
      <c r="CH67" s="69"/>
      <c r="CI67" s="69"/>
      <c r="CJ67" s="69"/>
      <c r="CK67" s="69"/>
      <c r="CL67" s="69"/>
      <c r="CM67" s="69"/>
      <c r="CN67" s="69"/>
      <c r="CO67" s="69"/>
      <c r="CP67" s="69"/>
      <c r="CQ67" s="69"/>
      <c r="CR67" s="69"/>
      <c r="CS67" s="69"/>
      <c r="CT67" s="69"/>
      <c r="CU67" s="69"/>
      <c r="CV67" s="69"/>
      <c r="CW67" s="69"/>
      <c r="CX67" s="69"/>
      <c r="CY67" s="69"/>
      <c r="CZ67" s="69"/>
      <c r="DA67" s="69"/>
      <c r="DB67" s="69"/>
      <c r="DC67" s="69"/>
      <c r="DD67" s="69"/>
      <c r="DE67" s="69"/>
      <c r="DF67" s="69"/>
      <c r="DG67" s="69"/>
      <c r="DH67" s="69"/>
      <c r="DI67" s="69"/>
      <c r="DJ67" s="69"/>
      <c r="DK67" s="69"/>
      <c r="DL67" s="69"/>
      <c r="DM67" s="69"/>
      <c r="DN67" s="69"/>
      <c r="DO67" s="69"/>
      <c r="DP67" s="69"/>
      <c r="DQ67" s="69"/>
      <c r="DR67" s="69"/>
      <c r="DS67" s="69"/>
      <c r="DT67" s="69"/>
      <c r="DU67" s="69"/>
      <c r="DV67" s="69"/>
      <c r="DW67" s="69"/>
      <c r="DX67" s="69"/>
      <c r="DY67" s="69"/>
      <c r="DZ67" s="69"/>
      <c r="EA67" s="69"/>
      <c r="EB67" s="69"/>
      <c r="EC67" s="69"/>
      <c r="ED67" s="69"/>
      <c r="EE67" s="69"/>
      <c r="EF67" s="69"/>
      <c r="EG67" s="69"/>
      <c r="EH67" s="69"/>
      <c r="EI67" s="69"/>
      <c r="EJ67" s="69"/>
      <c r="EK67" s="69"/>
      <c r="EL67" s="69"/>
      <c r="EM67" s="69"/>
      <c r="EN67" s="69"/>
      <c r="EO67" s="69"/>
      <c r="EP67" s="69"/>
      <c r="EQ67" s="69"/>
      <c r="ER67" s="69"/>
      <c r="ES67" s="69"/>
      <c r="ET67" s="69"/>
      <c r="EU67" s="69"/>
      <c r="EV67" s="69"/>
      <c r="EW67" s="69"/>
      <c r="EX67" s="69"/>
      <c r="EY67" s="69"/>
      <c r="EZ67" s="69"/>
      <c r="FA67" s="69"/>
      <c r="FB67" s="69"/>
      <c r="FC67" s="69"/>
      <c r="FD67" s="69"/>
      <c r="FE67" s="69"/>
      <c r="FF67" s="69"/>
      <c r="FG67" s="69"/>
      <c r="FH67" s="69"/>
      <c r="FI67" s="69"/>
      <c r="FJ67" s="69"/>
      <c r="FK67" s="69"/>
      <c r="FL67" s="69"/>
      <c r="FM67" s="69"/>
      <c r="FN67" s="69"/>
      <c r="FO67" s="69"/>
      <c r="FP67" s="69"/>
      <c r="FQ67" s="69"/>
      <c r="FR67" s="69"/>
      <c r="FS67" s="69"/>
      <c r="FT67" s="69"/>
      <c r="FU67" s="69"/>
      <c r="FV67" s="69"/>
      <c r="FW67" s="69"/>
      <c r="FX67" s="69"/>
      <c r="FY67" s="69"/>
      <c r="FZ67" s="69"/>
      <c r="GA67" s="69"/>
      <c r="GB67" s="69"/>
      <c r="GC67" s="69"/>
      <c r="GD67" s="69"/>
      <c r="GE67" s="69"/>
      <c r="GF67" s="69"/>
      <c r="GG67" s="165"/>
    </row>
    <row r="68" spans="1:189" s="66" customFormat="1" x14ac:dyDescent="0.2">
      <c r="A68"/>
      <c r="B68" s="82">
        <v>42064</v>
      </c>
      <c r="C68" s="68">
        <v>0</v>
      </c>
      <c r="D68" s="68">
        <v>0</v>
      </c>
      <c r="E68" s="68">
        <v>0</v>
      </c>
      <c r="F68" s="68">
        <v>0</v>
      </c>
      <c r="G68" s="68">
        <v>0</v>
      </c>
      <c r="H68" s="68">
        <v>0</v>
      </c>
      <c r="I68" s="68">
        <v>0</v>
      </c>
      <c r="J68" s="68">
        <v>0</v>
      </c>
      <c r="K68" s="68">
        <v>0</v>
      </c>
      <c r="L68" s="68">
        <v>0</v>
      </c>
      <c r="M68" s="68">
        <v>0</v>
      </c>
      <c r="N68" s="68">
        <v>0</v>
      </c>
      <c r="O68" s="68">
        <v>0</v>
      </c>
      <c r="P68" s="68">
        <v>0</v>
      </c>
      <c r="Q68" s="68">
        <v>0</v>
      </c>
      <c r="R68" s="68">
        <v>0</v>
      </c>
      <c r="S68" s="68">
        <v>0</v>
      </c>
      <c r="T68" s="68">
        <v>0</v>
      </c>
      <c r="U68" s="68">
        <v>0</v>
      </c>
      <c r="V68" s="68">
        <v>0</v>
      </c>
      <c r="W68" s="68">
        <v>0</v>
      </c>
      <c r="X68" s="68">
        <v>0</v>
      </c>
      <c r="Y68" s="68">
        <v>0</v>
      </c>
      <c r="Z68" s="68">
        <v>0</v>
      </c>
      <c r="AA68" s="68">
        <v>0</v>
      </c>
      <c r="AB68" s="68">
        <v>0</v>
      </c>
      <c r="AC68" s="68">
        <v>0</v>
      </c>
      <c r="AD68" s="68">
        <v>0</v>
      </c>
      <c r="AE68" s="68">
        <v>0</v>
      </c>
      <c r="AF68" s="68">
        <v>0</v>
      </c>
      <c r="AG68" s="68">
        <v>0</v>
      </c>
      <c r="AH68" s="68">
        <v>0</v>
      </c>
      <c r="AI68" s="68">
        <v>0</v>
      </c>
      <c r="AJ68" s="68">
        <v>0</v>
      </c>
      <c r="AK68" s="68">
        <v>0</v>
      </c>
      <c r="AL68" s="68">
        <v>0</v>
      </c>
      <c r="AM68" s="68">
        <v>0</v>
      </c>
      <c r="AN68" s="68">
        <v>0</v>
      </c>
      <c r="AO68" s="68">
        <v>0</v>
      </c>
      <c r="AP68" s="68">
        <v>0</v>
      </c>
      <c r="AQ68" s="68">
        <v>0</v>
      </c>
      <c r="AR68" s="68">
        <v>0</v>
      </c>
      <c r="AS68" s="68">
        <v>0</v>
      </c>
      <c r="AT68" s="94">
        <v>0</v>
      </c>
      <c r="AU68" s="68">
        <v>0</v>
      </c>
      <c r="AV68" s="68">
        <v>0</v>
      </c>
      <c r="AW68" s="68">
        <v>0</v>
      </c>
      <c r="AX68" s="68">
        <v>0</v>
      </c>
      <c r="AY68" s="68">
        <v>0</v>
      </c>
      <c r="AZ68" s="68">
        <v>0</v>
      </c>
      <c r="BA68" s="68">
        <v>0</v>
      </c>
      <c r="BB68" s="68">
        <v>0</v>
      </c>
      <c r="BC68" s="68">
        <v>0</v>
      </c>
      <c r="BD68" s="68">
        <v>0</v>
      </c>
      <c r="BE68" s="68">
        <v>0</v>
      </c>
      <c r="BF68" s="67"/>
      <c r="BG68" s="68"/>
      <c r="BH68" s="69"/>
      <c r="BI68" s="69"/>
      <c r="BJ68" s="69"/>
      <c r="BK68" s="69"/>
      <c r="BL68" s="69"/>
      <c r="BM68" s="69"/>
      <c r="BN68" s="69"/>
      <c r="BO68" s="69"/>
      <c r="BP68" s="69"/>
      <c r="BQ68" s="69"/>
      <c r="BR68" s="69"/>
      <c r="BS68" s="69"/>
      <c r="BT68" s="69"/>
      <c r="BU68" s="69"/>
      <c r="BV68" s="69"/>
      <c r="BW68" s="69"/>
      <c r="BX68" s="69"/>
      <c r="BY68" s="69"/>
      <c r="BZ68" s="69"/>
      <c r="CA68" s="69"/>
      <c r="CB68" s="69"/>
      <c r="CC68" s="69"/>
      <c r="CD68" s="69"/>
      <c r="CE68" s="69"/>
      <c r="CF68" s="69"/>
      <c r="CG68" s="69"/>
      <c r="CH68" s="69"/>
      <c r="CI68" s="69"/>
      <c r="CJ68" s="69"/>
      <c r="CK68" s="69"/>
      <c r="CL68" s="69"/>
      <c r="CM68" s="69"/>
      <c r="CN68" s="69"/>
      <c r="CO68" s="69"/>
      <c r="CP68" s="69"/>
      <c r="CQ68" s="69"/>
      <c r="CR68" s="69"/>
      <c r="CS68" s="69"/>
      <c r="CT68" s="69"/>
      <c r="CU68" s="69"/>
      <c r="CV68" s="69"/>
      <c r="CW68" s="69"/>
      <c r="CX68" s="69"/>
      <c r="CY68" s="69"/>
      <c r="CZ68" s="69"/>
      <c r="DA68" s="69"/>
      <c r="DB68" s="69"/>
      <c r="DC68" s="69"/>
      <c r="DD68" s="69"/>
      <c r="DE68" s="69"/>
      <c r="DF68" s="69"/>
      <c r="DG68" s="69"/>
      <c r="DH68" s="69"/>
      <c r="DI68" s="69"/>
      <c r="DJ68" s="69"/>
      <c r="DK68" s="69"/>
      <c r="DL68" s="69"/>
      <c r="DM68" s="69"/>
      <c r="DN68" s="69"/>
      <c r="DO68" s="69"/>
      <c r="DP68" s="69"/>
      <c r="DQ68" s="69"/>
      <c r="DR68" s="69"/>
      <c r="DS68" s="69"/>
      <c r="DT68" s="69"/>
      <c r="DU68" s="69"/>
      <c r="DV68" s="69"/>
      <c r="DW68" s="69"/>
      <c r="DX68" s="69"/>
      <c r="DY68" s="69"/>
      <c r="DZ68" s="69"/>
      <c r="EA68" s="69"/>
      <c r="EB68" s="69"/>
      <c r="EC68" s="69"/>
      <c r="ED68" s="69"/>
      <c r="EE68" s="69"/>
      <c r="EF68" s="69"/>
      <c r="EG68" s="69"/>
      <c r="EH68" s="69"/>
      <c r="EI68" s="69"/>
      <c r="EJ68" s="69"/>
      <c r="EK68" s="69"/>
      <c r="EL68" s="69"/>
      <c r="EM68" s="69"/>
      <c r="EN68" s="69"/>
      <c r="EO68" s="69"/>
      <c r="EP68" s="69"/>
      <c r="EQ68" s="69"/>
      <c r="ER68" s="69"/>
      <c r="ES68" s="69"/>
      <c r="ET68" s="69"/>
      <c r="EU68" s="69"/>
      <c r="EV68" s="69"/>
      <c r="EW68" s="69"/>
      <c r="EX68" s="69"/>
      <c r="EY68" s="69"/>
      <c r="EZ68" s="69"/>
      <c r="FA68" s="69"/>
      <c r="FB68" s="69"/>
      <c r="FC68" s="69"/>
      <c r="FD68" s="69"/>
      <c r="FE68" s="69"/>
      <c r="FF68" s="69"/>
      <c r="FG68" s="69"/>
      <c r="FH68" s="69"/>
      <c r="FI68" s="69"/>
      <c r="FJ68" s="69"/>
      <c r="FK68" s="69"/>
      <c r="FL68" s="69"/>
      <c r="FM68" s="69"/>
      <c r="FN68" s="69"/>
      <c r="FO68" s="69"/>
      <c r="FP68" s="69"/>
      <c r="FQ68" s="69"/>
      <c r="FR68" s="69"/>
      <c r="FS68" s="69"/>
      <c r="FT68" s="69"/>
      <c r="FU68" s="69"/>
      <c r="FV68" s="69"/>
      <c r="FW68" s="69"/>
      <c r="FX68" s="69"/>
      <c r="FY68" s="69"/>
      <c r="FZ68" s="69"/>
      <c r="GA68" s="69"/>
      <c r="GB68" s="69"/>
      <c r="GC68" s="69"/>
      <c r="GD68" s="69"/>
      <c r="GE68" s="69"/>
      <c r="GF68" s="69"/>
      <c r="GG68" s="165"/>
    </row>
    <row r="69" spans="1:189" s="66" customFormat="1" x14ac:dyDescent="0.2">
      <c r="A69"/>
      <c r="B69" s="82">
        <v>42095</v>
      </c>
      <c r="C69" s="68">
        <v>0</v>
      </c>
      <c r="D69" s="68">
        <v>0</v>
      </c>
      <c r="E69" s="68">
        <v>0</v>
      </c>
      <c r="F69" s="68">
        <v>0</v>
      </c>
      <c r="G69" s="68">
        <v>0</v>
      </c>
      <c r="H69" s="68">
        <v>0</v>
      </c>
      <c r="I69" s="68">
        <v>0</v>
      </c>
      <c r="J69" s="68">
        <v>0</v>
      </c>
      <c r="K69" s="68">
        <v>0</v>
      </c>
      <c r="L69" s="68">
        <v>0</v>
      </c>
      <c r="M69" s="68">
        <v>0</v>
      </c>
      <c r="N69" s="68">
        <v>0</v>
      </c>
      <c r="O69" s="68">
        <v>0</v>
      </c>
      <c r="P69" s="68">
        <v>0</v>
      </c>
      <c r="Q69" s="68">
        <v>0</v>
      </c>
      <c r="R69" s="68">
        <v>0</v>
      </c>
      <c r="S69" s="68">
        <v>0</v>
      </c>
      <c r="T69" s="68">
        <v>0</v>
      </c>
      <c r="U69" s="68">
        <v>0</v>
      </c>
      <c r="V69" s="68">
        <v>0</v>
      </c>
      <c r="W69" s="68">
        <v>0</v>
      </c>
      <c r="X69" s="68">
        <v>0</v>
      </c>
      <c r="Y69" s="68">
        <v>0</v>
      </c>
      <c r="Z69" s="68">
        <v>0</v>
      </c>
      <c r="AA69" s="68">
        <v>0</v>
      </c>
      <c r="AB69" s="68">
        <v>0</v>
      </c>
      <c r="AC69" s="68">
        <v>0</v>
      </c>
      <c r="AD69" s="68">
        <v>0</v>
      </c>
      <c r="AE69" s="68">
        <v>0</v>
      </c>
      <c r="AF69" s="68">
        <v>0</v>
      </c>
      <c r="AG69" s="68">
        <v>0</v>
      </c>
      <c r="AH69" s="68">
        <v>0</v>
      </c>
      <c r="AI69" s="68">
        <v>0</v>
      </c>
      <c r="AJ69" s="68">
        <v>0</v>
      </c>
      <c r="AK69" s="68">
        <v>0</v>
      </c>
      <c r="AL69" s="68">
        <v>0</v>
      </c>
      <c r="AM69" s="68">
        <v>0</v>
      </c>
      <c r="AN69" s="68">
        <v>0</v>
      </c>
      <c r="AO69" s="68">
        <v>0</v>
      </c>
      <c r="AP69" s="68">
        <v>0</v>
      </c>
      <c r="AQ69" s="68">
        <v>0</v>
      </c>
      <c r="AR69" s="68">
        <v>0</v>
      </c>
      <c r="AS69" s="68">
        <v>0</v>
      </c>
      <c r="AT69" s="68">
        <v>0</v>
      </c>
      <c r="AU69" s="94">
        <v>0</v>
      </c>
      <c r="AV69" s="68">
        <v>0</v>
      </c>
      <c r="AW69" s="68">
        <v>0</v>
      </c>
      <c r="AX69" s="68">
        <v>0</v>
      </c>
      <c r="AY69" s="68">
        <v>0</v>
      </c>
      <c r="AZ69" s="68">
        <v>0</v>
      </c>
      <c r="BA69" s="68">
        <v>0</v>
      </c>
      <c r="BB69" s="68">
        <v>0</v>
      </c>
      <c r="BC69" s="68">
        <v>0</v>
      </c>
      <c r="BD69" s="68">
        <v>0</v>
      </c>
      <c r="BE69" s="68">
        <v>0</v>
      </c>
      <c r="BF69" s="68">
        <v>0</v>
      </c>
      <c r="BG69" s="67"/>
      <c r="BH69" s="68"/>
      <c r="BI69" s="69"/>
      <c r="BJ69" s="69"/>
      <c r="BK69" s="69"/>
      <c r="BL69" s="69"/>
      <c r="BM69" s="69"/>
      <c r="BN69" s="69"/>
      <c r="BO69" s="69"/>
      <c r="BP69" s="69"/>
      <c r="BQ69" s="69"/>
      <c r="BR69" s="69"/>
      <c r="BS69" s="69"/>
      <c r="BT69" s="69"/>
      <c r="BU69" s="69"/>
      <c r="BV69" s="69"/>
      <c r="BW69" s="69"/>
      <c r="BX69" s="69"/>
      <c r="BY69" s="69"/>
      <c r="BZ69" s="69"/>
      <c r="CA69" s="69"/>
      <c r="CB69" s="69"/>
      <c r="CC69" s="69"/>
      <c r="CD69" s="69"/>
      <c r="CE69" s="69"/>
      <c r="CF69" s="69"/>
      <c r="CG69" s="69"/>
      <c r="CH69" s="69"/>
      <c r="CI69" s="69"/>
      <c r="CJ69" s="69"/>
      <c r="CK69" s="69"/>
      <c r="CL69" s="69"/>
      <c r="CM69" s="69"/>
      <c r="CN69" s="69"/>
      <c r="CO69" s="69"/>
      <c r="CP69" s="69"/>
      <c r="CQ69" s="69"/>
      <c r="CR69" s="69"/>
      <c r="CS69" s="69"/>
      <c r="CT69" s="69"/>
      <c r="CU69" s="69"/>
      <c r="CV69" s="69"/>
      <c r="CW69" s="69"/>
      <c r="CX69" s="69"/>
      <c r="CY69" s="69"/>
      <c r="CZ69" s="69"/>
      <c r="DA69" s="69"/>
      <c r="DB69" s="69"/>
      <c r="DC69" s="69"/>
      <c r="DD69" s="69"/>
      <c r="DE69" s="69"/>
      <c r="DF69" s="69"/>
      <c r="DG69" s="69"/>
      <c r="DH69" s="69"/>
      <c r="DI69" s="69"/>
      <c r="DJ69" s="69"/>
      <c r="DK69" s="69"/>
      <c r="DL69" s="69"/>
      <c r="DM69" s="69"/>
      <c r="DN69" s="69"/>
      <c r="DO69" s="69"/>
      <c r="DP69" s="69"/>
      <c r="DQ69" s="69"/>
      <c r="DR69" s="69"/>
      <c r="DS69" s="69"/>
      <c r="DT69" s="69"/>
      <c r="DU69" s="69"/>
      <c r="DV69" s="69"/>
      <c r="DW69" s="69"/>
      <c r="DX69" s="69"/>
      <c r="DY69" s="69"/>
      <c r="DZ69" s="69"/>
      <c r="EA69" s="69"/>
      <c r="EB69" s="69"/>
      <c r="EC69" s="69"/>
      <c r="ED69" s="69"/>
      <c r="EE69" s="69"/>
      <c r="EF69" s="69"/>
      <c r="EG69" s="69"/>
      <c r="EH69" s="69"/>
      <c r="EI69" s="69"/>
      <c r="EJ69" s="69"/>
      <c r="EK69" s="69"/>
      <c r="EL69" s="69"/>
      <c r="EM69" s="69"/>
      <c r="EN69" s="69"/>
      <c r="EO69" s="69"/>
      <c r="EP69" s="69"/>
      <c r="EQ69" s="69"/>
      <c r="ER69" s="69"/>
      <c r="ES69" s="69"/>
      <c r="ET69" s="69"/>
      <c r="EU69" s="69"/>
      <c r="EV69" s="69"/>
      <c r="EW69" s="69"/>
      <c r="EX69" s="69"/>
      <c r="EY69" s="69"/>
      <c r="EZ69" s="69"/>
      <c r="FA69" s="69"/>
      <c r="FB69" s="69"/>
      <c r="FC69" s="69"/>
      <c r="FD69" s="69"/>
      <c r="FE69" s="69"/>
      <c r="FF69" s="69"/>
      <c r="FG69" s="69"/>
      <c r="FH69" s="69"/>
      <c r="FI69" s="69"/>
      <c r="FJ69" s="69"/>
      <c r="FK69" s="69"/>
      <c r="FL69" s="69"/>
      <c r="FM69" s="69"/>
      <c r="FN69" s="69"/>
      <c r="FO69" s="69"/>
      <c r="FP69" s="69"/>
      <c r="FQ69" s="69"/>
      <c r="FR69" s="69"/>
      <c r="FS69" s="69"/>
      <c r="FT69" s="69"/>
      <c r="FU69" s="69"/>
      <c r="FV69" s="69"/>
      <c r="FW69" s="69"/>
      <c r="FX69" s="69"/>
      <c r="FY69" s="69"/>
      <c r="FZ69" s="69"/>
      <c r="GA69" s="69"/>
      <c r="GB69" s="69"/>
      <c r="GC69" s="69"/>
      <c r="GD69" s="69"/>
      <c r="GE69" s="69"/>
      <c r="GF69" s="69"/>
      <c r="GG69" s="165"/>
    </row>
    <row r="70" spans="1:189" s="66" customFormat="1" x14ac:dyDescent="0.2">
      <c r="A70"/>
      <c r="B70" s="82">
        <v>42125</v>
      </c>
      <c r="C70" s="68">
        <v>0</v>
      </c>
      <c r="D70" s="68">
        <v>0</v>
      </c>
      <c r="E70" s="68">
        <v>0</v>
      </c>
      <c r="F70" s="68">
        <v>0</v>
      </c>
      <c r="G70" s="68">
        <v>0</v>
      </c>
      <c r="H70" s="68">
        <v>0</v>
      </c>
      <c r="I70" s="68">
        <v>0</v>
      </c>
      <c r="J70" s="68">
        <v>0</v>
      </c>
      <c r="K70" s="68">
        <v>0</v>
      </c>
      <c r="L70" s="68">
        <v>0</v>
      </c>
      <c r="M70" s="68">
        <v>0</v>
      </c>
      <c r="N70" s="68">
        <v>0</v>
      </c>
      <c r="O70" s="68">
        <v>0</v>
      </c>
      <c r="P70" s="68">
        <v>0</v>
      </c>
      <c r="Q70" s="68">
        <v>0</v>
      </c>
      <c r="R70" s="68">
        <v>0</v>
      </c>
      <c r="S70" s="68">
        <v>0</v>
      </c>
      <c r="T70" s="68">
        <v>0</v>
      </c>
      <c r="U70" s="68">
        <v>0</v>
      </c>
      <c r="V70" s="68">
        <v>0</v>
      </c>
      <c r="W70" s="68">
        <v>0</v>
      </c>
      <c r="X70" s="68">
        <v>0</v>
      </c>
      <c r="Y70" s="68">
        <v>0</v>
      </c>
      <c r="Z70" s="68">
        <v>0</v>
      </c>
      <c r="AA70" s="68">
        <v>0</v>
      </c>
      <c r="AB70" s="68">
        <v>0</v>
      </c>
      <c r="AC70" s="68">
        <v>0</v>
      </c>
      <c r="AD70" s="68">
        <v>0</v>
      </c>
      <c r="AE70" s="68">
        <v>0</v>
      </c>
      <c r="AF70" s="68">
        <v>0</v>
      </c>
      <c r="AG70" s="68">
        <v>0</v>
      </c>
      <c r="AH70" s="68">
        <v>0</v>
      </c>
      <c r="AI70" s="68">
        <v>0</v>
      </c>
      <c r="AJ70" s="68">
        <v>0</v>
      </c>
      <c r="AK70" s="68">
        <v>0</v>
      </c>
      <c r="AL70" s="68">
        <v>0</v>
      </c>
      <c r="AM70" s="68">
        <v>0</v>
      </c>
      <c r="AN70" s="68">
        <v>0</v>
      </c>
      <c r="AO70" s="68">
        <v>0</v>
      </c>
      <c r="AP70" s="68">
        <v>0</v>
      </c>
      <c r="AQ70" s="68">
        <v>0</v>
      </c>
      <c r="AR70" s="68">
        <v>0</v>
      </c>
      <c r="AS70" s="68">
        <v>0</v>
      </c>
      <c r="AT70" s="68">
        <v>0</v>
      </c>
      <c r="AU70" s="68">
        <v>0</v>
      </c>
      <c r="AV70" s="94">
        <v>0</v>
      </c>
      <c r="AW70" s="68">
        <v>0</v>
      </c>
      <c r="AX70" s="68">
        <v>0</v>
      </c>
      <c r="AY70" s="68">
        <v>0</v>
      </c>
      <c r="AZ70" s="68">
        <v>0</v>
      </c>
      <c r="BA70" s="68">
        <v>0</v>
      </c>
      <c r="BB70" s="68">
        <v>0</v>
      </c>
      <c r="BC70" s="68">
        <v>0</v>
      </c>
      <c r="BD70" s="68">
        <v>0</v>
      </c>
      <c r="BE70" s="68">
        <v>0</v>
      </c>
      <c r="BF70" s="68">
        <v>0</v>
      </c>
      <c r="BG70" s="68">
        <v>0</v>
      </c>
      <c r="BH70" s="67"/>
      <c r="BI70" s="68"/>
      <c r="BJ70" s="69"/>
      <c r="BK70" s="69"/>
      <c r="BL70" s="69"/>
      <c r="BM70" s="69"/>
      <c r="BN70" s="69"/>
      <c r="BO70" s="69"/>
      <c r="BP70" s="69"/>
      <c r="BQ70" s="69"/>
      <c r="BR70" s="69"/>
      <c r="BS70" s="69"/>
      <c r="BT70" s="69"/>
      <c r="BU70" s="69"/>
      <c r="BV70" s="69"/>
      <c r="BW70" s="69"/>
      <c r="BX70" s="69"/>
      <c r="BY70" s="69"/>
      <c r="BZ70" s="69"/>
      <c r="CA70" s="69"/>
      <c r="CB70" s="69"/>
      <c r="CC70" s="69"/>
      <c r="CD70" s="69"/>
      <c r="CE70" s="69"/>
      <c r="CF70" s="69"/>
      <c r="CG70" s="69"/>
      <c r="CH70" s="69"/>
      <c r="CI70" s="69"/>
      <c r="CJ70" s="69"/>
      <c r="CK70" s="69"/>
      <c r="CL70" s="69"/>
      <c r="CM70" s="69"/>
      <c r="CN70" s="69"/>
      <c r="CO70" s="69"/>
      <c r="CP70" s="69"/>
      <c r="CQ70" s="69"/>
      <c r="CR70" s="69"/>
      <c r="CS70" s="69"/>
      <c r="CT70" s="69"/>
      <c r="CU70" s="69"/>
      <c r="CV70" s="69"/>
      <c r="CW70" s="69"/>
      <c r="CX70" s="69"/>
      <c r="CY70" s="69"/>
      <c r="CZ70" s="69"/>
      <c r="DA70" s="69"/>
      <c r="DB70" s="69"/>
      <c r="DC70" s="69"/>
      <c r="DD70" s="69"/>
      <c r="DE70" s="69"/>
      <c r="DF70" s="69"/>
      <c r="DG70" s="69"/>
      <c r="DH70" s="69"/>
      <c r="DI70" s="69"/>
      <c r="DJ70" s="69"/>
      <c r="DK70" s="69"/>
      <c r="DL70" s="69"/>
      <c r="DM70" s="69"/>
      <c r="DN70" s="69"/>
      <c r="DO70" s="69"/>
      <c r="DP70" s="69"/>
      <c r="DQ70" s="69"/>
      <c r="DR70" s="69"/>
      <c r="DS70" s="69"/>
      <c r="DT70" s="69"/>
      <c r="DU70" s="69"/>
      <c r="DV70" s="69"/>
      <c r="DW70" s="69"/>
      <c r="DX70" s="69"/>
      <c r="DY70" s="69"/>
      <c r="DZ70" s="69"/>
      <c r="EA70" s="69"/>
      <c r="EB70" s="69"/>
      <c r="EC70" s="69"/>
      <c r="ED70" s="69"/>
      <c r="EE70" s="69"/>
      <c r="EF70" s="69"/>
      <c r="EG70" s="69"/>
      <c r="EH70" s="69"/>
      <c r="EI70" s="69"/>
      <c r="EJ70" s="69"/>
      <c r="EK70" s="69"/>
      <c r="EL70" s="69"/>
      <c r="EM70" s="69"/>
      <c r="EN70" s="69"/>
      <c r="EO70" s="69"/>
      <c r="EP70" s="69"/>
      <c r="EQ70" s="69"/>
      <c r="ER70" s="69"/>
      <c r="ES70" s="69"/>
      <c r="ET70" s="69"/>
      <c r="EU70" s="69"/>
      <c r="EV70" s="69"/>
      <c r="EW70" s="69"/>
      <c r="EX70" s="69"/>
      <c r="EY70" s="69"/>
      <c r="EZ70" s="69"/>
      <c r="FA70" s="69"/>
      <c r="FB70" s="69"/>
      <c r="FC70" s="69"/>
      <c r="FD70" s="69"/>
      <c r="FE70" s="69"/>
      <c r="FF70" s="69"/>
      <c r="FG70" s="69"/>
      <c r="FH70" s="69"/>
      <c r="FI70" s="69"/>
      <c r="FJ70" s="69"/>
      <c r="FK70" s="69"/>
      <c r="FL70" s="69"/>
      <c r="FM70" s="69"/>
      <c r="FN70" s="69"/>
      <c r="FO70" s="69"/>
      <c r="FP70" s="69"/>
      <c r="FQ70" s="69"/>
      <c r="FR70" s="69"/>
      <c r="FS70" s="69"/>
      <c r="FT70" s="69"/>
      <c r="FU70" s="69"/>
      <c r="FV70" s="69"/>
      <c r="FW70" s="69"/>
      <c r="FX70" s="69"/>
      <c r="FY70" s="69"/>
      <c r="FZ70" s="69"/>
      <c r="GA70" s="69"/>
      <c r="GB70" s="69"/>
      <c r="GC70" s="69"/>
      <c r="GD70" s="69"/>
      <c r="GE70" s="69"/>
      <c r="GF70" s="69"/>
      <c r="GG70" s="165"/>
    </row>
    <row r="71" spans="1:189" s="66" customFormat="1" x14ac:dyDescent="0.2">
      <c r="A71"/>
      <c r="B71" s="82">
        <v>42156</v>
      </c>
      <c r="C71" s="68">
        <v>0</v>
      </c>
      <c r="D71" s="68">
        <v>0</v>
      </c>
      <c r="E71" s="68">
        <v>0</v>
      </c>
      <c r="F71" s="68">
        <v>0</v>
      </c>
      <c r="G71" s="68">
        <v>0</v>
      </c>
      <c r="H71" s="68">
        <v>0</v>
      </c>
      <c r="I71" s="68">
        <v>0</v>
      </c>
      <c r="J71" s="68">
        <v>0</v>
      </c>
      <c r="K71" s="68">
        <v>0</v>
      </c>
      <c r="L71" s="68">
        <v>0</v>
      </c>
      <c r="M71" s="68">
        <v>0</v>
      </c>
      <c r="N71" s="68">
        <v>0</v>
      </c>
      <c r="O71" s="68">
        <v>0</v>
      </c>
      <c r="P71" s="68">
        <v>0</v>
      </c>
      <c r="Q71" s="68">
        <v>0</v>
      </c>
      <c r="R71" s="68">
        <v>0</v>
      </c>
      <c r="S71" s="68">
        <v>0</v>
      </c>
      <c r="T71" s="68">
        <v>0</v>
      </c>
      <c r="U71" s="68">
        <v>0</v>
      </c>
      <c r="V71" s="68">
        <v>0</v>
      </c>
      <c r="W71" s="68">
        <v>0</v>
      </c>
      <c r="X71" s="68">
        <v>0</v>
      </c>
      <c r="Y71" s="68">
        <v>0</v>
      </c>
      <c r="Z71" s="68">
        <v>0</v>
      </c>
      <c r="AA71" s="68">
        <v>0</v>
      </c>
      <c r="AB71" s="68">
        <v>0</v>
      </c>
      <c r="AC71" s="68">
        <v>0</v>
      </c>
      <c r="AD71" s="68">
        <v>0</v>
      </c>
      <c r="AE71" s="68">
        <v>0</v>
      </c>
      <c r="AF71" s="68">
        <v>0</v>
      </c>
      <c r="AG71" s="68">
        <v>0</v>
      </c>
      <c r="AH71" s="68">
        <v>0</v>
      </c>
      <c r="AI71" s="68">
        <v>0</v>
      </c>
      <c r="AJ71" s="68">
        <v>0</v>
      </c>
      <c r="AK71" s="68">
        <v>0</v>
      </c>
      <c r="AL71" s="68">
        <v>0</v>
      </c>
      <c r="AM71" s="68">
        <v>0</v>
      </c>
      <c r="AN71" s="68">
        <v>0</v>
      </c>
      <c r="AO71" s="68">
        <v>0</v>
      </c>
      <c r="AP71" s="68">
        <v>0</v>
      </c>
      <c r="AQ71" s="68">
        <v>0</v>
      </c>
      <c r="AR71" s="68">
        <v>0</v>
      </c>
      <c r="AS71" s="68">
        <v>0</v>
      </c>
      <c r="AT71" s="68">
        <v>0</v>
      </c>
      <c r="AU71" s="68">
        <v>0</v>
      </c>
      <c r="AV71" s="68">
        <v>0</v>
      </c>
      <c r="AW71" s="94">
        <v>0</v>
      </c>
      <c r="AX71" s="68">
        <v>0</v>
      </c>
      <c r="AY71" s="68">
        <v>0</v>
      </c>
      <c r="AZ71" s="68">
        <v>0</v>
      </c>
      <c r="BA71" s="68">
        <v>0</v>
      </c>
      <c r="BB71" s="68">
        <v>0</v>
      </c>
      <c r="BC71" s="68">
        <v>0</v>
      </c>
      <c r="BD71" s="68">
        <v>0</v>
      </c>
      <c r="BE71" s="68">
        <v>0</v>
      </c>
      <c r="BF71" s="68">
        <v>0</v>
      </c>
      <c r="BG71" s="68">
        <v>0</v>
      </c>
      <c r="BH71" s="68">
        <v>0</v>
      </c>
      <c r="BI71" s="67"/>
      <c r="BJ71" s="68"/>
      <c r="BK71" s="69"/>
      <c r="BL71" s="69"/>
      <c r="BM71" s="69"/>
      <c r="BN71" s="69"/>
      <c r="BO71" s="69"/>
      <c r="BP71" s="69"/>
      <c r="BQ71" s="69"/>
      <c r="BR71" s="69"/>
      <c r="BS71" s="69"/>
      <c r="BT71" s="69"/>
      <c r="BU71" s="69"/>
      <c r="BV71" s="69"/>
      <c r="BW71" s="69"/>
      <c r="BX71" s="69"/>
      <c r="BY71" s="69"/>
      <c r="BZ71" s="69"/>
      <c r="CA71" s="69"/>
      <c r="CB71" s="69"/>
      <c r="CC71" s="69"/>
      <c r="CD71" s="69"/>
      <c r="CE71" s="69"/>
      <c r="CF71" s="69"/>
      <c r="CG71" s="69"/>
      <c r="CH71" s="69"/>
      <c r="CI71" s="69"/>
      <c r="CJ71" s="69"/>
      <c r="CK71" s="69"/>
      <c r="CL71" s="69"/>
      <c r="CM71" s="69"/>
      <c r="CN71" s="69"/>
      <c r="CO71" s="69"/>
      <c r="CP71" s="69"/>
      <c r="CQ71" s="69"/>
      <c r="CR71" s="69"/>
      <c r="CS71" s="69"/>
      <c r="CT71" s="69"/>
      <c r="CU71" s="69"/>
      <c r="CV71" s="69"/>
      <c r="CW71" s="69"/>
      <c r="CX71" s="69"/>
      <c r="CY71" s="69"/>
      <c r="CZ71" s="69"/>
      <c r="DA71" s="69"/>
      <c r="DB71" s="69"/>
      <c r="DC71" s="69"/>
      <c r="DD71" s="69"/>
      <c r="DE71" s="69"/>
      <c r="DF71" s="69"/>
      <c r="DG71" s="69"/>
      <c r="DH71" s="69"/>
      <c r="DI71" s="69"/>
      <c r="DJ71" s="69"/>
      <c r="DK71" s="69"/>
      <c r="DL71" s="69"/>
      <c r="DM71" s="69"/>
      <c r="DN71" s="69"/>
      <c r="DO71" s="69"/>
      <c r="DP71" s="69"/>
      <c r="DQ71" s="69"/>
      <c r="DR71" s="69"/>
      <c r="DS71" s="69"/>
      <c r="DT71" s="69"/>
      <c r="DU71" s="69"/>
      <c r="DV71" s="69"/>
      <c r="DW71" s="69"/>
      <c r="DX71" s="69"/>
      <c r="DY71" s="69"/>
      <c r="DZ71" s="69"/>
      <c r="EA71" s="69"/>
      <c r="EB71" s="69"/>
      <c r="EC71" s="69"/>
      <c r="ED71" s="69"/>
      <c r="EE71" s="69"/>
      <c r="EF71" s="69"/>
      <c r="EG71" s="69"/>
      <c r="EH71" s="69"/>
      <c r="EI71" s="69"/>
      <c r="EJ71" s="69"/>
      <c r="EK71" s="69"/>
      <c r="EL71" s="69"/>
      <c r="EM71" s="69"/>
      <c r="EN71" s="69"/>
      <c r="EO71" s="69"/>
      <c r="EP71" s="69"/>
      <c r="EQ71" s="69"/>
      <c r="ER71" s="69"/>
      <c r="ES71" s="69"/>
      <c r="ET71" s="69"/>
      <c r="EU71" s="69"/>
      <c r="EV71" s="69"/>
      <c r="EW71" s="69"/>
      <c r="EX71" s="69"/>
      <c r="EY71" s="69"/>
      <c r="EZ71" s="69"/>
      <c r="FA71" s="69"/>
      <c r="FB71" s="69"/>
      <c r="FC71" s="69"/>
      <c r="FD71" s="69"/>
      <c r="FE71" s="69"/>
      <c r="FF71" s="69"/>
      <c r="FG71" s="69"/>
      <c r="FH71" s="69"/>
      <c r="FI71" s="69"/>
      <c r="FJ71" s="69"/>
      <c r="FK71" s="69"/>
      <c r="FL71" s="69"/>
      <c r="FM71" s="69"/>
      <c r="FN71" s="69"/>
      <c r="FO71" s="69"/>
      <c r="FP71" s="69"/>
      <c r="FQ71" s="69"/>
      <c r="FR71" s="69"/>
      <c r="FS71" s="69"/>
      <c r="FT71" s="69"/>
      <c r="FU71" s="69"/>
      <c r="FV71" s="69"/>
      <c r="FW71" s="69"/>
      <c r="FX71" s="69"/>
      <c r="FY71" s="69"/>
      <c r="FZ71" s="69"/>
      <c r="GA71" s="69"/>
      <c r="GB71" s="69"/>
      <c r="GC71" s="69"/>
      <c r="GD71" s="69"/>
      <c r="GE71" s="69"/>
      <c r="GF71" s="69"/>
      <c r="GG71" s="165"/>
    </row>
    <row r="72" spans="1:189" s="66" customFormat="1" x14ac:dyDescent="0.2">
      <c r="A72"/>
      <c r="B72" s="82">
        <v>42186</v>
      </c>
      <c r="C72" s="68">
        <v>0</v>
      </c>
      <c r="D72" s="68">
        <v>0</v>
      </c>
      <c r="E72" s="68">
        <v>0</v>
      </c>
      <c r="F72" s="68">
        <v>0</v>
      </c>
      <c r="G72" s="68">
        <v>0</v>
      </c>
      <c r="H72" s="68">
        <v>0</v>
      </c>
      <c r="I72" s="68">
        <v>0</v>
      </c>
      <c r="J72" s="68">
        <v>0</v>
      </c>
      <c r="K72" s="68">
        <v>0</v>
      </c>
      <c r="L72" s="68">
        <v>0</v>
      </c>
      <c r="M72" s="68">
        <v>0</v>
      </c>
      <c r="N72" s="68">
        <v>0</v>
      </c>
      <c r="O72" s="68">
        <v>0</v>
      </c>
      <c r="P72" s="68">
        <v>0</v>
      </c>
      <c r="Q72" s="68">
        <v>0</v>
      </c>
      <c r="R72" s="68">
        <v>0</v>
      </c>
      <c r="S72" s="68">
        <v>0</v>
      </c>
      <c r="T72" s="68">
        <v>0</v>
      </c>
      <c r="U72" s="68">
        <v>0</v>
      </c>
      <c r="V72" s="68">
        <v>0</v>
      </c>
      <c r="W72" s="68">
        <v>0</v>
      </c>
      <c r="X72" s="68">
        <v>0</v>
      </c>
      <c r="Y72" s="68">
        <v>0</v>
      </c>
      <c r="Z72" s="68">
        <v>0</v>
      </c>
      <c r="AA72" s="68">
        <v>0</v>
      </c>
      <c r="AB72" s="68">
        <v>0</v>
      </c>
      <c r="AC72" s="68">
        <v>0</v>
      </c>
      <c r="AD72" s="68">
        <v>0</v>
      </c>
      <c r="AE72" s="68">
        <v>0</v>
      </c>
      <c r="AF72" s="68">
        <v>0</v>
      </c>
      <c r="AG72" s="68">
        <v>0</v>
      </c>
      <c r="AH72" s="68">
        <v>0</v>
      </c>
      <c r="AI72" s="68">
        <v>0</v>
      </c>
      <c r="AJ72" s="68">
        <v>0</v>
      </c>
      <c r="AK72" s="68">
        <v>0</v>
      </c>
      <c r="AL72" s="68">
        <v>0</v>
      </c>
      <c r="AM72" s="68">
        <v>0</v>
      </c>
      <c r="AN72" s="68">
        <v>0</v>
      </c>
      <c r="AO72" s="68">
        <v>0</v>
      </c>
      <c r="AP72" s="68">
        <v>0</v>
      </c>
      <c r="AQ72" s="68">
        <v>0</v>
      </c>
      <c r="AR72" s="68">
        <v>0</v>
      </c>
      <c r="AS72" s="68">
        <v>0</v>
      </c>
      <c r="AT72" s="68">
        <v>0</v>
      </c>
      <c r="AU72" s="68">
        <v>0</v>
      </c>
      <c r="AV72" s="68">
        <v>0</v>
      </c>
      <c r="AW72" s="68">
        <v>0</v>
      </c>
      <c r="AX72" s="94">
        <v>0</v>
      </c>
      <c r="AY72" s="68">
        <v>0</v>
      </c>
      <c r="AZ72" s="68">
        <v>0</v>
      </c>
      <c r="BA72" s="68">
        <v>0</v>
      </c>
      <c r="BB72" s="68">
        <v>0</v>
      </c>
      <c r="BC72" s="68">
        <v>0</v>
      </c>
      <c r="BD72" s="68">
        <v>0</v>
      </c>
      <c r="BE72" s="68">
        <v>0</v>
      </c>
      <c r="BF72" s="68">
        <v>0</v>
      </c>
      <c r="BG72" s="68">
        <v>0</v>
      </c>
      <c r="BH72" s="68">
        <v>0</v>
      </c>
      <c r="BI72" s="68">
        <v>0</v>
      </c>
      <c r="BJ72" s="67"/>
      <c r="BK72" s="68"/>
      <c r="BL72" s="69"/>
      <c r="BM72" s="69"/>
      <c r="BN72" s="69"/>
      <c r="BO72" s="69"/>
      <c r="BP72" s="69"/>
      <c r="BQ72" s="69"/>
      <c r="BR72" s="69"/>
      <c r="BS72" s="69"/>
      <c r="BT72" s="69"/>
      <c r="BU72" s="69"/>
      <c r="BV72" s="69"/>
      <c r="BW72" s="69"/>
      <c r="BX72" s="69"/>
      <c r="BY72" s="69"/>
      <c r="BZ72" s="69"/>
      <c r="CA72" s="69"/>
      <c r="CB72" s="69"/>
      <c r="CC72" s="69"/>
      <c r="CD72" s="69"/>
      <c r="CE72" s="69"/>
      <c r="CF72" s="69"/>
      <c r="CG72" s="69"/>
      <c r="CH72" s="69"/>
      <c r="CI72" s="69"/>
      <c r="CJ72" s="69"/>
      <c r="CK72" s="69"/>
      <c r="CL72" s="69"/>
      <c r="CM72" s="69"/>
      <c r="CN72" s="69"/>
      <c r="CO72" s="69"/>
      <c r="CP72" s="69"/>
      <c r="CQ72" s="69"/>
      <c r="CR72" s="69"/>
      <c r="CS72" s="69"/>
      <c r="CT72" s="69"/>
      <c r="CU72" s="69"/>
      <c r="CV72" s="69"/>
      <c r="CW72" s="69"/>
      <c r="CX72" s="69"/>
      <c r="CY72" s="69"/>
      <c r="CZ72" s="69"/>
      <c r="DA72" s="69"/>
      <c r="DB72" s="69"/>
      <c r="DC72" s="69"/>
      <c r="DD72" s="69"/>
      <c r="DE72" s="69"/>
      <c r="DF72" s="69"/>
      <c r="DG72" s="69"/>
      <c r="DH72" s="69"/>
      <c r="DI72" s="69"/>
      <c r="DJ72" s="69"/>
      <c r="DK72" s="69"/>
      <c r="DL72" s="69"/>
      <c r="DM72" s="69"/>
      <c r="DN72" s="69"/>
      <c r="DO72" s="69"/>
      <c r="DP72" s="69"/>
      <c r="DQ72" s="69"/>
      <c r="DR72" s="69"/>
      <c r="DS72" s="69"/>
      <c r="DT72" s="69"/>
      <c r="DU72" s="69"/>
      <c r="DV72" s="69"/>
      <c r="DW72" s="69"/>
      <c r="DX72" s="69"/>
      <c r="DY72" s="69"/>
      <c r="DZ72" s="69"/>
      <c r="EA72" s="69"/>
      <c r="EB72" s="69"/>
      <c r="EC72" s="69"/>
      <c r="ED72" s="69"/>
      <c r="EE72" s="69"/>
      <c r="EF72" s="69"/>
      <c r="EG72" s="69"/>
      <c r="EH72" s="69"/>
      <c r="EI72" s="69"/>
      <c r="EJ72" s="69"/>
      <c r="EK72" s="69"/>
      <c r="EL72" s="69"/>
      <c r="EM72" s="69"/>
      <c r="EN72" s="69"/>
      <c r="EO72" s="69"/>
      <c r="EP72" s="69"/>
      <c r="EQ72" s="69"/>
      <c r="ER72" s="69"/>
      <c r="ES72" s="69"/>
      <c r="ET72" s="69"/>
      <c r="EU72" s="69"/>
      <c r="EV72" s="69"/>
      <c r="EW72" s="69"/>
      <c r="EX72" s="69"/>
      <c r="EY72" s="69"/>
      <c r="EZ72" s="69"/>
      <c r="FA72" s="69"/>
      <c r="FB72" s="69"/>
      <c r="FC72" s="69"/>
      <c r="FD72" s="69"/>
      <c r="FE72" s="69"/>
      <c r="FF72" s="69"/>
      <c r="FG72" s="69"/>
      <c r="FH72" s="69"/>
      <c r="FI72" s="69"/>
      <c r="FJ72" s="69"/>
      <c r="FK72" s="69"/>
      <c r="FL72" s="69"/>
      <c r="FM72" s="69"/>
      <c r="FN72" s="69"/>
      <c r="FO72" s="69"/>
      <c r="FP72" s="69"/>
      <c r="FQ72" s="69"/>
      <c r="FR72" s="69"/>
      <c r="FS72" s="69"/>
      <c r="FT72" s="69"/>
      <c r="FU72" s="69"/>
      <c r="FV72" s="69"/>
      <c r="FW72" s="69"/>
      <c r="FX72" s="69"/>
      <c r="FY72" s="69"/>
      <c r="FZ72" s="69"/>
      <c r="GA72" s="69"/>
      <c r="GB72" s="69"/>
      <c r="GC72" s="69"/>
      <c r="GD72" s="69"/>
      <c r="GE72" s="69"/>
      <c r="GF72" s="69"/>
      <c r="GG72" s="165"/>
    </row>
    <row r="73" spans="1:189" s="66" customFormat="1" x14ac:dyDescent="0.2">
      <c r="A73"/>
      <c r="B73" s="82">
        <v>42217</v>
      </c>
      <c r="C73" s="68">
        <v>0</v>
      </c>
      <c r="D73" s="68">
        <v>0</v>
      </c>
      <c r="E73" s="68">
        <v>0</v>
      </c>
      <c r="F73" s="68">
        <v>0</v>
      </c>
      <c r="G73" s="68">
        <v>0</v>
      </c>
      <c r="H73" s="68">
        <v>0</v>
      </c>
      <c r="I73" s="68">
        <v>0</v>
      </c>
      <c r="J73" s="68">
        <v>0</v>
      </c>
      <c r="K73" s="68">
        <v>0</v>
      </c>
      <c r="L73" s="68">
        <v>0</v>
      </c>
      <c r="M73" s="68">
        <v>0</v>
      </c>
      <c r="N73" s="68">
        <v>0</v>
      </c>
      <c r="O73" s="68">
        <v>0</v>
      </c>
      <c r="P73" s="68">
        <v>0</v>
      </c>
      <c r="Q73" s="68">
        <v>0</v>
      </c>
      <c r="R73" s="68">
        <v>0</v>
      </c>
      <c r="S73" s="68">
        <v>0</v>
      </c>
      <c r="T73" s="68">
        <v>0</v>
      </c>
      <c r="U73" s="68">
        <v>0</v>
      </c>
      <c r="V73" s="68">
        <v>0</v>
      </c>
      <c r="W73" s="68">
        <v>0</v>
      </c>
      <c r="X73" s="68">
        <v>0</v>
      </c>
      <c r="Y73" s="68">
        <v>0</v>
      </c>
      <c r="Z73" s="68">
        <v>0</v>
      </c>
      <c r="AA73" s="68">
        <v>0</v>
      </c>
      <c r="AB73" s="68">
        <v>0</v>
      </c>
      <c r="AC73" s="68">
        <v>0</v>
      </c>
      <c r="AD73" s="68">
        <v>0</v>
      </c>
      <c r="AE73" s="68">
        <v>0</v>
      </c>
      <c r="AF73" s="68">
        <v>0</v>
      </c>
      <c r="AG73" s="68">
        <v>0</v>
      </c>
      <c r="AH73" s="68">
        <v>0</v>
      </c>
      <c r="AI73" s="68">
        <v>0</v>
      </c>
      <c r="AJ73" s="68">
        <v>0</v>
      </c>
      <c r="AK73" s="68">
        <v>0</v>
      </c>
      <c r="AL73" s="68">
        <v>0</v>
      </c>
      <c r="AM73" s="68">
        <v>0</v>
      </c>
      <c r="AN73" s="68">
        <v>0</v>
      </c>
      <c r="AO73" s="68">
        <v>0</v>
      </c>
      <c r="AP73" s="68">
        <v>0</v>
      </c>
      <c r="AQ73" s="68">
        <v>0</v>
      </c>
      <c r="AR73" s="68">
        <v>0</v>
      </c>
      <c r="AS73" s="68">
        <v>0</v>
      </c>
      <c r="AT73" s="68">
        <v>0</v>
      </c>
      <c r="AU73" s="68">
        <v>0</v>
      </c>
      <c r="AV73" s="68">
        <v>0</v>
      </c>
      <c r="AW73" s="68">
        <v>0</v>
      </c>
      <c r="AX73" s="68">
        <v>0</v>
      </c>
      <c r="AY73" s="94">
        <v>0</v>
      </c>
      <c r="AZ73" s="68">
        <v>0</v>
      </c>
      <c r="BA73" s="68">
        <v>0</v>
      </c>
      <c r="BB73" s="68">
        <v>0</v>
      </c>
      <c r="BC73" s="68">
        <v>0</v>
      </c>
      <c r="BD73" s="68">
        <v>0</v>
      </c>
      <c r="BE73" s="68">
        <v>0</v>
      </c>
      <c r="BF73" s="68">
        <v>0</v>
      </c>
      <c r="BG73" s="68">
        <v>0</v>
      </c>
      <c r="BH73" s="68">
        <v>0</v>
      </c>
      <c r="BI73" s="68">
        <v>0</v>
      </c>
      <c r="BJ73" s="68">
        <v>0</v>
      </c>
      <c r="BK73" s="67"/>
      <c r="BL73" s="68"/>
      <c r="BM73" s="69"/>
      <c r="BN73" s="69"/>
      <c r="BO73" s="69"/>
      <c r="BP73" s="69"/>
      <c r="BQ73" s="69"/>
      <c r="BR73" s="69"/>
      <c r="BS73" s="69"/>
      <c r="BT73" s="69"/>
      <c r="BU73" s="69"/>
      <c r="BV73" s="69"/>
      <c r="BW73" s="69"/>
      <c r="BX73" s="69"/>
      <c r="BY73" s="69"/>
      <c r="BZ73" s="69"/>
      <c r="CA73" s="69"/>
      <c r="CB73" s="69"/>
      <c r="CC73" s="69"/>
      <c r="CD73" s="69"/>
      <c r="CE73" s="69"/>
      <c r="CF73" s="69"/>
      <c r="CG73" s="69"/>
      <c r="CH73" s="69"/>
      <c r="CI73" s="69"/>
      <c r="CJ73" s="69"/>
      <c r="CK73" s="69"/>
      <c r="CL73" s="69"/>
      <c r="CM73" s="69"/>
      <c r="CN73" s="69"/>
      <c r="CO73" s="69"/>
      <c r="CP73" s="69"/>
      <c r="CQ73" s="69"/>
      <c r="CR73" s="69"/>
      <c r="CS73" s="69"/>
      <c r="CT73" s="69"/>
      <c r="CU73" s="69"/>
      <c r="CV73" s="69"/>
      <c r="CW73" s="69"/>
      <c r="CX73" s="69"/>
      <c r="CY73" s="69"/>
      <c r="CZ73" s="69"/>
      <c r="DA73" s="69"/>
      <c r="DB73" s="69"/>
      <c r="DC73" s="69"/>
      <c r="DD73" s="69"/>
      <c r="DE73" s="69"/>
      <c r="DF73" s="69"/>
      <c r="DG73" s="69"/>
      <c r="DH73" s="69"/>
      <c r="DI73" s="69"/>
      <c r="DJ73" s="69"/>
      <c r="DK73" s="69"/>
      <c r="DL73" s="69"/>
      <c r="DM73" s="69"/>
      <c r="DN73" s="69"/>
      <c r="DO73" s="69"/>
      <c r="DP73" s="69"/>
      <c r="DQ73" s="69"/>
      <c r="DR73" s="69"/>
      <c r="DS73" s="69"/>
      <c r="DT73" s="69"/>
      <c r="DU73" s="69"/>
      <c r="DV73" s="69"/>
      <c r="DW73" s="69"/>
      <c r="DX73" s="69"/>
      <c r="DY73" s="69"/>
      <c r="DZ73" s="69"/>
      <c r="EA73" s="69"/>
      <c r="EB73" s="69"/>
      <c r="EC73" s="69"/>
      <c r="ED73" s="69"/>
      <c r="EE73" s="69"/>
      <c r="EF73" s="69"/>
      <c r="EG73" s="69"/>
      <c r="EH73" s="69"/>
      <c r="EI73" s="69"/>
      <c r="EJ73" s="69"/>
      <c r="EK73" s="69"/>
      <c r="EL73" s="69"/>
      <c r="EM73" s="69"/>
      <c r="EN73" s="69"/>
      <c r="EO73" s="69"/>
      <c r="EP73" s="69"/>
      <c r="EQ73" s="69"/>
      <c r="ER73" s="69"/>
      <c r="ES73" s="69"/>
      <c r="ET73" s="69"/>
      <c r="EU73" s="69"/>
      <c r="EV73" s="69"/>
      <c r="EW73" s="69"/>
      <c r="EX73" s="69"/>
      <c r="EY73" s="69"/>
      <c r="EZ73" s="69"/>
      <c r="FA73" s="69"/>
      <c r="FB73" s="69"/>
      <c r="FC73" s="69"/>
      <c r="FD73" s="69"/>
      <c r="FE73" s="69"/>
      <c r="FF73" s="69"/>
      <c r="FG73" s="69"/>
      <c r="FH73" s="69"/>
      <c r="FI73" s="69"/>
      <c r="FJ73" s="69"/>
      <c r="FK73" s="69"/>
      <c r="FL73" s="69"/>
      <c r="FM73" s="69"/>
      <c r="FN73" s="69"/>
      <c r="FO73" s="69"/>
      <c r="FP73" s="69"/>
      <c r="FQ73" s="69"/>
      <c r="FR73" s="69"/>
      <c r="FS73" s="69"/>
      <c r="FT73" s="69"/>
      <c r="FU73" s="69"/>
      <c r="FV73" s="69"/>
      <c r="FW73" s="69"/>
      <c r="FX73" s="69"/>
      <c r="FY73" s="69"/>
      <c r="FZ73" s="69"/>
      <c r="GA73" s="69"/>
      <c r="GB73" s="69"/>
      <c r="GC73" s="69"/>
      <c r="GD73" s="69"/>
      <c r="GE73" s="69"/>
      <c r="GF73" s="69"/>
      <c r="GG73" s="165"/>
    </row>
    <row r="74" spans="1:189" s="66" customFormat="1" x14ac:dyDescent="0.2">
      <c r="A74"/>
      <c r="B74" s="82">
        <v>42248</v>
      </c>
      <c r="C74" s="68">
        <v>0</v>
      </c>
      <c r="D74" s="68">
        <v>0</v>
      </c>
      <c r="E74" s="68">
        <v>0</v>
      </c>
      <c r="F74" s="68">
        <v>0</v>
      </c>
      <c r="G74" s="68">
        <v>0</v>
      </c>
      <c r="H74" s="68">
        <v>0</v>
      </c>
      <c r="I74" s="68">
        <v>0</v>
      </c>
      <c r="J74" s="68">
        <v>0</v>
      </c>
      <c r="K74" s="68">
        <v>0</v>
      </c>
      <c r="L74" s="68">
        <v>0</v>
      </c>
      <c r="M74" s="68">
        <v>0</v>
      </c>
      <c r="N74" s="68">
        <v>0</v>
      </c>
      <c r="O74" s="68">
        <v>0</v>
      </c>
      <c r="P74" s="68">
        <v>0</v>
      </c>
      <c r="Q74" s="68">
        <v>0</v>
      </c>
      <c r="R74" s="68">
        <v>0</v>
      </c>
      <c r="S74" s="68">
        <v>0</v>
      </c>
      <c r="T74" s="68">
        <v>0</v>
      </c>
      <c r="U74" s="68">
        <v>0</v>
      </c>
      <c r="V74" s="68">
        <v>0</v>
      </c>
      <c r="W74" s="68">
        <v>0</v>
      </c>
      <c r="X74" s="68">
        <v>0</v>
      </c>
      <c r="Y74" s="68">
        <v>0</v>
      </c>
      <c r="Z74" s="68">
        <v>0</v>
      </c>
      <c r="AA74" s="68">
        <v>0</v>
      </c>
      <c r="AB74" s="68">
        <v>0</v>
      </c>
      <c r="AC74" s="68">
        <v>0</v>
      </c>
      <c r="AD74" s="68">
        <v>0</v>
      </c>
      <c r="AE74" s="68">
        <v>0</v>
      </c>
      <c r="AF74" s="68">
        <v>0</v>
      </c>
      <c r="AG74" s="68">
        <v>0</v>
      </c>
      <c r="AH74" s="68">
        <v>0</v>
      </c>
      <c r="AI74" s="68">
        <v>0</v>
      </c>
      <c r="AJ74" s="68">
        <v>0</v>
      </c>
      <c r="AK74" s="68">
        <v>0</v>
      </c>
      <c r="AL74" s="68">
        <v>0</v>
      </c>
      <c r="AM74" s="68">
        <v>0</v>
      </c>
      <c r="AN74" s="68">
        <v>0</v>
      </c>
      <c r="AO74" s="68">
        <v>0</v>
      </c>
      <c r="AP74" s="68">
        <v>0</v>
      </c>
      <c r="AQ74" s="68">
        <v>0</v>
      </c>
      <c r="AR74" s="68">
        <v>0</v>
      </c>
      <c r="AS74" s="68">
        <v>0</v>
      </c>
      <c r="AT74" s="68">
        <v>0</v>
      </c>
      <c r="AU74" s="68">
        <v>0</v>
      </c>
      <c r="AV74" s="68">
        <v>0</v>
      </c>
      <c r="AW74" s="68">
        <v>0</v>
      </c>
      <c r="AX74" s="68">
        <v>0</v>
      </c>
      <c r="AY74" s="68">
        <v>0</v>
      </c>
      <c r="AZ74" s="94">
        <v>0</v>
      </c>
      <c r="BA74" s="68">
        <v>0</v>
      </c>
      <c r="BB74" s="68">
        <v>0</v>
      </c>
      <c r="BC74" s="68">
        <v>0</v>
      </c>
      <c r="BD74" s="68">
        <v>0</v>
      </c>
      <c r="BE74" s="68">
        <v>0</v>
      </c>
      <c r="BF74" s="68">
        <v>0</v>
      </c>
      <c r="BG74" s="68">
        <v>0</v>
      </c>
      <c r="BH74" s="68">
        <v>0</v>
      </c>
      <c r="BI74" s="68">
        <v>0</v>
      </c>
      <c r="BJ74" s="68">
        <v>0</v>
      </c>
      <c r="BK74" s="68">
        <v>0</v>
      </c>
      <c r="BL74" s="67"/>
      <c r="BM74" s="68"/>
      <c r="BN74" s="69"/>
      <c r="BO74" s="69"/>
      <c r="BP74" s="69"/>
      <c r="BQ74" s="69"/>
      <c r="BR74" s="69"/>
      <c r="BS74" s="69"/>
      <c r="BT74" s="69"/>
      <c r="BU74" s="69"/>
      <c r="BV74" s="69"/>
      <c r="BW74" s="69"/>
      <c r="BX74" s="69"/>
      <c r="BY74" s="69"/>
      <c r="BZ74" s="69"/>
      <c r="CA74" s="69"/>
      <c r="CB74" s="69"/>
      <c r="CC74" s="69"/>
      <c r="CD74" s="69"/>
      <c r="CE74" s="69"/>
      <c r="CF74" s="69"/>
      <c r="CG74" s="69"/>
      <c r="CH74" s="69"/>
      <c r="CI74" s="69"/>
      <c r="CJ74" s="69"/>
      <c r="CK74" s="69"/>
      <c r="CL74" s="69"/>
      <c r="CM74" s="69"/>
      <c r="CN74" s="69"/>
      <c r="CO74" s="69"/>
      <c r="CP74" s="69"/>
      <c r="CQ74" s="69"/>
      <c r="CR74" s="69"/>
      <c r="CS74" s="69"/>
      <c r="CT74" s="69"/>
      <c r="CU74" s="69"/>
      <c r="CV74" s="69"/>
      <c r="CW74" s="69"/>
      <c r="CX74" s="69"/>
      <c r="CY74" s="69"/>
      <c r="CZ74" s="69"/>
      <c r="DA74" s="69"/>
      <c r="DB74" s="69"/>
      <c r="DC74" s="69"/>
      <c r="DD74" s="69"/>
      <c r="DE74" s="69"/>
      <c r="DF74" s="69"/>
      <c r="DG74" s="69"/>
      <c r="DH74" s="69"/>
      <c r="DI74" s="69"/>
      <c r="DJ74" s="69"/>
      <c r="DK74" s="69"/>
      <c r="DL74" s="69"/>
      <c r="DM74" s="69"/>
      <c r="DN74" s="69"/>
      <c r="DO74" s="69"/>
      <c r="DP74" s="69"/>
      <c r="DQ74" s="69"/>
      <c r="DR74" s="69"/>
      <c r="DS74" s="69"/>
      <c r="DT74" s="69"/>
      <c r="DU74" s="69"/>
      <c r="DV74" s="69"/>
      <c r="DW74" s="69"/>
      <c r="DX74" s="69"/>
      <c r="DY74" s="69"/>
      <c r="DZ74" s="69"/>
      <c r="EA74" s="69"/>
      <c r="EB74" s="69"/>
      <c r="EC74" s="69"/>
      <c r="ED74" s="69"/>
      <c r="EE74" s="69"/>
      <c r="EF74" s="69"/>
      <c r="EG74" s="69"/>
      <c r="EH74" s="69"/>
      <c r="EI74" s="69"/>
      <c r="EJ74" s="69"/>
      <c r="EK74" s="69"/>
      <c r="EL74" s="69"/>
      <c r="EM74" s="69"/>
      <c r="EN74" s="69"/>
      <c r="EO74" s="69"/>
      <c r="EP74" s="69"/>
      <c r="EQ74" s="69"/>
      <c r="ER74" s="69"/>
      <c r="ES74" s="69"/>
      <c r="ET74" s="69"/>
      <c r="EU74" s="69"/>
      <c r="EV74" s="69"/>
      <c r="EW74" s="69"/>
      <c r="EX74" s="69"/>
      <c r="EY74" s="69"/>
      <c r="EZ74" s="69"/>
      <c r="FA74" s="69"/>
      <c r="FB74" s="69"/>
      <c r="FC74" s="69"/>
      <c r="FD74" s="69"/>
      <c r="FE74" s="69"/>
      <c r="FF74" s="69"/>
      <c r="FG74" s="69"/>
      <c r="FH74" s="69"/>
      <c r="FI74" s="69"/>
      <c r="FJ74" s="69"/>
      <c r="FK74" s="69"/>
      <c r="FL74" s="69"/>
      <c r="FM74" s="69"/>
      <c r="FN74" s="69"/>
      <c r="FO74" s="69"/>
      <c r="FP74" s="69"/>
      <c r="FQ74" s="69"/>
      <c r="FR74" s="69"/>
      <c r="FS74" s="69"/>
      <c r="FT74" s="69"/>
      <c r="FU74" s="69"/>
      <c r="FV74" s="69"/>
      <c r="FW74" s="69"/>
      <c r="FX74" s="69"/>
      <c r="FY74" s="69"/>
      <c r="FZ74" s="69"/>
      <c r="GA74" s="69"/>
      <c r="GB74" s="69"/>
      <c r="GC74" s="69"/>
      <c r="GD74" s="69"/>
      <c r="GE74" s="69"/>
      <c r="GF74" s="69"/>
      <c r="GG74" s="165"/>
    </row>
    <row r="75" spans="1:189" s="66" customFormat="1" x14ac:dyDescent="0.2">
      <c r="A75"/>
      <c r="B75" s="82">
        <v>42278</v>
      </c>
      <c r="C75" s="68">
        <v>0</v>
      </c>
      <c r="D75" s="68">
        <v>0</v>
      </c>
      <c r="E75" s="68">
        <v>0</v>
      </c>
      <c r="F75" s="68">
        <v>0</v>
      </c>
      <c r="G75" s="68">
        <v>0</v>
      </c>
      <c r="H75" s="68">
        <v>0</v>
      </c>
      <c r="I75" s="68">
        <v>0</v>
      </c>
      <c r="J75" s="68">
        <v>0</v>
      </c>
      <c r="K75" s="68">
        <v>0</v>
      </c>
      <c r="L75" s="68">
        <v>0</v>
      </c>
      <c r="M75" s="68">
        <v>0</v>
      </c>
      <c r="N75" s="68">
        <v>0</v>
      </c>
      <c r="O75" s="68">
        <v>0</v>
      </c>
      <c r="P75" s="68">
        <v>0</v>
      </c>
      <c r="Q75" s="68">
        <v>0</v>
      </c>
      <c r="R75" s="68">
        <v>0</v>
      </c>
      <c r="S75" s="68">
        <v>0</v>
      </c>
      <c r="T75" s="68">
        <v>0</v>
      </c>
      <c r="U75" s="68">
        <v>0</v>
      </c>
      <c r="V75" s="68">
        <v>0</v>
      </c>
      <c r="W75" s="68">
        <v>0</v>
      </c>
      <c r="X75" s="68">
        <v>0</v>
      </c>
      <c r="Y75" s="68">
        <v>0</v>
      </c>
      <c r="Z75" s="68">
        <v>0</v>
      </c>
      <c r="AA75" s="68">
        <v>0</v>
      </c>
      <c r="AB75" s="68">
        <v>0</v>
      </c>
      <c r="AC75" s="68">
        <v>0</v>
      </c>
      <c r="AD75" s="68">
        <v>0</v>
      </c>
      <c r="AE75" s="68">
        <v>0</v>
      </c>
      <c r="AF75" s="68">
        <v>0</v>
      </c>
      <c r="AG75" s="68">
        <v>0</v>
      </c>
      <c r="AH75" s="68">
        <v>0</v>
      </c>
      <c r="AI75" s="68">
        <v>0</v>
      </c>
      <c r="AJ75" s="68">
        <v>0</v>
      </c>
      <c r="AK75" s="68">
        <v>0</v>
      </c>
      <c r="AL75" s="68">
        <v>0</v>
      </c>
      <c r="AM75" s="68">
        <v>0</v>
      </c>
      <c r="AN75" s="68">
        <v>0</v>
      </c>
      <c r="AO75" s="68">
        <v>0</v>
      </c>
      <c r="AP75" s="68">
        <v>0</v>
      </c>
      <c r="AQ75" s="68">
        <v>0</v>
      </c>
      <c r="AR75" s="68">
        <v>0</v>
      </c>
      <c r="AS75" s="68">
        <v>0</v>
      </c>
      <c r="AT75" s="68">
        <v>0</v>
      </c>
      <c r="AU75" s="68">
        <v>0</v>
      </c>
      <c r="AV75" s="68">
        <v>0</v>
      </c>
      <c r="AW75" s="68">
        <v>0</v>
      </c>
      <c r="AX75" s="68">
        <v>0</v>
      </c>
      <c r="AY75" s="68">
        <v>0</v>
      </c>
      <c r="AZ75" s="68">
        <v>0</v>
      </c>
      <c r="BA75" s="94">
        <v>0</v>
      </c>
      <c r="BB75" s="68">
        <v>0</v>
      </c>
      <c r="BC75" s="68">
        <v>0</v>
      </c>
      <c r="BD75" s="68">
        <v>0</v>
      </c>
      <c r="BE75" s="68">
        <v>0</v>
      </c>
      <c r="BF75" s="68">
        <v>0</v>
      </c>
      <c r="BG75" s="68">
        <v>0</v>
      </c>
      <c r="BH75" s="68">
        <v>0</v>
      </c>
      <c r="BI75" s="68">
        <v>0</v>
      </c>
      <c r="BJ75" s="68">
        <v>0</v>
      </c>
      <c r="BK75" s="68">
        <v>0</v>
      </c>
      <c r="BL75" s="68">
        <v>0</v>
      </c>
      <c r="BM75" s="67"/>
      <c r="BN75" s="68"/>
      <c r="BO75" s="69"/>
      <c r="BP75" s="69"/>
      <c r="BQ75" s="69"/>
      <c r="BR75" s="69"/>
      <c r="BS75" s="69"/>
      <c r="BT75" s="69"/>
      <c r="BU75" s="69"/>
      <c r="BV75" s="69"/>
      <c r="BW75" s="69"/>
      <c r="BX75" s="69"/>
      <c r="BY75" s="69"/>
      <c r="BZ75" s="69"/>
      <c r="CA75" s="69"/>
      <c r="CB75" s="69"/>
      <c r="CC75" s="69"/>
      <c r="CD75" s="69"/>
      <c r="CE75" s="69"/>
      <c r="CF75" s="69"/>
      <c r="CG75" s="69"/>
      <c r="CH75" s="69"/>
      <c r="CI75" s="69"/>
      <c r="CJ75" s="69"/>
      <c r="CK75" s="69"/>
      <c r="CL75" s="69"/>
      <c r="CM75" s="69"/>
      <c r="CN75" s="69"/>
      <c r="CO75" s="69"/>
      <c r="CP75" s="69"/>
      <c r="CQ75" s="69"/>
      <c r="CR75" s="69"/>
      <c r="CS75" s="69"/>
      <c r="CT75" s="69"/>
      <c r="CU75" s="69"/>
      <c r="CV75" s="69"/>
      <c r="CW75" s="69"/>
      <c r="CX75" s="69"/>
      <c r="CY75" s="69"/>
      <c r="CZ75" s="69"/>
      <c r="DA75" s="69"/>
      <c r="DB75" s="69"/>
      <c r="DC75" s="69"/>
      <c r="DD75" s="69"/>
      <c r="DE75" s="69"/>
      <c r="DF75" s="69"/>
      <c r="DG75" s="69"/>
      <c r="DH75" s="69"/>
      <c r="DI75" s="69"/>
      <c r="DJ75" s="69"/>
      <c r="DK75" s="69"/>
      <c r="DL75" s="69"/>
      <c r="DM75" s="69"/>
      <c r="DN75" s="69"/>
      <c r="DO75" s="69"/>
      <c r="DP75" s="69"/>
      <c r="DQ75" s="69"/>
      <c r="DR75" s="69"/>
      <c r="DS75" s="69"/>
      <c r="DT75" s="69"/>
      <c r="DU75" s="69"/>
      <c r="DV75" s="69"/>
      <c r="DW75" s="69"/>
      <c r="DX75" s="69"/>
      <c r="DY75" s="69"/>
      <c r="DZ75" s="69"/>
      <c r="EA75" s="69"/>
      <c r="EB75" s="69"/>
      <c r="EC75" s="69"/>
      <c r="ED75" s="69"/>
      <c r="EE75" s="69"/>
      <c r="EF75" s="69"/>
      <c r="EG75" s="69"/>
      <c r="EH75" s="69"/>
      <c r="EI75" s="69"/>
      <c r="EJ75" s="69"/>
      <c r="EK75" s="69"/>
      <c r="EL75" s="69"/>
      <c r="EM75" s="69"/>
      <c r="EN75" s="69"/>
      <c r="EO75" s="69"/>
      <c r="EP75" s="69"/>
      <c r="EQ75" s="69"/>
      <c r="ER75" s="69"/>
      <c r="ES75" s="69"/>
      <c r="ET75" s="69"/>
      <c r="EU75" s="69"/>
      <c r="EV75" s="69"/>
      <c r="EW75" s="69"/>
      <c r="EX75" s="69"/>
      <c r="EY75" s="69"/>
      <c r="EZ75" s="69"/>
      <c r="FA75" s="69"/>
      <c r="FB75" s="69"/>
      <c r="FC75" s="69"/>
      <c r="FD75" s="69"/>
      <c r="FE75" s="69"/>
      <c r="FF75" s="69"/>
      <c r="FG75" s="69"/>
      <c r="FH75" s="69"/>
      <c r="FI75" s="69"/>
      <c r="FJ75" s="69"/>
      <c r="FK75" s="69"/>
      <c r="FL75" s="69"/>
      <c r="FM75" s="69"/>
      <c r="FN75" s="69"/>
      <c r="FO75" s="69"/>
      <c r="FP75" s="69"/>
      <c r="FQ75" s="69"/>
      <c r="FR75" s="69"/>
      <c r="FS75" s="69"/>
      <c r="FT75" s="69"/>
      <c r="FU75" s="69"/>
      <c r="FV75" s="69"/>
      <c r="FW75" s="69"/>
      <c r="FX75" s="69"/>
      <c r="FY75" s="69"/>
      <c r="FZ75" s="69"/>
      <c r="GA75" s="69"/>
      <c r="GB75" s="69"/>
      <c r="GC75" s="69"/>
      <c r="GD75" s="69"/>
      <c r="GE75" s="69"/>
      <c r="GF75" s="69"/>
      <c r="GG75" s="165"/>
    </row>
    <row r="76" spans="1:189" s="66" customFormat="1" x14ac:dyDescent="0.2">
      <c r="A76"/>
      <c r="B76" s="82">
        <v>42309</v>
      </c>
      <c r="C76" s="68">
        <v>0</v>
      </c>
      <c r="D76" s="68">
        <v>0</v>
      </c>
      <c r="E76" s="68">
        <v>0</v>
      </c>
      <c r="F76" s="68">
        <v>0</v>
      </c>
      <c r="G76" s="68">
        <v>0</v>
      </c>
      <c r="H76" s="68">
        <v>0</v>
      </c>
      <c r="I76" s="68">
        <v>0</v>
      </c>
      <c r="J76" s="68">
        <v>0</v>
      </c>
      <c r="K76" s="68">
        <v>0</v>
      </c>
      <c r="L76" s="68">
        <v>0</v>
      </c>
      <c r="M76" s="68">
        <v>0</v>
      </c>
      <c r="N76" s="68">
        <v>0</v>
      </c>
      <c r="O76" s="68">
        <v>0</v>
      </c>
      <c r="P76" s="68">
        <v>0</v>
      </c>
      <c r="Q76" s="68">
        <v>0</v>
      </c>
      <c r="R76" s="68">
        <v>0</v>
      </c>
      <c r="S76" s="68">
        <v>0</v>
      </c>
      <c r="T76" s="68">
        <v>0</v>
      </c>
      <c r="U76" s="68">
        <v>0</v>
      </c>
      <c r="V76" s="68">
        <v>0</v>
      </c>
      <c r="W76" s="68">
        <v>0</v>
      </c>
      <c r="X76" s="68">
        <v>0</v>
      </c>
      <c r="Y76" s="68">
        <v>0</v>
      </c>
      <c r="Z76" s="68">
        <v>0</v>
      </c>
      <c r="AA76" s="68">
        <v>0</v>
      </c>
      <c r="AB76" s="68">
        <v>0</v>
      </c>
      <c r="AC76" s="68">
        <v>0</v>
      </c>
      <c r="AD76" s="68">
        <v>0</v>
      </c>
      <c r="AE76" s="68">
        <v>0</v>
      </c>
      <c r="AF76" s="68">
        <v>0</v>
      </c>
      <c r="AG76" s="68">
        <v>0</v>
      </c>
      <c r="AH76" s="68">
        <v>0</v>
      </c>
      <c r="AI76" s="68">
        <v>0</v>
      </c>
      <c r="AJ76" s="68">
        <v>0</v>
      </c>
      <c r="AK76" s="68">
        <v>0</v>
      </c>
      <c r="AL76" s="68">
        <v>0</v>
      </c>
      <c r="AM76" s="68">
        <v>0</v>
      </c>
      <c r="AN76" s="68">
        <v>0</v>
      </c>
      <c r="AO76" s="68">
        <v>0</v>
      </c>
      <c r="AP76" s="68">
        <v>0</v>
      </c>
      <c r="AQ76" s="68">
        <v>0</v>
      </c>
      <c r="AR76" s="68">
        <v>0</v>
      </c>
      <c r="AS76" s="68">
        <v>0</v>
      </c>
      <c r="AT76" s="68">
        <v>0</v>
      </c>
      <c r="AU76" s="68">
        <v>0</v>
      </c>
      <c r="AV76" s="68">
        <v>0</v>
      </c>
      <c r="AW76" s="68">
        <v>0</v>
      </c>
      <c r="AX76" s="68">
        <v>0</v>
      </c>
      <c r="AY76" s="68">
        <v>0</v>
      </c>
      <c r="AZ76" s="68">
        <v>0</v>
      </c>
      <c r="BA76" s="68">
        <v>0</v>
      </c>
      <c r="BB76" s="94">
        <v>0</v>
      </c>
      <c r="BC76" s="68">
        <v>0</v>
      </c>
      <c r="BD76" s="68">
        <v>0</v>
      </c>
      <c r="BE76" s="68">
        <v>0</v>
      </c>
      <c r="BF76" s="68">
        <v>0</v>
      </c>
      <c r="BG76" s="68">
        <v>0</v>
      </c>
      <c r="BH76" s="68">
        <v>0</v>
      </c>
      <c r="BI76" s="68">
        <v>0</v>
      </c>
      <c r="BJ76" s="68">
        <v>0</v>
      </c>
      <c r="BK76" s="68">
        <v>0</v>
      </c>
      <c r="BL76" s="68">
        <v>0</v>
      </c>
      <c r="BM76" s="68">
        <v>0</v>
      </c>
      <c r="BN76" s="67"/>
      <c r="BO76" s="68"/>
      <c r="BP76" s="69"/>
      <c r="BQ76" s="69"/>
      <c r="BR76" s="69"/>
      <c r="BS76" s="69"/>
      <c r="BT76" s="69"/>
      <c r="BU76" s="69"/>
      <c r="BV76" s="69"/>
      <c r="BW76" s="69"/>
      <c r="BX76" s="69"/>
      <c r="BY76" s="69"/>
      <c r="BZ76" s="69"/>
      <c r="CA76" s="69"/>
      <c r="CB76" s="69"/>
      <c r="CC76" s="69"/>
      <c r="CD76" s="69"/>
      <c r="CE76" s="69"/>
      <c r="CF76" s="69"/>
      <c r="CG76" s="69"/>
      <c r="CH76" s="69"/>
      <c r="CI76" s="69"/>
      <c r="CJ76" s="69"/>
      <c r="CK76" s="69"/>
      <c r="CL76" s="69"/>
      <c r="CM76" s="69"/>
      <c r="CN76" s="69"/>
      <c r="CO76" s="69"/>
      <c r="CP76" s="69"/>
      <c r="CQ76" s="69"/>
      <c r="CR76" s="69"/>
      <c r="CS76" s="69"/>
      <c r="CT76" s="69"/>
      <c r="CU76" s="69"/>
      <c r="CV76" s="69"/>
      <c r="CW76" s="69"/>
      <c r="CX76" s="69"/>
      <c r="CY76" s="69"/>
      <c r="CZ76" s="69"/>
      <c r="DA76" s="69"/>
      <c r="DB76" s="69"/>
      <c r="DC76" s="69"/>
      <c r="DD76" s="69"/>
      <c r="DE76" s="69"/>
      <c r="DF76" s="69"/>
      <c r="DG76" s="69"/>
      <c r="DH76" s="69"/>
      <c r="DI76" s="69"/>
      <c r="DJ76" s="69"/>
      <c r="DK76" s="69"/>
      <c r="DL76" s="69"/>
      <c r="DM76" s="69"/>
      <c r="DN76" s="69"/>
      <c r="DO76" s="69"/>
      <c r="DP76" s="69"/>
      <c r="DQ76" s="69"/>
      <c r="DR76" s="69"/>
      <c r="DS76" s="69"/>
      <c r="DT76" s="69"/>
      <c r="DU76" s="69"/>
      <c r="DV76" s="69"/>
      <c r="DW76" s="69"/>
      <c r="DX76" s="69"/>
      <c r="DY76" s="69"/>
      <c r="DZ76" s="69"/>
      <c r="EA76" s="69"/>
      <c r="EB76" s="69"/>
      <c r="EC76" s="69"/>
      <c r="ED76" s="69"/>
      <c r="EE76" s="69"/>
      <c r="EF76" s="69"/>
      <c r="EG76" s="69"/>
      <c r="EH76" s="69"/>
      <c r="EI76" s="69"/>
      <c r="EJ76" s="69"/>
      <c r="EK76" s="69"/>
      <c r="EL76" s="69"/>
      <c r="EM76" s="69"/>
      <c r="EN76" s="69"/>
      <c r="EO76" s="69"/>
      <c r="EP76" s="69"/>
      <c r="EQ76" s="69"/>
      <c r="ER76" s="69"/>
      <c r="ES76" s="69"/>
      <c r="ET76" s="69"/>
      <c r="EU76" s="69"/>
      <c r="EV76" s="69"/>
      <c r="EW76" s="69"/>
      <c r="EX76" s="69"/>
      <c r="EY76" s="69"/>
      <c r="EZ76" s="69"/>
      <c r="FA76" s="69"/>
      <c r="FB76" s="69"/>
      <c r="FC76" s="69"/>
      <c r="FD76" s="69"/>
      <c r="FE76" s="69"/>
      <c r="FF76" s="69"/>
      <c r="FG76" s="69"/>
      <c r="FH76" s="69"/>
      <c r="FI76" s="69"/>
      <c r="FJ76" s="69"/>
      <c r="FK76" s="69"/>
      <c r="FL76" s="69"/>
      <c r="FM76" s="69"/>
      <c r="FN76" s="69"/>
      <c r="FO76" s="69"/>
      <c r="FP76" s="69"/>
      <c r="FQ76" s="69"/>
      <c r="FR76" s="69"/>
      <c r="FS76" s="69"/>
      <c r="FT76" s="69"/>
      <c r="FU76" s="69"/>
      <c r="FV76" s="69"/>
      <c r="FW76" s="69"/>
      <c r="FX76" s="69"/>
      <c r="FY76" s="69"/>
      <c r="FZ76" s="69"/>
      <c r="GA76" s="69"/>
      <c r="GB76" s="69"/>
      <c r="GC76" s="69"/>
      <c r="GD76" s="69"/>
      <c r="GE76" s="69"/>
      <c r="GF76" s="69"/>
      <c r="GG76" s="165"/>
    </row>
    <row r="77" spans="1:189" s="66" customFormat="1" x14ac:dyDescent="0.2">
      <c r="A77"/>
      <c r="B77" s="82">
        <v>42339</v>
      </c>
      <c r="C77" s="68">
        <v>0</v>
      </c>
      <c r="D77" s="68">
        <v>0</v>
      </c>
      <c r="E77" s="68">
        <v>0</v>
      </c>
      <c r="F77" s="68">
        <v>0</v>
      </c>
      <c r="G77" s="68">
        <v>0</v>
      </c>
      <c r="H77" s="68">
        <v>0</v>
      </c>
      <c r="I77" s="68">
        <v>0</v>
      </c>
      <c r="J77" s="68">
        <v>0</v>
      </c>
      <c r="K77" s="68">
        <v>0</v>
      </c>
      <c r="L77" s="68">
        <v>0</v>
      </c>
      <c r="M77" s="68">
        <v>0</v>
      </c>
      <c r="N77" s="68">
        <v>0</v>
      </c>
      <c r="O77" s="68">
        <v>0</v>
      </c>
      <c r="P77" s="68">
        <v>0</v>
      </c>
      <c r="Q77" s="68">
        <v>0</v>
      </c>
      <c r="R77" s="68">
        <v>0</v>
      </c>
      <c r="S77" s="68">
        <v>0</v>
      </c>
      <c r="T77" s="68">
        <v>0</v>
      </c>
      <c r="U77" s="68">
        <v>0</v>
      </c>
      <c r="V77" s="68">
        <v>0</v>
      </c>
      <c r="W77" s="68">
        <v>0</v>
      </c>
      <c r="X77" s="68">
        <v>0</v>
      </c>
      <c r="Y77" s="68">
        <v>0</v>
      </c>
      <c r="Z77" s="68">
        <v>0</v>
      </c>
      <c r="AA77" s="68">
        <v>0</v>
      </c>
      <c r="AB77" s="68">
        <v>0</v>
      </c>
      <c r="AC77" s="68">
        <v>0</v>
      </c>
      <c r="AD77" s="68">
        <v>0</v>
      </c>
      <c r="AE77" s="68">
        <v>0</v>
      </c>
      <c r="AF77" s="68">
        <v>0</v>
      </c>
      <c r="AG77" s="68">
        <v>0</v>
      </c>
      <c r="AH77" s="68">
        <v>0</v>
      </c>
      <c r="AI77" s="68">
        <v>0</v>
      </c>
      <c r="AJ77" s="68">
        <v>0</v>
      </c>
      <c r="AK77" s="68">
        <v>0</v>
      </c>
      <c r="AL77" s="68">
        <v>0</v>
      </c>
      <c r="AM77" s="68">
        <v>0</v>
      </c>
      <c r="AN77" s="68">
        <v>0</v>
      </c>
      <c r="AO77" s="68">
        <v>0</v>
      </c>
      <c r="AP77" s="68">
        <v>0</v>
      </c>
      <c r="AQ77" s="68">
        <v>0</v>
      </c>
      <c r="AR77" s="68">
        <v>0</v>
      </c>
      <c r="AS77" s="68">
        <v>0</v>
      </c>
      <c r="AT77" s="68">
        <v>0</v>
      </c>
      <c r="AU77" s="68">
        <v>0</v>
      </c>
      <c r="AV77" s="68">
        <v>0</v>
      </c>
      <c r="AW77" s="68">
        <v>0</v>
      </c>
      <c r="AX77" s="68">
        <v>0</v>
      </c>
      <c r="AY77" s="68">
        <v>0</v>
      </c>
      <c r="AZ77" s="68">
        <v>0</v>
      </c>
      <c r="BA77" s="68">
        <v>0</v>
      </c>
      <c r="BB77" s="68">
        <v>0</v>
      </c>
      <c r="BC77" s="94">
        <v>0</v>
      </c>
      <c r="BD77" s="68">
        <v>0</v>
      </c>
      <c r="BE77" s="68">
        <v>0</v>
      </c>
      <c r="BF77" s="68">
        <v>0</v>
      </c>
      <c r="BG77" s="68">
        <v>0</v>
      </c>
      <c r="BH77" s="68">
        <v>0</v>
      </c>
      <c r="BI77" s="68">
        <v>0</v>
      </c>
      <c r="BJ77" s="68">
        <v>0</v>
      </c>
      <c r="BK77" s="68">
        <v>0</v>
      </c>
      <c r="BL77" s="68">
        <v>0</v>
      </c>
      <c r="BM77" s="68">
        <v>0</v>
      </c>
      <c r="BN77" s="68">
        <v>0</v>
      </c>
      <c r="BO77" s="67"/>
      <c r="BP77" s="68"/>
      <c r="BQ77" s="69"/>
      <c r="BR77" s="69"/>
      <c r="BS77" s="69"/>
      <c r="BT77" s="69"/>
      <c r="BU77" s="69"/>
      <c r="BV77" s="69"/>
      <c r="BW77" s="69"/>
      <c r="BX77" s="69"/>
      <c r="BY77" s="69"/>
      <c r="BZ77" s="69"/>
      <c r="CA77" s="69"/>
      <c r="CB77" s="69"/>
      <c r="CC77" s="69"/>
      <c r="CD77" s="69"/>
      <c r="CE77" s="69"/>
      <c r="CF77" s="69"/>
      <c r="CG77" s="69"/>
      <c r="CH77" s="69"/>
      <c r="CI77" s="69"/>
      <c r="CJ77" s="69"/>
      <c r="CK77" s="69"/>
      <c r="CL77" s="69"/>
      <c r="CM77" s="69"/>
      <c r="CN77" s="69"/>
      <c r="CO77" s="69"/>
      <c r="CP77" s="69"/>
      <c r="CQ77" s="69"/>
      <c r="CR77" s="69"/>
      <c r="CS77" s="69"/>
      <c r="CT77" s="69"/>
      <c r="CU77" s="69"/>
      <c r="CV77" s="69"/>
      <c r="CW77" s="69"/>
      <c r="CX77" s="69"/>
      <c r="CY77" s="69"/>
      <c r="CZ77" s="69"/>
      <c r="DA77" s="69"/>
      <c r="DB77" s="69"/>
      <c r="DC77" s="69"/>
      <c r="DD77" s="69"/>
      <c r="DE77" s="69"/>
      <c r="DF77" s="69"/>
      <c r="DG77" s="69"/>
      <c r="DH77" s="69"/>
      <c r="DI77" s="69"/>
      <c r="DJ77" s="69"/>
      <c r="DK77" s="69"/>
      <c r="DL77" s="69"/>
      <c r="DM77" s="69"/>
      <c r="DN77" s="69"/>
      <c r="DO77" s="69"/>
      <c r="DP77" s="69"/>
      <c r="DQ77" s="69"/>
      <c r="DR77" s="69"/>
      <c r="DS77" s="69"/>
      <c r="DT77" s="69"/>
      <c r="DU77" s="69"/>
      <c r="DV77" s="69"/>
      <c r="DW77" s="69"/>
      <c r="DX77" s="69"/>
      <c r="DY77" s="69"/>
      <c r="DZ77" s="69"/>
      <c r="EA77" s="69"/>
      <c r="EB77" s="69"/>
      <c r="EC77" s="69"/>
      <c r="ED77" s="69"/>
      <c r="EE77" s="69"/>
      <c r="EF77" s="69"/>
      <c r="EG77" s="69"/>
      <c r="EH77" s="69"/>
      <c r="EI77" s="69"/>
      <c r="EJ77" s="69"/>
      <c r="EK77" s="69"/>
      <c r="EL77" s="69"/>
      <c r="EM77" s="69"/>
      <c r="EN77" s="69"/>
      <c r="EO77" s="69"/>
      <c r="EP77" s="69"/>
      <c r="EQ77" s="69"/>
      <c r="ER77" s="69"/>
      <c r="ES77" s="69"/>
      <c r="ET77" s="69"/>
      <c r="EU77" s="69"/>
      <c r="EV77" s="69"/>
      <c r="EW77" s="69"/>
      <c r="EX77" s="69"/>
      <c r="EY77" s="69"/>
      <c r="EZ77" s="69"/>
      <c r="FA77" s="69"/>
      <c r="FB77" s="69"/>
      <c r="FC77" s="69"/>
      <c r="FD77" s="69"/>
      <c r="FE77" s="69"/>
      <c r="FF77" s="69"/>
      <c r="FG77" s="69"/>
      <c r="FH77" s="69"/>
      <c r="FI77" s="69"/>
      <c r="FJ77" s="69"/>
      <c r="FK77" s="69"/>
      <c r="FL77" s="69"/>
      <c r="FM77" s="69"/>
      <c r="FN77" s="69"/>
      <c r="FO77" s="69"/>
      <c r="FP77" s="69"/>
      <c r="FQ77" s="69"/>
      <c r="FR77" s="69"/>
      <c r="FS77" s="69"/>
      <c r="FT77" s="69"/>
      <c r="FU77" s="69"/>
      <c r="FV77" s="69"/>
      <c r="FW77" s="69"/>
      <c r="FX77" s="69"/>
      <c r="FY77" s="69"/>
      <c r="FZ77" s="69"/>
      <c r="GA77" s="69"/>
      <c r="GB77" s="69"/>
      <c r="GC77" s="69"/>
      <c r="GD77" s="69"/>
      <c r="GE77" s="69"/>
      <c r="GF77" s="69"/>
      <c r="GG77" s="165"/>
    </row>
    <row r="78" spans="1:189" s="66" customFormat="1" x14ac:dyDescent="0.2">
      <c r="A78"/>
      <c r="B78" s="82">
        <v>42370</v>
      </c>
      <c r="C78" s="68">
        <v>0</v>
      </c>
      <c r="D78" s="68">
        <v>0</v>
      </c>
      <c r="E78" s="68">
        <v>0</v>
      </c>
      <c r="F78" s="68">
        <v>0</v>
      </c>
      <c r="G78" s="68">
        <v>0</v>
      </c>
      <c r="H78" s="68">
        <v>0</v>
      </c>
      <c r="I78" s="68">
        <v>0</v>
      </c>
      <c r="J78" s="68">
        <v>0</v>
      </c>
      <c r="K78" s="68">
        <v>0</v>
      </c>
      <c r="L78" s="68">
        <v>0</v>
      </c>
      <c r="M78" s="68">
        <v>0</v>
      </c>
      <c r="N78" s="68">
        <v>0</v>
      </c>
      <c r="O78" s="68">
        <v>0</v>
      </c>
      <c r="P78" s="68">
        <v>0</v>
      </c>
      <c r="Q78" s="68">
        <v>0</v>
      </c>
      <c r="R78" s="68">
        <v>0</v>
      </c>
      <c r="S78" s="68">
        <v>0</v>
      </c>
      <c r="T78" s="68">
        <v>0</v>
      </c>
      <c r="U78" s="68">
        <v>0</v>
      </c>
      <c r="V78" s="68">
        <v>0</v>
      </c>
      <c r="W78" s="68">
        <v>0</v>
      </c>
      <c r="X78" s="68">
        <v>0</v>
      </c>
      <c r="Y78" s="68">
        <v>0</v>
      </c>
      <c r="Z78" s="68">
        <v>0</v>
      </c>
      <c r="AA78" s="68">
        <v>0</v>
      </c>
      <c r="AB78" s="68">
        <v>0</v>
      </c>
      <c r="AC78" s="68">
        <v>0</v>
      </c>
      <c r="AD78" s="68">
        <v>0</v>
      </c>
      <c r="AE78" s="68">
        <v>0</v>
      </c>
      <c r="AF78" s="68">
        <v>0</v>
      </c>
      <c r="AG78" s="68">
        <v>0</v>
      </c>
      <c r="AH78" s="68">
        <v>0</v>
      </c>
      <c r="AI78" s="68">
        <v>0</v>
      </c>
      <c r="AJ78" s="68">
        <v>0</v>
      </c>
      <c r="AK78" s="68">
        <v>0</v>
      </c>
      <c r="AL78" s="68">
        <v>0</v>
      </c>
      <c r="AM78" s="68">
        <v>0</v>
      </c>
      <c r="AN78" s="68">
        <v>0</v>
      </c>
      <c r="AO78" s="68">
        <v>0</v>
      </c>
      <c r="AP78" s="68">
        <v>0</v>
      </c>
      <c r="AQ78" s="68">
        <v>0</v>
      </c>
      <c r="AR78" s="68">
        <v>0</v>
      </c>
      <c r="AS78" s="68">
        <v>0</v>
      </c>
      <c r="AT78" s="68">
        <v>0</v>
      </c>
      <c r="AU78" s="68">
        <v>0</v>
      </c>
      <c r="AV78" s="68">
        <v>0</v>
      </c>
      <c r="AW78" s="68">
        <v>0</v>
      </c>
      <c r="AX78" s="68">
        <v>0</v>
      </c>
      <c r="AY78" s="68">
        <v>0</v>
      </c>
      <c r="AZ78" s="68">
        <v>0</v>
      </c>
      <c r="BA78" s="68">
        <v>0</v>
      </c>
      <c r="BB78" s="68">
        <v>0</v>
      </c>
      <c r="BC78" s="68">
        <v>0</v>
      </c>
      <c r="BD78" s="94">
        <v>0</v>
      </c>
      <c r="BE78" s="68">
        <v>0</v>
      </c>
      <c r="BF78" s="68">
        <v>0</v>
      </c>
      <c r="BG78" s="68">
        <v>0</v>
      </c>
      <c r="BH78" s="68">
        <v>0</v>
      </c>
      <c r="BI78" s="68">
        <v>0</v>
      </c>
      <c r="BJ78" s="68">
        <v>0</v>
      </c>
      <c r="BK78" s="68">
        <v>0</v>
      </c>
      <c r="BL78" s="68">
        <v>0</v>
      </c>
      <c r="BM78" s="68">
        <v>0</v>
      </c>
      <c r="BN78" s="68">
        <v>0</v>
      </c>
      <c r="BO78" s="68">
        <v>0</v>
      </c>
      <c r="BP78" s="67"/>
      <c r="BQ78" s="68"/>
      <c r="BR78" s="69"/>
      <c r="BS78" s="69"/>
      <c r="BT78" s="69"/>
      <c r="BU78" s="69"/>
      <c r="BV78" s="69"/>
      <c r="BW78" s="69"/>
      <c r="BX78" s="69"/>
      <c r="BY78" s="69"/>
      <c r="BZ78" s="69"/>
      <c r="CA78" s="69"/>
      <c r="CB78" s="69"/>
      <c r="CC78" s="69"/>
      <c r="CD78" s="69"/>
      <c r="CE78" s="69"/>
      <c r="CF78" s="69"/>
      <c r="CG78" s="69"/>
      <c r="CH78" s="69"/>
      <c r="CI78" s="69"/>
      <c r="CJ78" s="69"/>
      <c r="CK78" s="69"/>
      <c r="CL78" s="69"/>
      <c r="CM78" s="69"/>
      <c r="CN78" s="69"/>
      <c r="CO78" s="69"/>
      <c r="CP78" s="69"/>
      <c r="CQ78" s="69"/>
      <c r="CR78" s="69"/>
      <c r="CS78" s="69"/>
      <c r="CT78" s="69"/>
      <c r="CU78" s="69"/>
      <c r="CV78" s="69"/>
      <c r="CW78" s="69"/>
      <c r="CX78" s="69"/>
      <c r="CY78" s="69"/>
      <c r="CZ78" s="69"/>
      <c r="DA78" s="69"/>
      <c r="DB78" s="69"/>
      <c r="DC78" s="69"/>
      <c r="DD78" s="69"/>
      <c r="DE78" s="69"/>
      <c r="DF78" s="69"/>
      <c r="DG78" s="69"/>
      <c r="DH78" s="69"/>
      <c r="DI78" s="69"/>
      <c r="DJ78" s="69"/>
      <c r="DK78" s="69"/>
      <c r="DL78" s="69"/>
      <c r="DM78" s="69"/>
      <c r="DN78" s="69"/>
      <c r="DO78" s="69"/>
      <c r="DP78" s="69"/>
      <c r="DQ78" s="69"/>
      <c r="DR78" s="69"/>
      <c r="DS78" s="69"/>
      <c r="DT78" s="69"/>
      <c r="DU78" s="69"/>
      <c r="DV78" s="69"/>
      <c r="DW78" s="69"/>
      <c r="DX78" s="69"/>
      <c r="DY78" s="69"/>
      <c r="DZ78" s="69"/>
      <c r="EA78" s="69"/>
      <c r="EB78" s="69"/>
      <c r="EC78" s="69"/>
      <c r="ED78" s="69"/>
      <c r="EE78" s="69"/>
      <c r="EF78" s="69"/>
      <c r="EG78" s="69"/>
      <c r="EH78" s="69"/>
      <c r="EI78" s="69"/>
      <c r="EJ78" s="69"/>
      <c r="EK78" s="69"/>
      <c r="EL78" s="69"/>
      <c r="EM78" s="69"/>
      <c r="EN78" s="69"/>
      <c r="EO78" s="69"/>
      <c r="EP78" s="69"/>
      <c r="EQ78" s="69"/>
      <c r="ER78" s="69"/>
      <c r="ES78" s="69"/>
      <c r="ET78" s="69"/>
      <c r="EU78" s="69"/>
      <c r="EV78" s="69"/>
      <c r="EW78" s="69"/>
      <c r="EX78" s="69"/>
      <c r="EY78" s="69"/>
      <c r="EZ78" s="69"/>
      <c r="FA78" s="69"/>
      <c r="FB78" s="69"/>
      <c r="FC78" s="69"/>
      <c r="FD78" s="69"/>
      <c r="FE78" s="69"/>
      <c r="FF78" s="69"/>
      <c r="FG78" s="69"/>
      <c r="FH78" s="69"/>
      <c r="FI78" s="69"/>
      <c r="FJ78" s="69"/>
      <c r="FK78" s="69"/>
      <c r="FL78" s="69"/>
      <c r="FM78" s="69"/>
      <c r="FN78" s="69"/>
      <c r="FO78" s="69"/>
      <c r="FP78" s="69"/>
      <c r="FQ78" s="69"/>
      <c r="FR78" s="69"/>
      <c r="FS78" s="69"/>
      <c r="FT78" s="69"/>
      <c r="FU78" s="69"/>
      <c r="FV78" s="69"/>
      <c r="FW78" s="69"/>
      <c r="FX78" s="69"/>
      <c r="FY78" s="69"/>
      <c r="FZ78" s="69"/>
      <c r="GA78" s="69"/>
      <c r="GB78" s="69"/>
      <c r="GC78" s="69"/>
      <c r="GD78" s="69"/>
      <c r="GE78" s="69"/>
      <c r="GF78" s="69"/>
      <c r="GG78" s="165"/>
    </row>
    <row r="79" spans="1:189" s="66" customFormat="1" x14ac:dyDescent="0.2">
      <c r="A79"/>
      <c r="B79" s="82">
        <v>42401</v>
      </c>
      <c r="C79" s="68">
        <v>0</v>
      </c>
      <c r="D79" s="68">
        <v>0</v>
      </c>
      <c r="E79" s="68">
        <v>0</v>
      </c>
      <c r="F79" s="68">
        <v>0</v>
      </c>
      <c r="G79" s="68">
        <v>0</v>
      </c>
      <c r="H79" s="68">
        <v>0</v>
      </c>
      <c r="I79" s="68">
        <v>0</v>
      </c>
      <c r="J79" s="68">
        <v>0</v>
      </c>
      <c r="K79" s="68">
        <v>0</v>
      </c>
      <c r="L79" s="68">
        <v>0</v>
      </c>
      <c r="M79" s="68">
        <v>0</v>
      </c>
      <c r="N79" s="68">
        <v>0</v>
      </c>
      <c r="O79" s="68">
        <v>0</v>
      </c>
      <c r="P79" s="68">
        <v>0</v>
      </c>
      <c r="Q79" s="68">
        <v>0</v>
      </c>
      <c r="R79" s="68">
        <v>0</v>
      </c>
      <c r="S79" s="68">
        <v>0</v>
      </c>
      <c r="T79" s="68">
        <v>0</v>
      </c>
      <c r="U79" s="68">
        <v>0</v>
      </c>
      <c r="V79" s="68">
        <v>0</v>
      </c>
      <c r="W79" s="68">
        <v>0</v>
      </c>
      <c r="X79" s="68">
        <v>0</v>
      </c>
      <c r="Y79" s="68">
        <v>0</v>
      </c>
      <c r="Z79" s="68">
        <v>0</v>
      </c>
      <c r="AA79" s="68">
        <v>0</v>
      </c>
      <c r="AB79" s="68">
        <v>0</v>
      </c>
      <c r="AC79" s="68">
        <v>0</v>
      </c>
      <c r="AD79" s="68">
        <v>0</v>
      </c>
      <c r="AE79" s="68">
        <v>0</v>
      </c>
      <c r="AF79" s="68">
        <v>0</v>
      </c>
      <c r="AG79" s="68">
        <v>0</v>
      </c>
      <c r="AH79" s="68">
        <v>0</v>
      </c>
      <c r="AI79" s="68">
        <v>0</v>
      </c>
      <c r="AJ79" s="68">
        <v>0</v>
      </c>
      <c r="AK79" s="68">
        <v>0</v>
      </c>
      <c r="AL79" s="68">
        <v>0</v>
      </c>
      <c r="AM79" s="68">
        <v>0</v>
      </c>
      <c r="AN79" s="68">
        <v>0</v>
      </c>
      <c r="AO79" s="68">
        <v>0</v>
      </c>
      <c r="AP79" s="68">
        <v>0</v>
      </c>
      <c r="AQ79" s="68">
        <v>0</v>
      </c>
      <c r="AR79" s="68">
        <v>0</v>
      </c>
      <c r="AS79" s="68">
        <v>0</v>
      </c>
      <c r="AT79" s="68">
        <v>0</v>
      </c>
      <c r="AU79" s="68">
        <v>0</v>
      </c>
      <c r="AV79" s="68">
        <v>0</v>
      </c>
      <c r="AW79" s="68">
        <v>0</v>
      </c>
      <c r="AX79" s="68">
        <v>0</v>
      </c>
      <c r="AY79" s="68">
        <v>0</v>
      </c>
      <c r="AZ79" s="68">
        <v>0</v>
      </c>
      <c r="BA79" s="68">
        <v>0</v>
      </c>
      <c r="BB79" s="68">
        <v>0</v>
      </c>
      <c r="BC79" s="68">
        <v>0</v>
      </c>
      <c r="BD79" s="68">
        <v>0</v>
      </c>
      <c r="BE79" s="94">
        <v>0</v>
      </c>
      <c r="BF79" s="68">
        <v>0</v>
      </c>
      <c r="BG79" s="68">
        <v>0</v>
      </c>
      <c r="BH79" s="68">
        <v>0</v>
      </c>
      <c r="BI79" s="68">
        <v>0</v>
      </c>
      <c r="BJ79" s="68">
        <v>0</v>
      </c>
      <c r="BK79" s="68">
        <v>0</v>
      </c>
      <c r="BL79" s="68">
        <v>0</v>
      </c>
      <c r="BM79" s="68">
        <v>0</v>
      </c>
      <c r="BN79" s="68">
        <v>0</v>
      </c>
      <c r="BO79" s="68">
        <v>0</v>
      </c>
      <c r="BP79" s="68">
        <v>0</v>
      </c>
      <c r="BQ79" s="67"/>
      <c r="BR79" s="68"/>
      <c r="BS79" s="69"/>
      <c r="BT79" s="69"/>
      <c r="BU79" s="69"/>
      <c r="BV79" s="69"/>
      <c r="BW79" s="69"/>
      <c r="BX79" s="69"/>
      <c r="BY79" s="69"/>
      <c r="BZ79" s="69"/>
      <c r="CA79" s="69"/>
      <c r="CB79" s="69"/>
      <c r="CC79" s="69"/>
      <c r="CD79" s="69"/>
      <c r="CE79" s="69"/>
      <c r="CF79" s="69"/>
      <c r="CG79" s="69"/>
      <c r="CH79" s="69"/>
      <c r="CI79" s="69"/>
      <c r="CJ79" s="69"/>
      <c r="CK79" s="69"/>
      <c r="CL79" s="69"/>
      <c r="CM79" s="69"/>
      <c r="CN79" s="69"/>
      <c r="CO79" s="69"/>
      <c r="CP79" s="69"/>
      <c r="CQ79" s="69"/>
      <c r="CR79" s="69"/>
      <c r="CS79" s="69"/>
      <c r="CT79" s="69"/>
      <c r="CU79" s="69"/>
      <c r="CV79" s="69"/>
      <c r="CW79" s="69"/>
      <c r="CX79" s="69"/>
      <c r="CY79" s="69"/>
      <c r="CZ79" s="69"/>
      <c r="DA79" s="69"/>
      <c r="DB79" s="69"/>
      <c r="DC79" s="69"/>
      <c r="DD79" s="69"/>
      <c r="DE79" s="69"/>
      <c r="DF79" s="69"/>
      <c r="DG79" s="69"/>
      <c r="DH79" s="69"/>
      <c r="DI79" s="69"/>
      <c r="DJ79" s="69"/>
      <c r="DK79" s="69"/>
      <c r="DL79" s="69"/>
      <c r="DM79" s="69"/>
      <c r="DN79" s="69"/>
      <c r="DO79" s="69"/>
      <c r="DP79" s="69"/>
      <c r="DQ79" s="69"/>
      <c r="DR79" s="69"/>
      <c r="DS79" s="69"/>
      <c r="DT79" s="69"/>
      <c r="DU79" s="69"/>
      <c r="DV79" s="69"/>
      <c r="DW79" s="69"/>
      <c r="DX79" s="69"/>
      <c r="DY79" s="69"/>
      <c r="DZ79" s="69"/>
      <c r="EA79" s="69"/>
      <c r="EB79" s="69"/>
      <c r="EC79" s="69"/>
      <c r="ED79" s="69"/>
      <c r="EE79" s="69"/>
      <c r="EF79" s="69"/>
      <c r="EG79" s="69"/>
      <c r="EH79" s="69"/>
      <c r="EI79" s="69"/>
      <c r="EJ79" s="69"/>
      <c r="EK79" s="69"/>
      <c r="EL79" s="69"/>
      <c r="EM79" s="69"/>
      <c r="EN79" s="69"/>
      <c r="EO79" s="69"/>
      <c r="EP79" s="69"/>
      <c r="EQ79" s="69"/>
      <c r="ER79" s="69"/>
      <c r="ES79" s="69"/>
      <c r="ET79" s="69"/>
      <c r="EU79" s="69"/>
      <c r="EV79" s="69"/>
      <c r="EW79" s="69"/>
      <c r="EX79" s="69"/>
      <c r="EY79" s="69"/>
      <c r="EZ79" s="69"/>
      <c r="FA79" s="69"/>
      <c r="FB79" s="69"/>
      <c r="FC79" s="69"/>
      <c r="FD79" s="69"/>
      <c r="FE79" s="69"/>
      <c r="FF79" s="69"/>
      <c r="FG79" s="69"/>
      <c r="FH79" s="69"/>
      <c r="FI79" s="69"/>
      <c r="FJ79" s="69"/>
      <c r="FK79" s="69"/>
      <c r="FL79" s="69"/>
      <c r="FM79" s="69"/>
      <c r="FN79" s="69"/>
      <c r="FO79" s="69"/>
      <c r="FP79" s="69"/>
      <c r="FQ79" s="69"/>
      <c r="FR79" s="69"/>
      <c r="FS79" s="69"/>
      <c r="FT79" s="69"/>
      <c r="FU79" s="69"/>
      <c r="FV79" s="69"/>
      <c r="FW79" s="69"/>
      <c r="FX79" s="69"/>
      <c r="FY79" s="69"/>
      <c r="FZ79" s="69"/>
      <c r="GA79" s="69"/>
      <c r="GB79" s="69"/>
      <c r="GC79" s="69"/>
      <c r="GD79" s="69"/>
      <c r="GE79" s="69"/>
      <c r="GF79" s="69"/>
      <c r="GG79" s="165"/>
    </row>
    <row r="80" spans="1:189" s="66" customFormat="1" x14ac:dyDescent="0.2">
      <c r="A80"/>
      <c r="B80" s="82">
        <v>42430</v>
      </c>
      <c r="C80" s="68">
        <v>0</v>
      </c>
      <c r="D80" s="68">
        <v>0</v>
      </c>
      <c r="E80" s="68">
        <v>0</v>
      </c>
      <c r="F80" s="68">
        <v>0</v>
      </c>
      <c r="G80" s="68">
        <v>0</v>
      </c>
      <c r="H80" s="68">
        <v>0</v>
      </c>
      <c r="I80" s="68">
        <v>0</v>
      </c>
      <c r="J80" s="68">
        <v>0</v>
      </c>
      <c r="K80" s="68">
        <v>0</v>
      </c>
      <c r="L80" s="68">
        <v>0</v>
      </c>
      <c r="M80" s="68">
        <v>0</v>
      </c>
      <c r="N80" s="68">
        <v>0</v>
      </c>
      <c r="O80" s="68">
        <v>0</v>
      </c>
      <c r="P80" s="68">
        <v>0</v>
      </c>
      <c r="Q80" s="68">
        <v>0</v>
      </c>
      <c r="R80" s="68">
        <v>0</v>
      </c>
      <c r="S80" s="68">
        <v>0</v>
      </c>
      <c r="T80" s="68">
        <v>0</v>
      </c>
      <c r="U80" s="68">
        <v>0</v>
      </c>
      <c r="V80" s="68">
        <v>0</v>
      </c>
      <c r="W80" s="68">
        <v>0</v>
      </c>
      <c r="X80" s="68">
        <v>0</v>
      </c>
      <c r="Y80" s="68">
        <v>0</v>
      </c>
      <c r="Z80" s="68">
        <v>0</v>
      </c>
      <c r="AA80" s="68">
        <v>0</v>
      </c>
      <c r="AB80" s="68">
        <v>0</v>
      </c>
      <c r="AC80" s="68">
        <v>0</v>
      </c>
      <c r="AD80" s="68">
        <v>0</v>
      </c>
      <c r="AE80" s="68">
        <v>0</v>
      </c>
      <c r="AF80" s="68">
        <v>0</v>
      </c>
      <c r="AG80" s="68">
        <v>0</v>
      </c>
      <c r="AH80" s="68">
        <v>0</v>
      </c>
      <c r="AI80" s="68">
        <v>0</v>
      </c>
      <c r="AJ80" s="68">
        <v>0</v>
      </c>
      <c r="AK80" s="68">
        <v>0</v>
      </c>
      <c r="AL80" s="68">
        <v>0</v>
      </c>
      <c r="AM80" s="68">
        <v>0</v>
      </c>
      <c r="AN80" s="68">
        <v>0</v>
      </c>
      <c r="AO80" s="68">
        <v>0</v>
      </c>
      <c r="AP80" s="68">
        <v>0</v>
      </c>
      <c r="AQ80" s="68">
        <v>0</v>
      </c>
      <c r="AR80" s="68">
        <v>0</v>
      </c>
      <c r="AS80" s="68">
        <v>0</v>
      </c>
      <c r="AT80" s="68">
        <v>0</v>
      </c>
      <c r="AU80" s="68">
        <v>0</v>
      </c>
      <c r="AV80" s="68">
        <v>0</v>
      </c>
      <c r="AW80" s="68">
        <v>0</v>
      </c>
      <c r="AX80" s="68">
        <v>0</v>
      </c>
      <c r="AY80" s="68">
        <v>0</v>
      </c>
      <c r="AZ80" s="68">
        <v>0</v>
      </c>
      <c r="BA80" s="68">
        <v>0</v>
      </c>
      <c r="BB80" s="68">
        <v>0</v>
      </c>
      <c r="BC80" s="68">
        <v>0</v>
      </c>
      <c r="BD80" s="68">
        <v>0</v>
      </c>
      <c r="BE80" s="68">
        <v>0</v>
      </c>
      <c r="BF80" s="94">
        <v>0</v>
      </c>
      <c r="BG80" s="68">
        <v>0</v>
      </c>
      <c r="BH80" s="68">
        <v>0</v>
      </c>
      <c r="BI80" s="68">
        <v>0</v>
      </c>
      <c r="BJ80" s="68">
        <v>0</v>
      </c>
      <c r="BK80" s="68">
        <v>0</v>
      </c>
      <c r="BL80" s="68">
        <v>0</v>
      </c>
      <c r="BM80" s="68">
        <v>0</v>
      </c>
      <c r="BN80" s="68">
        <v>0</v>
      </c>
      <c r="BO80" s="68">
        <v>0</v>
      </c>
      <c r="BP80" s="68">
        <v>0</v>
      </c>
      <c r="BQ80" s="68">
        <v>0</v>
      </c>
      <c r="BR80" s="67"/>
      <c r="BS80" s="68"/>
      <c r="BT80" s="69"/>
      <c r="BU80" s="69"/>
      <c r="BV80" s="69"/>
      <c r="BW80" s="69"/>
      <c r="BX80" s="69"/>
      <c r="BY80" s="69"/>
      <c r="BZ80" s="69"/>
      <c r="CA80" s="69"/>
      <c r="CB80" s="69"/>
      <c r="CC80" s="69"/>
      <c r="CD80" s="69"/>
      <c r="CE80" s="69"/>
      <c r="CF80" s="69"/>
      <c r="CG80" s="69"/>
      <c r="CH80" s="69"/>
      <c r="CI80" s="69"/>
      <c r="CJ80" s="69"/>
      <c r="CK80" s="69"/>
      <c r="CL80" s="69"/>
      <c r="CM80" s="69"/>
      <c r="CN80" s="69"/>
      <c r="CO80" s="69"/>
      <c r="CP80" s="69"/>
      <c r="CQ80" s="69"/>
      <c r="CR80" s="69"/>
      <c r="CS80" s="69"/>
      <c r="CT80" s="69"/>
      <c r="CU80" s="69"/>
      <c r="CV80" s="69"/>
      <c r="CW80" s="69"/>
      <c r="CX80" s="69"/>
      <c r="CY80" s="69"/>
      <c r="CZ80" s="69"/>
      <c r="DA80" s="69"/>
      <c r="DB80" s="69"/>
      <c r="DC80" s="69"/>
      <c r="DD80" s="69"/>
      <c r="DE80" s="69"/>
      <c r="DF80" s="69"/>
      <c r="DG80" s="69"/>
      <c r="DH80" s="69"/>
      <c r="DI80" s="69"/>
      <c r="DJ80" s="69"/>
      <c r="DK80" s="69"/>
      <c r="DL80" s="69"/>
      <c r="DM80" s="69"/>
      <c r="DN80" s="69"/>
      <c r="DO80" s="69"/>
      <c r="DP80" s="69"/>
      <c r="DQ80" s="69"/>
      <c r="DR80" s="69"/>
      <c r="DS80" s="69"/>
      <c r="DT80" s="69"/>
      <c r="DU80" s="69"/>
      <c r="DV80" s="69"/>
      <c r="DW80" s="69"/>
      <c r="DX80" s="69"/>
      <c r="DY80" s="69"/>
      <c r="DZ80" s="69"/>
      <c r="EA80" s="69"/>
      <c r="EB80" s="69"/>
      <c r="EC80" s="69"/>
      <c r="ED80" s="69"/>
      <c r="EE80" s="69"/>
      <c r="EF80" s="69"/>
      <c r="EG80" s="69"/>
      <c r="EH80" s="69"/>
      <c r="EI80" s="69"/>
      <c r="EJ80" s="69"/>
      <c r="EK80" s="69"/>
      <c r="EL80" s="69"/>
      <c r="EM80" s="69"/>
      <c r="EN80" s="69"/>
      <c r="EO80" s="69"/>
      <c r="EP80" s="69"/>
      <c r="EQ80" s="69"/>
      <c r="ER80" s="69"/>
      <c r="ES80" s="69"/>
      <c r="ET80" s="69"/>
      <c r="EU80" s="69"/>
      <c r="EV80" s="69"/>
      <c r="EW80" s="69"/>
      <c r="EX80" s="69"/>
      <c r="EY80" s="69"/>
      <c r="EZ80" s="69"/>
      <c r="FA80" s="69"/>
      <c r="FB80" s="69"/>
      <c r="FC80" s="69"/>
      <c r="FD80" s="69"/>
      <c r="FE80" s="69"/>
      <c r="FF80" s="69"/>
      <c r="FG80" s="69"/>
      <c r="FH80" s="69"/>
      <c r="FI80" s="69"/>
      <c r="FJ80" s="69"/>
      <c r="FK80" s="69"/>
      <c r="FL80" s="69"/>
      <c r="FM80" s="69"/>
      <c r="FN80" s="69"/>
      <c r="FO80" s="69"/>
      <c r="FP80" s="69"/>
      <c r="FQ80" s="69"/>
      <c r="FR80" s="69"/>
      <c r="FS80" s="69"/>
      <c r="FT80" s="69"/>
      <c r="FU80" s="69"/>
      <c r="FV80" s="69"/>
      <c r="FW80" s="69"/>
      <c r="FX80" s="69"/>
      <c r="FY80" s="69"/>
      <c r="FZ80" s="69"/>
      <c r="GA80" s="69"/>
      <c r="GB80" s="69"/>
      <c r="GC80" s="69"/>
      <c r="GD80" s="69"/>
      <c r="GE80" s="69"/>
      <c r="GF80" s="69"/>
      <c r="GG80" s="165"/>
    </row>
    <row r="81" spans="1:189" s="66" customFormat="1" x14ac:dyDescent="0.2">
      <c r="A81"/>
      <c r="B81" s="82">
        <v>42461</v>
      </c>
      <c r="C81" s="68">
        <v>0</v>
      </c>
      <c r="D81" s="68">
        <v>0</v>
      </c>
      <c r="E81" s="68">
        <v>0</v>
      </c>
      <c r="F81" s="68">
        <v>0</v>
      </c>
      <c r="G81" s="68">
        <v>0</v>
      </c>
      <c r="H81" s="68">
        <v>0</v>
      </c>
      <c r="I81" s="68">
        <v>0</v>
      </c>
      <c r="J81" s="68">
        <v>0</v>
      </c>
      <c r="K81" s="68">
        <v>0</v>
      </c>
      <c r="L81" s="68">
        <v>0</v>
      </c>
      <c r="M81" s="68">
        <v>0</v>
      </c>
      <c r="N81" s="68">
        <v>0</v>
      </c>
      <c r="O81" s="68">
        <v>0</v>
      </c>
      <c r="P81" s="68">
        <v>0</v>
      </c>
      <c r="Q81" s="68">
        <v>0</v>
      </c>
      <c r="R81" s="68">
        <v>0</v>
      </c>
      <c r="S81" s="68">
        <v>0</v>
      </c>
      <c r="T81" s="68">
        <v>0</v>
      </c>
      <c r="U81" s="68">
        <v>0</v>
      </c>
      <c r="V81" s="68">
        <v>0</v>
      </c>
      <c r="W81" s="68">
        <v>0</v>
      </c>
      <c r="X81" s="68">
        <v>0</v>
      </c>
      <c r="Y81" s="68">
        <v>0</v>
      </c>
      <c r="Z81" s="68">
        <v>0</v>
      </c>
      <c r="AA81" s="68">
        <v>0</v>
      </c>
      <c r="AB81" s="68">
        <v>0</v>
      </c>
      <c r="AC81" s="68">
        <v>0</v>
      </c>
      <c r="AD81" s="68">
        <v>0</v>
      </c>
      <c r="AE81" s="68">
        <v>0</v>
      </c>
      <c r="AF81" s="68">
        <v>0</v>
      </c>
      <c r="AG81" s="68">
        <v>0</v>
      </c>
      <c r="AH81" s="68">
        <v>0</v>
      </c>
      <c r="AI81" s="68">
        <v>0</v>
      </c>
      <c r="AJ81" s="68">
        <v>0</v>
      </c>
      <c r="AK81" s="68">
        <v>0</v>
      </c>
      <c r="AL81" s="68">
        <v>0</v>
      </c>
      <c r="AM81" s="68">
        <v>0</v>
      </c>
      <c r="AN81" s="68">
        <v>0</v>
      </c>
      <c r="AO81" s="68">
        <v>0</v>
      </c>
      <c r="AP81" s="68">
        <v>0</v>
      </c>
      <c r="AQ81" s="68">
        <v>0</v>
      </c>
      <c r="AR81" s="68">
        <v>0</v>
      </c>
      <c r="AS81" s="68">
        <v>0</v>
      </c>
      <c r="AT81" s="68">
        <v>0</v>
      </c>
      <c r="AU81" s="68">
        <v>0</v>
      </c>
      <c r="AV81" s="68">
        <v>0</v>
      </c>
      <c r="AW81" s="68">
        <v>0</v>
      </c>
      <c r="AX81" s="68">
        <v>0</v>
      </c>
      <c r="AY81" s="68">
        <v>0</v>
      </c>
      <c r="AZ81" s="68">
        <v>0</v>
      </c>
      <c r="BA81" s="68">
        <v>0</v>
      </c>
      <c r="BB81" s="68">
        <v>0</v>
      </c>
      <c r="BC81" s="68">
        <v>0</v>
      </c>
      <c r="BD81" s="68">
        <v>0</v>
      </c>
      <c r="BE81" s="68">
        <v>0</v>
      </c>
      <c r="BF81" s="68">
        <v>0</v>
      </c>
      <c r="BG81" s="94">
        <v>0</v>
      </c>
      <c r="BH81" s="68">
        <v>0</v>
      </c>
      <c r="BI81" s="68">
        <v>0</v>
      </c>
      <c r="BJ81" s="68">
        <v>0</v>
      </c>
      <c r="BK81" s="68">
        <v>0</v>
      </c>
      <c r="BL81" s="68">
        <v>0</v>
      </c>
      <c r="BM81" s="68">
        <v>0</v>
      </c>
      <c r="BN81" s="68">
        <v>0</v>
      </c>
      <c r="BO81" s="68">
        <v>0</v>
      </c>
      <c r="BP81" s="68">
        <v>0</v>
      </c>
      <c r="BQ81" s="68">
        <v>0</v>
      </c>
      <c r="BR81" s="68">
        <v>0</v>
      </c>
      <c r="BS81" s="67"/>
      <c r="BT81" s="68"/>
      <c r="BU81" s="69"/>
      <c r="BV81" s="69"/>
      <c r="BW81" s="69"/>
      <c r="BX81" s="69"/>
      <c r="BY81" s="69"/>
      <c r="BZ81" s="69"/>
      <c r="CA81" s="69"/>
      <c r="CB81" s="69"/>
      <c r="CC81" s="69"/>
      <c r="CD81" s="69"/>
      <c r="CE81" s="69"/>
      <c r="CF81" s="69"/>
      <c r="CG81" s="69"/>
      <c r="CH81" s="69"/>
      <c r="CI81" s="69"/>
      <c r="CJ81" s="69"/>
      <c r="CK81" s="69"/>
      <c r="CL81" s="69"/>
      <c r="CM81" s="69"/>
      <c r="CN81" s="69"/>
      <c r="CO81" s="69"/>
      <c r="CP81" s="69"/>
      <c r="CQ81" s="69"/>
      <c r="CR81" s="69"/>
      <c r="CS81" s="69"/>
      <c r="CT81" s="69"/>
      <c r="CU81" s="69"/>
      <c r="CV81" s="69"/>
      <c r="CW81" s="69"/>
      <c r="CX81" s="69"/>
      <c r="CY81" s="69"/>
      <c r="CZ81" s="69"/>
      <c r="DA81" s="69"/>
      <c r="DB81" s="69"/>
      <c r="DC81" s="69"/>
      <c r="DD81" s="69"/>
      <c r="DE81" s="69"/>
      <c r="DF81" s="69"/>
      <c r="DG81" s="69"/>
      <c r="DH81" s="69"/>
      <c r="DI81" s="69"/>
      <c r="DJ81" s="69"/>
      <c r="DK81" s="69"/>
      <c r="DL81" s="69"/>
      <c r="DM81" s="69"/>
      <c r="DN81" s="69"/>
      <c r="DO81" s="69"/>
      <c r="DP81" s="69"/>
      <c r="DQ81" s="69"/>
      <c r="DR81" s="69"/>
      <c r="DS81" s="69"/>
      <c r="DT81" s="69"/>
      <c r="DU81" s="69"/>
      <c r="DV81" s="69"/>
      <c r="DW81" s="69"/>
      <c r="DX81" s="69"/>
      <c r="DY81" s="69"/>
      <c r="DZ81" s="69"/>
      <c r="EA81" s="69"/>
      <c r="EB81" s="69"/>
      <c r="EC81" s="69"/>
      <c r="ED81" s="69"/>
      <c r="EE81" s="69"/>
      <c r="EF81" s="69"/>
      <c r="EG81" s="69"/>
      <c r="EH81" s="69"/>
      <c r="EI81" s="69"/>
      <c r="EJ81" s="69"/>
      <c r="EK81" s="69"/>
      <c r="EL81" s="69"/>
      <c r="EM81" s="69"/>
      <c r="EN81" s="69"/>
      <c r="EO81" s="69"/>
      <c r="EP81" s="69"/>
      <c r="EQ81" s="69"/>
      <c r="ER81" s="69"/>
      <c r="ES81" s="69"/>
      <c r="ET81" s="69"/>
      <c r="EU81" s="69"/>
      <c r="EV81" s="69"/>
      <c r="EW81" s="69"/>
      <c r="EX81" s="69"/>
      <c r="EY81" s="69"/>
      <c r="EZ81" s="69"/>
      <c r="FA81" s="69"/>
      <c r="FB81" s="69"/>
      <c r="FC81" s="69"/>
      <c r="FD81" s="69"/>
      <c r="FE81" s="69"/>
      <c r="FF81" s="69"/>
      <c r="FG81" s="69"/>
      <c r="FH81" s="69"/>
      <c r="FI81" s="69"/>
      <c r="FJ81" s="69"/>
      <c r="FK81" s="69"/>
      <c r="FL81" s="69"/>
      <c r="FM81" s="69"/>
      <c r="FN81" s="69"/>
      <c r="FO81" s="69"/>
      <c r="FP81" s="69"/>
      <c r="FQ81" s="69"/>
      <c r="FR81" s="69"/>
      <c r="FS81" s="69"/>
      <c r="FT81" s="69"/>
      <c r="FU81" s="69"/>
      <c r="FV81" s="69"/>
      <c r="FW81" s="69"/>
      <c r="FX81" s="69"/>
      <c r="FY81" s="69"/>
      <c r="FZ81" s="69"/>
      <c r="GA81" s="69"/>
      <c r="GB81" s="69"/>
      <c r="GC81" s="69"/>
      <c r="GD81" s="69"/>
      <c r="GE81" s="69"/>
      <c r="GF81" s="69"/>
      <c r="GG81" s="165"/>
    </row>
    <row r="82" spans="1:189" s="66" customFormat="1" x14ac:dyDescent="0.2">
      <c r="A82"/>
      <c r="B82" s="82">
        <v>42491</v>
      </c>
      <c r="C82" s="68">
        <v>0</v>
      </c>
      <c r="D82" s="68">
        <v>0</v>
      </c>
      <c r="E82" s="68">
        <v>0</v>
      </c>
      <c r="F82" s="68">
        <v>0</v>
      </c>
      <c r="G82" s="68">
        <v>0</v>
      </c>
      <c r="H82" s="68">
        <v>0</v>
      </c>
      <c r="I82" s="68">
        <v>0</v>
      </c>
      <c r="J82" s="68">
        <v>0</v>
      </c>
      <c r="K82" s="68">
        <v>0</v>
      </c>
      <c r="L82" s="68">
        <v>0</v>
      </c>
      <c r="M82" s="68">
        <v>0</v>
      </c>
      <c r="N82" s="68">
        <v>0</v>
      </c>
      <c r="O82" s="68">
        <v>0</v>
      </c>
      <c r="P82" s="68">
        <v>0</v>
      </c>
      <c r="Q82" s="68">
        <v>0</v>
      </c>
      <c r="R82" s="68">
        <v>0</v>
      </c>
      <c r="S82" s="68">
        <v>0</v>
      </c>
      <c r="T82" s="68">
        <v>0</v>
      </c>
      <c r="U82" s="68">
        <v>0</v>
      </c>
      <c r="V82" s="68">
        <v>0</v>
      </c>
      <c r="W82" s="68">
        <v>0</v>
      </c>
      <c r="X82" s="68">
        <v>0</v>
      </c>
      <c r="Y82" s="68">
        <v>0</v>
      </c>
      <c r="Z82" s="68">
        <v>0</v>
      </c>
      <c r="AA82" s="68">
        <v>0</v>
      </c>
      <c r="AB82" s="68">
        <v>0</v>
      </c>
      <c r="AC82" s="68">
        <v>0</v>
      </c>
      <c r="AD82" s="68">
        <v>0</v>
      </c>
      <c r="AE82" s="68">
        <v>9.9999999999994316E-2</v>
      </c>
      <c r="AF82" s="68">
        <v>0</v>
      </c>
      <c r="AG82" s="68">
        <v>0</v>
      </c>
      <c r="AH82" s="68">
        <v>-0.10000000000000853</v>
      </c>
      <c r="AI82" s="68">
        <v>0</v>
      </c>
      <c r="AJ82" s="68">
        <v>0</v>
      </c>
      <c r="AK82" s="68">
        <v>0</v>
      </c>
      <c r="AL82" s="68">
        <v>0</v>
      </c>
      <c r="AM82" s="68">
        <v>0</v>
      </c>
      <c r="AN82" s="68">
        <v>0</v>
      </c>
      <c r="AO82" s="68">
        <v>0</v>
      </c>
      <c r="AP82" s="68">
        <v>0</v>
      </c>
      <c r="AQ82" s="68">
        <v>0.10000000000000853</v>
      </c>
      <c r="AR82" s="68">
        <v>0</v>
      </c>
      <c r="AS82" s="68">
        <v>0</v>
      </c>
      <c r="AT82" s="68">
        <v>0</v>
      </c>
      <c r="AU82" s="68">
        <v>0</v>
      </c>
      <c r="AV82" s="68">
        <v>0</v>
      </c>
      <c r="AW82" s="68">
        <v>0</v>
      </c>
      <c r="AX82" s="68">
        <v>0</v>
      </c>
      <c r="AY82" s="68">
        <v>0.10000000000000853</v>
      </c>
      <c r="AZ82" s="68">
        <v>0</v>
      </c>
      <c r="BA82" s="68">
        <v>0</v>
      </c>
      <c r="BB82" s="68">
        <v>0</v>
      </c>
      <c r="BC82" s="68">
        <v>0</v>
      </c>
      <c r="BD82" s="68">
        <v>0</v>
      </c>
      <c r="BE82" s="68">
        <v>0</v>
      </c>
      <c r="BF82" s="68">
        <v>0</v>
      </c>
      <c r="BG82" s="68">
        <v>0</v>
      </c>
      <c r="BH82" s="94">
        <v>0</v>
      </c>
      <c r="BI82" s="68">
        <v>0</v>
      </c>
      <c r="BJ82" s="68">
        <v>0.10000000000000853</v>
      </c>
      <c r="BK82" s="68">
        <v>0</v>
      </c>
      <c r="BL82" s="68">
        <v>0</v>
      </c>
      <c r="BM82" s="68">
        <v>0</v>
      </c>
      <c r="BN82" s="68">
        <v>9.9999999999994316E-2</v>
      </c>
      <c r="BO82" s="68">
        <v>0</v>
      </c>
      <c r="BP82" s="68">
        <v>0</v>
      </c>
      <c r="BQ82" s="68">
        <v>0</v>
      </c>
      <c r="BR82" s="68">
        <v>0</v>
      </c>
      <c r="BS82" s="68">
        <v>0</v>
      </c>
      <c r="BT82" s="67"/>
      <c r="BU82" s="68"/>
      <c r="BV82" s="69"/>
      <c r="BW82" s="69"/>
      <c r="BX82" s="69"/>
      <c r="BY82" s="69"/>
      <c r="BZ82" s="69"/>
      <c r="CA82" s="69"/>
      <c r="CB82" s="69"/>
      <c r="CC82" s="69"/>
      <c r="CD82" s="69"/>
      <c r="CE82" s="69"/>
      <c r="CF82" s="69"/>
      <c r="CG82" s="69"/>
      <c r="CH82" s="69"/>
      <c r="CI82" s="69"/>
      <c r="CJ82" s="69"/>
      <c r="CK82" s="69"/>
      <c r="CL82" s="69"/>
      <c r="CM82" s="69"/>
      <c r="CN82" s="69"/>
      <c r="CO82" s="69"/>
      <c r="CP82" s="69"/>
      <c r="CQ82" s="69"/>
      <c r="CR82" s="69"/>
      <c r="CS82" s="69"/>
      <c r="CT82" s="69"/>
      <c r="CU82" s="69"/>
      <c r="CV82" s="69"/>
      <c r="CW82" s="69"/>
      <c r="CX82" s="69"/>
      <c r="CY82" s="69"/>
      <c r="CZ82" s="69"/>
      <c r="DA82" s="69"/>
      <c r="DB82" s="69"/>
      <c r="DC82" s="69"/>
      <c r="DD82" s="69"/>
      <c r="DE82" s="69"/>
      <c r="DF82" s="69"/>
      <c r="DG82" s="69"/>
      <c r="DH82" s="69"/>
      <c r="DI82" s="69"/>
      <c r="DJ82" s="69"/>
      <c r="DK82" s="69"/>
      <c r="DL82" s="69"/>
      <c r="DM82" s="69"/>
      <c r="DN82" s="69"/>
      <c r="DO82" s="69"/>
      <c r="DP82" s="69"/>
      <c r="DQ82" s="69"/>
      <c r="DR82" s="69"/>
      <c r="DS82" s="69"/>
      <c r="DT82" s="69"/>
      <c r="DU82" s="69"/>
      <c r="DV82" s="69"/>
      <c r="DW82" s="69"/>
      <c r="DX82" s="69"/>
      <c r="DY82" s="69"/>
      <c r="DZ82" s="69"/>
      <c r="EA82" s="69"/>
      <c r="EB82" s="69"/>
      <c r="EC82" s="69"/>
      <c r="ED82" s="69"/>
      <c r="EE82" s="69"/>
      <c r="EF82" s="69"/>
      <c r="EG82" s="69"/>
      <c r="EH82" s="69"/>
      <c r="EI82" s="69"/>
      <c r="EJ82" s="69"/>
      <c r="EK82" s="69"/>
      <c r="EL82" s="69"/>
      <c r="EM82" s="69"/>
      <c r="EN82" s="69"/>
      <c r="EO82" s="69"/>
      <c r="EP82" s="69"/>
      <c r="EQ82" s="69"/>
      <c r="ER82" s="69"/>
      <c r="ES82" s="69"/>
      <c r="ET82" s="69"/>
      <c r="EU82" s="69"/>
      <c r="EV82" s="69"/>
      <c r="EW82" s="69"/>
      <c r="EX82" s="69"/>
      <c r="EY82" s="69"/>
      <c r="EZ82" s="69"/>
      <c r="FA82" s="69"/>
      <c r="FB82" s="69"/>
      <c r="FC82" s="69"/>
      <c r="FD82" s="69"/>
      <c r="FE82" s="69"/>
      <c r="FF82" s="69"/>
      <c r="FG82" s="69"/>
      <c r="FH82" s="69"/>
      <c r="FI82" s="69"/>
      <c r="FJ82" s="69"/>
      <c r="FK82" s="69"/>
      <c r="FL82" s="69"/>
      <c r="FM82" s="69"/>
      <c r="FN82" s="69"/>
      <c r="FO82" s="69"/>
      <c r="FP82" s="69"/>
      <c r="FQ82" s="69"/>
      <c r="FR82" s="69"/>
      <c r="FS82" s="69"/>
      <c r="FT82" s="69"/>
      <c r="FU82" s="69"/>
      <c r="FV82" s="69"/>
      <c r="FW82" s="69"/>
      <c r="FX82" s="69"/>
      <c r="FY82" s="69"/>
      <c r="FZ82" s="69"/>
      <c r="GA82" s="69"/>
      <c r="GB82" s="69"/>
      <c r="GC82" s="69"/>
      <c r="GD82" s="69"/>
      <c r="GE82" s="69"/>
      <c r="GF82" s="69"/>
      <c r="GG82" s="165"/>
    </row>
    <row r="83" spans="1:189" s="66" customFormat="1" x14ac:dyDescent="0.2">
      <c r="A83"/>
      <c r="B83" s="82">
        <v>42522</v>
      </c>
      <c r="C83" s="68">
        <v>0</v>
      </c>
      <c r="D83" s="68">
        <v>0</v>
      </c>
      <c r="E83" s="68">
        <v>0</v>
      </c>
      <c r="F83" s="68">
        <v>0</v>
      </c>
      <c r="G83" s="68">
        <v>0</v>
      </c>
      <c r="H83" s="68">
        <v>0</v>
      </c>
      <c r="I83" s="68">
        <v>0</v>
      </c>
      <c r="J83" s="68">
        <v>0</v>
      </c>
      <c r="K83" s="68">
        <v>0</v>
      </c>
      <c r="L83" s="68">
        <v>0</v>
      </c>
      <c r="M83" s="68">
        <v>0</v>
      </c>
      <c r="N83" s="68">
        <v>0</v>
      </c>
      <c r="O83" s="68">
        <v>0</v>
      </c>
      <c r="P83" s="68">
        <v>0</v>
      </c>
      <c r="Q83" s="68">
        <v>0</v>
      </c>
      <c r="R83" s="68">
        <v>0</v>
      </c>
      <c r="S83" s="68">
        <v>0</v>
      </c>
      <c r="T83" s="68">
        <v>0</v>
      </c>
      <c r="U83" s="68">
        <v>0</v>
      </c>
      <c r="V83" s="68">
        <v>0</v>
      </c>
      <c r="W83" s="68">
        <v>0</v>
      </c>
      <c r="X83" s="68">
        <v>0</v>
      </c>
      <c r="Y83" s="68">
        <v>0</v>
      </c>
      <c r="Z83" s="68">
        <v>0</v>
      </c>
      <c r="AA83" s="68">
        <v>0</v>
      </c>
      <c r="AB83" s="68">
        <v>0</v>
      </c>
      <c r="AC83" s="68">
        <v>0</v>
      </c>
      <c r="AD83" s="68">
        <v>0</v>
      </c>
      <c r="AE83" s="68">
        <v>0</v>
      </c>
      <c r="AF83" s="68">
        <v>0</v>
      </c>
      <c r="AG83" s="68">
        <v>0</v>
      </c>
      <c r="AH83" s="68">
        <v>0</v>
      </c>
      <c r="AI83" s="68">
        <v>0</v>
      </c>
      <c r="AJ83" s="68">
        <v>0</v>
      </c>
      <c r="AK83" s="68">
        <v>0</v>
      </c>
      <c r="AL83" s="68">
        <v>0</v>
      </c>
      <c r="AM83" s="68">
        <v>0</v>
      </c>
      <c r="AN83" s="68">
        <v>0</v>
      </c>
      <c r="AO83" s="68">
        <v>0</v>
      </c>
      <c r="AP83" s="68">
        <v>0</v>
      </c>
      <c r="AQ83" s="68">
        <v>0</v>
      </c>
      <c r="AR83" s="68">
        <v>0</v>
      </c>
      <c r="AS83" s="68">
        <v>0</v>
      </c>
      <c r="AT83" s="68">
        <v>0</v>
      </c>
      <c r="AU83" s="68">
        <v>0</v>
      </c>
      <c r="AV83" s="68">
        <v>0</v>
      </c>
      <c r="AW83" s="68">
        <v>0</v>
      </c>
      <c r="AX83" s="68">
        <v>0</v>
      </c>
      <c r="AY83" s="68">
        <v>0</v>
      </c>
      <c r="AZ83" s="68">
        <v>0</v>
      </c>
      <c r="BA83" s="68">
        <v>0</v>
      </c>
      <c r="BB83" s="68">
        <v>0</v>
      </c>
      <c r="BC83" s="68">
        <v>0</v>
      </c>
      <c r="BD83" s="68">
        <v>0</v>
      </c>
      <c r="BE83" s="68">
        <v>0</v>
      </c>
      <c r="BF83" s="68">
        <v>0</v>
      </c>
      <c r="BG83" s="68">
        <v>0</v>
      </c>
      <c r="BH83" s="68">
        <v>0</v>
      </c>
      <c r="BI83" s="94">
        <v>0</v>
      </c>
      <c r="BJ83" s="68">
        <v>0</v>
      </c>
      <c r="BK83" s="68">
        <v>0</v>
      </c>
      <c r="BL83" s="68">
        <v>0</v>
      </c>
      <c r="BM83" s="68">
        <v>0</v>
      </c>
      <c r="BN83" s="68">
        <v>0</v>
      </c>
      <c r="BO83" s="68">
        <v>0</v>
      </c>
      <c r="BP83" s="68">
        <v>0</v>
      </c>
      <c r="BQ83" s="68">
        <v>0</v>
      </c>
      <c r="BR83" s="68">
        <v>0</v>
      </c>
      <c r="BS83" s="68">
        <v>0</v>
      </c>
      <c r="BT83" s="68">
        <v>0</v>
      </c>
      <c r="BU83" s="67"/>
      <c r="BV83" s="68"/>
      <c r="BW83" s="69"/>
      <c r="BX83" s="69"/>
      <c r="BY83" s="69"/>
      <c r="BZ83" s="69"/>
      <c r="CA83" s="69"/>
      <c r="CB83" s="69"/>
      <c r="CC83" s="69"/>
      <c r="CD83" s="69"/>
      <c r="CE83" s="69"/>
      <c r="CF83" s="69"/>
      <c r="CG83" s="69"/>
      <c r="CH83" s="69"/>
      <c r="CI83" s="69"/>
      <c r="CJ83" s="69"/>
      <c r="CK83" s="69"/>
      <c r="CL83" s="69"/>
      <c r="CM83" s="69"/>
      <c r="CN83" s="69"/>
      <c r="CO83" s="69"/>
      <c r="CP83" s="69"/>
      <c r="CQ83" s="69"/>
      <c r="CR83" s="69"/>
      <c r="CS83" s="69"/>
      <c r="CT83" s="69"/>
      <c r="CU83" s="69"/>
      <c r="CV83" s="69"/>
      <c r="CW83" s="69"/>
      <c r="CX83" s="69"/>
      <c r="CY83" s="69"/>
      <c r="CZ83" s="69"/>
      <c r="DA83" s="69"/>
      <c r="DB83" s="69"/>
      <c r="DC83" s="69"/>
      <c r="DD83" s="69"/>
      <c r="DE83" s="69"/>
      <c r="DF83" s="69"/>
      <c r="DG83" s="69"/>
      <c r="DH83" s="69"/>
      <c r="DI83" s="69"/>
      <c r="DJ83" s="69"/>
      <c r="DK83" s="69"/>
      <c r="DL83" s="69"/>
      <c r="DM83" s="69"/>
      <c r="DN83" s="69"/>
      <c r="DO83" s="69"/>
      <c r="DP83" s="69"/>
      <c r="DQ83" s="69"/>
      <c r="DR83" s="69"/>
      <c r="DS83" s="69"/>
      <c r="DT83" s="69"/>
      <c r="DU83" s="69"/>
      <c r="DV83" s="69"/>
      <c r="DW83" s="69"/>
      <c r="DX83" s="69"/>
      <c r="DY83" s="69"/>
      <c r="DZ83" s="69"/>
      <c r="EA83" s="69"/>
      <c r="EB83" s="69"/>
      <c r="EC83" s="69"/>
      <c r="ED83" s="69"/>
      <c r="EE83" s="69"/>
      <c r="EF83" s="69"/>
      <c r="EG83" s="69"/>
      <c r="EH83" s="69"/>
      <c r="EI83" s="69"/>
      <c r="EJ83" s="69"/>
      <c r="EK83" s="69"/>
      <c r="EL83" s="69"/>
      <c r="EM83" s="69"/>
      <c r="EN83" s="69"/>
      <c r="EO83" s="69"/>
      <c r="EP83" s="69"/>
      <c r="EQ83" s="69"/>
      <c r="ER83" s="69"/>
      <c r="ES83" s="69"/>
      <c r="ET83" s="69"/>
      <c r="EU83" s="69"/>
      <c r="EV83" s="69"/>
      <c r="EW83" s="69"/>
      <c r="EX83" s="69"/>
      <c r="EY83" s="69"/>
      <c r="EZ83" s="69"/>
      <c r="FA83" s="69"/>
      <c r="FB83" s="69"/>
      <c r="FC83" s="69"/>
      <c r="FD83" s="69"/>
      <c r="FE83" s="69"/>
      <c r="FF83" s="69"/>
      <c r="FG83" s="69"/>
      <c r="FH83" s="69"/>
      <c r="FI83" s="69"/>
      <c r="FJ83" s="69"/>
      <c r="FK83" s="69"/>
      <c r="FL83" s="69"/>
      <c r="FM83" s="69"/>
      <c r="FN83" s="69"/>
      <c r="FO83" s="69"/>
      <c r="FP83" s="69"/>
      <c r="FQ83" s="69"/>
      <c r="FR83" s="69"/>
      <c r="FS83" s="69"/>
      <c r="FT83" s="69"/>
      <c r="FU83" s="69"/>
      <c r="FV83" s="69"/>
      <c r="FW83" s="69"/>
      <c r="FX83" s="69"/>
      <c r="FY83" s="69"/>
      <c r="FZ83" s="69"/>
      <c r="GA83" s="69"/>
      <c r="GB83" s="69"/>
      <c r="GC83" s="69"/>
      <c r="GD83" s="69"/>
      <c r="GE83" s="69"/>
      <c r="GF83" s="69"/>
      <c r="GG83" s="165"/>
    </row>
    <row r="84" spans="1:189" s="66" customFormat="1" x14ac:dyDescent="0.2">
      <c r="A84"/>
      <c r="B84" s="82">
        <v>42552</v>
      </c>
      <c r="C84" s="68">
        <v>0</v>
      </c>
      <c r="D84" s="68">
        <v>0</v>
      </c>
      <c r="E84" s="68">
        <v>0</v>
      </c>
      <c r="F84" s="68">
        <v>0</v>
      </c>
      <c r="G84" s="68">
        <v>0</v>
      </c>
      <c r="H84" s="68">
        <v>0</v>
      </c>
      <c r="I84" s="68">
        <v>0</v>
      </c>
      <c r="J84" s="68">
        <v>0</v>
      </c>
      <c r="K84" s="68">
        <v>0</v>
      </c>
      <c r="L84" s="68">
        <v>0</v>
      </c>
      <c r="M84" s="68">
        <v>0</v>
      </c>
      <c r="N84" s="68">
        <v>0</v>
      </c>
      <c r="O84" s="68">
        <v>0</v>
      </c>
      <c r="P84" s="68">
        <v>0</v>
      </c>
      <c r="Q84" s="68">
        <v>0</v>
      </c>
      <c r="R84" s="68">
        <v>0</v>
      </c>
      <c r="S84" s="68">
        <v>0</v>
      </c>
      <c r="T84" s="68">
        <v>0</v>
      </c>
      <c r="U84" s="68">
        <v>0</v>
      </c>
      <c r="V84" s="68">
        <v>0</v>
      </c>
      <c r="W84" s="68">
        <v>0</v>
      </c>
      <c r="X84" s="68">
        <v>0</v>
      </c>
      <c r="Y84" s="68">
        <v>0</v>
      </c>
      <c r="Z84" s="68">
        <v>0</v>
      </c>
      <c r="AA84" s="68">
        <v>0</v>
      </c>
      <c r="AB84" s="68">
        <v>0</v>
      </c>
      <c r="AC84" s="68">
        <v>0</v>
      </c>
      <c r="AD84" s="68">
        <v>0</v>
      </c>
      <c r="AE84" s="68">
        <v>0</v>
      </c>
      <c r="AF84" s="68">
        <v>0</v>
      </c>
      <c r="AG84" s="68">
        <v>0</v>
      </c>
      <c r="AH84" s="68">
        <v>0</v>
      </c>
      <c r="AI84" s="68">
        <v>0</v>
      </c>
      <c r="AJ84" s="68">
        <v>0</v>
      </c>
      <c r="AK84" s="68">
        <v>0</v>
      </c>
      <c r="AL84" s="68">
        <v>0</v>
      </c>
      <c r="AM84" s="68">
        <v>0</v>
      </c>
      <c r="AN84" s="68">
        <v>0</v>
      </c>
      <c r="AO84" s="68">
        <v>0</v>
      </c>
      <c r="AP84" s="68">
        <v>0</v>
      </c>
      <c r="AQ84" s="68">
        <v>0</v>
      </c>
      <c r="AR84" s="68">
        <v>0</v>
      </c>
      <c r="AS84" s="68">
        <v>0</v>
      </c>
      <c r="AT84" s="68">
        <v>0</v>
      </c>
      <c r="AU84" s="68">
        <v>0</v>
      </c>
      <c r="AV84" s="68">
        <v>0</v>
      </c>
      <c r="AW84" s="68">
        <v>0</v>
      </c>
      <c r="AX84" s="68">
        <v>0</v>
      </c>
      <c r="AY84" s="68">
        <v>0</v>
      </c>
      <c r="AZ84" s="68">
        <v>0</v>
      </c>
      <c r="BA84" s="68">
        <v>0</v>
      </c>
      <c r="BB84" s="68">
        <v>0</v>
      </c>
      <c r="BC84" s="68">
        <v>0</v>
      </c>
      <c r="BD84" s="68">
        <v>0</v>
      </c>
      <c r="BE84" s="68">
        <v>0</v>
      </c>
      <c r="BF84" s="68">
        <v>0</v>
      </c>
      <c r="BG84" s="68">
        <v>0</v>
      </c>
      <c r="BH84" s="68">
        <v>0</v>
      </c>
      <c r="BI84" s="68">
        <v>0</v>
      </c>
      <c r="BJ84" s="94">
        <v>0</v>
      </c>
      <c r="BK84" s="68">
        <v>0</v>
      </c>
      <c r="BL84" s="68">
        <v>0</v>
      </c>
      <c r="BM84" s="68">
        <v>0</v>
      </c>
      <c r="BN84" s="68">
        <v>0</v>
      </c>
      <c r="BO84" s="68">
        <v>0</v>
      </c>
      <c r="BP84" s="68">
        <v>0</v>
      </c>
      <c r="BQ84" s="68">
        <v>0</v>
      </c>
      <c r="BR84" s="68">
        <v>0</v>
      </c>
      <c r="BS84" s="68">
        <v>0</v>
      </c>
      <c r="BT84" s="68">
        <v>0</v>
      </c>
      <c r="BU84" s="68">
        <v>0</v>
      </c>
      <c r="BV84" s="67"/>
      <c r="BW84" s="68"/>
      <c r="BX84" s="69"/>
      <c r="BY84" s="69"/>
      <c r="BZ84" s="69"/>
      <c r="CA84" s="69"/>
      <c r="CB84" s="69"/>
      <c r="CC84" s="69"/>
      <c r="CD84" s="69"/>
      <c r="CE84" s="69"/>
      <c r="CF84" s="69"/>
      <c r="CG84" s="69"/>
      <c r="CH84" s="69"/>
      <c r="CI84" s="69"/>
      <c r="CJ84" s="69"/>
      <c r="CK84" s="69"/>
      <c r="CL84" s="69"/>
      <c r="CM84" s="69"/>
      <c r="CN84" s="69"/>
      <c r="CO84" s="69"/>
      <c r="CP84" s="69"/>
      <c r="CQ84" s="69"/>
      <c r="CR84" s="69"/>
      <c r="CS84" s="69"/>
      <c r="CT84" s="69"/>
      <c r="CU84" s="69"/>
      <c r="CV84" s="69"/>
      <c r="CW84" s="69"/>
      <c r="CX84" s="69"/>
      <c r="CY84" s="69"/>
      <c r="CZ84" s="69"/>
      <c r="DA84" s="69"/>
      <c r="DB84" s="69"/>
      <c r="DC84" s="69"/>
      <c r="DD84" s="69"/>
      <c r="DE84" s="69"/>
      <c r="DF84" s="69"/>
      <c r="DG84" s="69"/>
      <c r="DH84" s="69"/>
      <c r="DI84" s="69"/>
      <c r="DJ84" s="69"/>
      <c r="DK84" s="69"/>
      <c r="DL84" s="69"/>
      <c r="DM84" s="69"/>
      <c r="DN84" s="69"/>
      <c r="DO84" s="69"/>
      <c r="DP84" s="69"/>
      <c r="DQ84" s="69"/>
      <c r="DR84" s="69"/>
      <c r="DS84" s="69"/>
      <c r="DT84" s="69"/>
      <c r="DU84" s="69"/>
      <c r="DV84" s="69"/>
      <c r="DW84" s="69"/>
      <c r="DX84" s="69"/>
      <c r="DY84" s="69"/>
      <c r="DZ84" s="69"/>
      <c r="EA84" s="69"/>
      <c r="EB84" s="69"/>
      <c r="EC84" s="69"/>
      <c r="ED84" s="69"/>
      <c r="EE84" s="69"/>
      <c r="EF84" s="69"/>
      <c r="EG84" s="69"/>
      <c r="EH84" s="69"/>
      <c r="EI84" s="69"/>
      <c r="EJ84" s="69"/>
      <c r="EK84" s="69"/>
      <c r="EL84" s="69"/>
      <c r="EM84" s="69"/>
      <c r="EN84" s="69"/>
      <c r="EO84" s="69"/>
      <c r="EP84" s="69"/>
      <c r="EQ84" s="69"/>
      <c r="ER84" s="69"/>
      <c r="ES84" s="69"/>
      <c r="ET84" s="69"/>
      <c r="EU84" s="69"/>
      <c r="EV84" s="69"/>
      <c r="EW84" s="69"/>
      <c r="EX84" s="69"/>
      <c r="EY84" s="69"/>
      <c r="EZ84" s="69"/>
      <c r="FA84" s="69"/>
      <c r="FB84" s="69"/>
      <c r="FC84" s="69"/>
      <c r="FD84" s="69"/>
      <c r="FE84" s="69"/>
      <c r="FF84" s="69"/>
      <c r="FG84" s="69"/>
      <c r="FH84" s="69"/>
      <c r="FI84" s="69"/>
      <c r="FJ84" s="69"/>
      <c r="FK84" s="69"/>
      <c r="FL84" s="69"/>
      <c r="FM84" s="69"/>
      <c r="FN84" s="69"/>
      <c r="FO84" s="69"/>
      <c r="FP84" s="69"/>
      <c r="FQ84" s="69"/>
      <c r="FR84" s="69"/>
      <c r="FS84" s="69"/>
      <c r="FT84" s="69"/>
      <c r="FU84" s="69"/>
      <c r="FV84" s="69"/>
      <c r="FW84" s="69"/>
      <c r="FX84" s="69"/>
      <c r="FY84" s="69"/>
      <c r="FZ84" s="69"/>
      <c r="GA84" s="69"/>
      <c r="GB84" s="69"/>
      <c r="GC84" s="69"/>
      <c r="GD84" s="69"/>
      <c r="GE84" s="69"/>
      <c r="GF84" s="69"/>
      <c r="GG84" s="165"/>
    </row>
    <row r="85" spans="1:189" s="66" customFormat="1" x14ac:dyDescent="0.2">
      <c r="A85"/>
      <c r="B85" s="82">
        <v>42583</v>
      </c>
      <c r="C85" s="68">
        <v>0</v>
      </c>
      <c r="D85" s="68">
        <v>0</v>
      </c>
      <c r="E85" s="68">
        <v>0</v>
      </c>
      <c r="F85" s="68">
        <v>0</v>
      </c>
      <c r="G85" s="68">
        <v>0</v>
      </c>
      <c r="H85" s="68">
        <v>0</v>
      </c>
      <c r="I85" s="68">
        <v>0</v>
      </c>
      <c r="J85" s="68">
        <v>0</v>
      </c>
      <c r="K85" s="68">
        <v>0</v>
      </c>
      <c r="L85" s="68">
        <v>0</v>
      </c>
      <c r="M85" s="68">
        <v>0</v>
      </c>
      <c r="N85" s="68">
        <v>0</v>
      </c>
      <c r="O85" s="68">
        <v>0</v>
      </c>
      <c r="P85" s="68">
        <v>0</v>
      </c>
      <c r="Q85" s="68">
        <v>0</v>
      </c>
      <c r="R85" s="68">
        <v>0</v>
      </c>
      <c r="S85" s="68">
        <v>0</v>
      </c>
      <c r="T85" s="68">
        <v>0</v>
      </c>
      <c r="U85" s="68">
        <v>0</v>
      </c>
      <c r="V85" s="68">
        <v>0</v>
      </c>
      <c r="W85" s="68">
        <v>0</v>
      </c>
      <c r="X85" s="68">
        <v>0</v>
      </c>
      <c r="Y85" s="68">
        <v>0</v>
      </c>
      <c r="Z85" s="68">
        <v>0</v>
      </c>
      <c r="AA85" s="68">
        <v>0</v>
      </c>
      <c r="AB85" s="68">
        <v>0</v>
      </c>
      <c r="AC85" s="68">
        <v>0</v>
      </c>
      <c r="AD85" s="68">
        <v>0</v>
      </c>
      <c r="AE85" s="68">
        <v>0</v>
      </c>
      <c r="AF85" s="68">
        <v>0</v>
      </c>
      <c r="AG85" s="68">
        <v>0</v>
      </c>
      <c r="AH85" s="68">
        <v>0</v>
      </c>
      <c r="AI85" s="68">
        <v>0</v>
      </c>
      <c r="AJ85" s="68">
        <v>0</v>
      </c>
      <c r="AK85" s="68">
        <v>0</v>
      </c>
      <c r="AL85" s="68">
        <v>0</v>
      </c>
      <c r="AM85" s="68">
        <v>0</v>
      </c>
      <c r="AN85" s="68">
        <v>0</v>
      </c>
      <c r="AO85" s="68">
        <v>0</v>
      </c>
      <c r="AP85" s="68">
        <v>0</v>
      </c>
      <c r="AQ85" s="68">
        <v>0</v>
      </c>
      <c r="AR85" s="68">
        <v>0</v>
      </c>
      <c r="AS85" s="68">
        <v>0</v>
      </c>
      <c r="AT85" s="68">
        <v>0</v>
      </c>
      <c r="AU85" s="68">
        <v>0</v>
      </c>
      <c r="AV85" s="68">
        <v>0</v>
      </c>
      <c r="AW85" s="68">
        <v>0</v>
      </c>
      <c r="AX85" s="68">
        <v>0</v>
      </c>
      <c r="AY85" s="68">
        <v>0</v>
      </c>
      <c r="AZ85" s="68">
        <v>0</v>
      </c>
      <c r="BA85" s="68">
        <v>0</v>
      </c>
      <c r="BB85" s="68">
        <v>0</v>
      </c>
      <c r="BC85" s="68">
        <v>0</v>
      </c>
      <c r="BD85" s="68">
        <v>0</v>
      </c>
      <c r="BE85" s="68">
        <v>0</v>
      </c>
      <c r="BF85" s="68">
        <v>0</v>
      </c>
      <c r="BG85" s="68">
        <v>0</v>
      </c>
      <c r="BH85" s="68">
        <v>0</v>
      </c>
      <c r="BI85" s="68">
        <v>0</v>
      </c>
      <c r="BJ85" s="68">
        <v>0</v>
      </c>
      <c r="BK85" s="94">
        <v>0</v>
      </c>
      <c r="BL85" s="68">
        <v>0</v>
      </c>
      <c r="BM85" s="68">
        <v>0</v>
      </c>
      <c r="BN85" s="68">
        <v>0</v>
      </c>
      <c r="BO85" s="68">
        <v>0</v>
      </c>
      <c r="BP85" s="68">
        <v>0</v>
      </c>
      <c r="BQ85" s="68">
        <v>0</v>
      </c>
      <c r="BR85" s="68">
        <v>0</v>
      </c>
      <c r="BS85" s="68">
        <v>0</v>
      </c>
      <c r="BT85" s="68">
        <v>0</v>
      </c>
      <c r="BU85" s="68">
        <v>0</v>
      </c>
      <c r="BV85" s="68">
        <v>0</v>
      </c>
      <c r="BW85" s="67"/>
      <c r="BX85" s="68"/>
      <c r="BY85" s="69"/>
      <c r="BZ85" s="69"/>
      <c r="CA85" s="69"/>
      <c r="CB85" s="69"/>
      <c r="CC85" s="69"/>
      <c r="CD85" s="69"/>
      <c r="CE85" s="69"/>
      <c r="CF85" s="69"/>
      <c r="CG85" s="69"/>
      <c r="CH85" s="69"/>
      <c r="CI85" s="69"/>
      <c r="CJ85" s="69"/>
      <c r="CK85" s="69"/>
      <c r="CL85" s="69"/>
      <c r="CM85" s="69"/>
      <c r="CN85" s="69"/>
      <c r="CO85" s="69"/>
      <c r="CP85" s="69"/>
      <c r="CQ85" s="69"/>
      <c r="CR85" s="69"/>
      <c r="CS85" s="69"/>
      <c r="CT85" s="69"/>
      <c r="CU85" s="69"/>
      <c r="CV85" s="69"/>
      <c r="CW85" s="69"/>
      <c r="CX85" s="69"/>
      <c r="CY85" s="69"/>
      <c r="CZ85" s="69"/>
      <c r="DA85" s="69"/>
      <c r="DB85" s="69"/>
      <c r="DC85" s="69"/>
      <c r="DD85" s="69"/>
      <c r="DE85" s="69"/>
      <c r="DF85" s="69"/>
      <c r="DG85" s="69"/>
      <c r="DH85" s="69"/>
      <c r="DI85" s="69"/>
      <c r="DJ85" s="69"/>
      <c r="DK85" s="69"/>
      <c r="DL85" s="69"/>
      <c r="DM85" s="69"/>
      <c r="DN85" s="69"/>
      <c r="DO85" s="69"/>
      <c r="DP85" s="69"/>
      <c r="DQ85" s="69"/>
      <c r="DR85" s="69"/>
      <c r="DS85" s="69"/>
      <c r="DT85" s="69"/>
      <c r="DU85" s="69"/>
      <c r="DV85" s="69"/>
      <c r="DW85" s="69"/>
      <c r="DX85" s="69"/>
      <c r="DY85" s="69"/>
      <c r="DZ85" s="69"/>
      <c r="EA85" s="69"/>
      <c r="EB85" s="69"/>
      <c r="EC85" s="69"/>
      <c r="ED85" s="69"/>
      <c r="EE85" s="69"/>
      <c r="EF85" s="69"/>
      <c r="EG85" s="69"/>
      <c r="EH85" s="69"/>
      <c r="EI85" s="69"/>
      <c r="EJ85" s="69"/>
      <c r="EK85" s="69"/>
      <c r="EL85" s="69"/>
      <c r="EM85" s="69"/>
      <c r="EN85" s="69"/>
      <c r="EO85" s="69"/>
      <c r="EP85" s="69"/>
      <c r="EQ85" s="69"/>
      <c r="ER85" s="69"/>
      <c r="ES85" s="69"/>
      <c r="ET85" s="69"/>
      <c r="EU85" s="69"/>
      <c r="EV85" s="69"/>
      <c r="EW85" s="69"/>
      <c r="EX85" s="69"/>
      <c r="EY85" s="69"/>
      <c r="EZ85" s="69"/>
      <c r="FA85" s="69"/>
      <c r="FB85" s="69"/>
      <c r="FC85" s="69"/>
      <c r="FD85" s="69"/>
      <c r="FE85" s="69"/>
      <c r="FF85" s="69"/>
      <c r="FG85" s="69"/>
      <c r="FH85" s="69"/>
      <c r="FI85" s="69"/>
      <c r="FJ85" s="69"/>
      <c r="FK85" s="69"/>
      <c r="FL85" s="69"/>
      <c r="FM85" s="69"/>
      <c r="FN85" s="69"/>
      <c r="FO85" s="69"/>
      <c r="FP85" s="69"/>
      <c r="FQ85" s="69"/>
      <c r="FR85" s="69"/>
      <c r="FS85" s="69"/>
      <c r="FT85" s="69"/>
      <c r="FU85" s="69"/>
      <c r="FV85" s="69"/>
      <c r="FW85" s="69"/>
      <c r="FX85" s="69"/>
      <c r="FY85" s="69"/>
      <c r="FZ85" s="69"/>
      <c r="GA85" s="69"/>
      <c r="GB85" s="69"/>
      <c r="GC85" s="69"/>
      <c r="GD85" s="69"/>
      <c r="GE85" s="69"/>
      <c r="GF85" s="69"/>
      <c r="GG85" s="165"/>
    </row>
    <row r="86" spans="1:189" s="66" customFormat="1" x14ac:dyDescent="0.2">
      <c r="A86"/>
      <c r="B86" s="82">
        <v>42614</v>
      </c>
      <c r="C86" s="68">
        <v>0</v>
      </c>
      <c r="D86" s="68">
        <v>0</v>
      </c>
      <c r="E86" s="68">
        <v>0</v>
      </c>
      <c r="F86" s="68">
        <v>0</v>
      </c>
      <c r="G86" s="68">
        <v>0</v>
      </c>
      <c r="H86" s="68">
        <v>0</v>
      </c>
      <c r="I86" s="68">
        <v>0</v>
      </c>
      <c r="J86" s="68">
        <v>0</v>
      </c>
      <c r="K86" s="68">
        <v>0</v>
      </c>
      <c r="L86" s="68">
        <v>0</v>
      </c>
      <c r="M86" s="68">
        <v>0</v>
      </c>
      <c r="N86" s="68">
        <v>0</v>
      </c>
      <c r="O86" s="68">
        <v>0</v>
      </c>
      <c r="P86" s="68">
        <v>0</v>
      </c>
      <c r="Q86" s="68">
        <v>0</v>
      </c>
      <c r="R86" s="68">
        <v>0</v>
      </c>
      <c r="S86" s="68">
        <v>0</v>
      </c>
      <c r="T86" s="68">
        <v>0</v>
      </c>
      <c r="U86" s="68">
        <v>0</v>
      </c>
      <c r="V86" s="68">
        <v>0</v>
      </c>
      <c r="W86" s="68">
        <v>0</v>
      </c>
      <c r="X86" s="68">
        <v>0</v>
      </c>
      <c r="Y86" s="68">
        <v>0</v>
      </c>
      <c r="Z86" s="68">
        <v>0</v>
      </c>
      <c r="AA86" s="68">
        <v>0</v>
      </c>
      <c r="AB86" s="68">
        <v>0</v>
      </c>
      <c r="AC86" s="68">
        <v>0</v>
      </c>
      <c r="AD86" s="68">
        <v>0</v>
      </c>
      <c r="AE86" s="68">
        <v>0</v>
      </c>
      <c r="AF86" s="68">
        <v>0</v>
      </c>
      <c r="AG86" s="68">
        <v>0</v>
      </c>
      <c r="AH86" s="68">
        <v>0</v>
      </c>
      <c r="AI86" s="68">
        <v>0</v>
      </c>
      <c r="AJ86" s="68">
        <v>0</v>
      </c>
      <c r="AK86" s="68">
        <v>0</v>
      </c>
      <c r="AL86" s="68">
        <v>0</v>
      </c>
      <c r="AM86" s="68">
        <v>0</v>
      </c>
      <c r="AN86" s="68">
        <v>0</v>
      </c>
      <c r="AO86" s="68">
        <v>0</v>
      </c>
      <c r="AP86" s="68">
        <v>0</v>
      </c>
      <c r="AQ86" s="68">
        <v>0</v>
      </c>
      <c r="AR86" s="68">
        <v>0</v>
      </c>
      <c r="AS86" s="68">
        <v>0</v>
      </c>
      <c r="AT86" s="68">
        <v>0</v>
      </c>
      <c r="AU86" s="68">
        <v>0</v>
      </c>
      <c r="AV86" s="68">
        <v>0</v>
      </c>
      <c r="AW86" s="68">
        <v>0</v>
      </c>
      <c r="AX86" s="68">
        <v>0</v>
      </c>
      <c r="AY86" s="68">
        <v>0</v>
      </c>
      <c r="AZ86" s="68">
        <v>0</v>
      </c>
      <c r="BA86" s="68">
        <v>0</v>
      </c>
      <c r="BB86" s="68">
        <v>0</v>
      </c>
      <c r="BC86" s="68">
        <v>0</v>
      </c>
      <c r="BD86" s="68">
        <v>0</v>
      </c>
      <c r="BE86" s="68">
        <v>0</v>
      </c>
      <c r="BF86" s="68">
        <v>0</v>
      </c>
      <c r="BG86" s="68">
        <v>0</v>
      </c>
      <c r="BH86" s="68">
        <v>0</v>
      </c>
      <c r="BI86" s="68">
        <v>0</v>
      </c>
      <c r="BJ86" s="68">
        <v>0</v>
      </c>
      <c r="BK86" s="68">
        <v>0</v>
      </c>
      <c r="BL86" s="94">
        <v>0</v>
      </c>
      <c r="BM86" s="68">
        <v>0</v>
      </c>
      <c r="BN86" s="68">
        <v>0</v>
      </c>
      <c r="BO86" s="68">
        <v>0</v>
      </c>
      <c r="BP86" s="68">
        <v>0</v>
      </c>
      <c r="BQ86" s="68">
        <v>0</v>
      </c>
      <c r="BR86" s="68">
        <v>0</v>
      </c>
      <c r="BS86" s="68">
        <v>0</v>
      </c>
      <c r="BT86" s="68">
        <v>0</v>
      </c>
      <c r="BU86" s="68">
        <v>0</v>
      </c>
      <c r="BV86" s="68">
        <v>0</v>
      </c>
      <c r="BW86" s="68">
        <v>0</v>
      </c>
      <c r="BX86" s="67"/>
      <c r="BY86" s="68"/>
      <c r="BZ86" s="69"/>
      <c r="CA86" s="69"/>
      <c r="CB86" s="69"/>
      <c r="CC86" s="69"/>
      <c r="CD86" s="69"/>
      <c r="CE86" s="69"/>
      <c r="CF86" s="69"/>
      <c r="CG86" s="69"/>
      <c r="CH86" s="69"/>
      <c r="CI86" s="69"/>
      <c r="CJ86" s="69"/>
      <c r="CK86" s="69"/>
      <c r="CL86" s="69"/>
      <c r="CM86" s="69"/>
      <c r="CN86" s="69"/>
      <c r="CO86" s="69"/>
      <c r="CP86" s="69"/>
      <c r="CQ86" s="69"/>
      <c r="CR86" s="69"/>
      <c r="CS86" s="69"/>
      <c r="CT86" s="69"/>
      <c r="CU86" s="69"/>
      <c r="CV86" s="69"/>
      <c r="CW86" s="69"/>
      <c r="CX86" s="69"/>
      <c r="CY86" s="69"/>
      <c r="CZ86" s="69"/>
      <c r="DA86" s="69"/>
      <c r="DB86" s="69"/>
      <c r="DC86" s="69"/>
      <c r="DD86" s="69"/>
      <c r="DE86" s="69"/>
      <c r="DF86" s="69"/>
      <c r="DG86" s="69"/>
      <c r="DH86" s="69"/>
      <c r="DI86" s="69"/>
      <c r="DJ86" s="69"/>
      <c r="DK86" s="69"/>
      <c r="DL86" s="69"/>
      <c r="DM86" s="69"/>
      <c r="DN86" s="69"/>
      <c r="DO86" s="69"/>
      <c r="DP86" s="69"/>
      <c r="DQ86" s="69"/>
      <c r="DR86" s="69"/>
      <c r="DS86" s="69"/>
      <c r="DT86" s="69"/>
      <c r="DU86" s="69"/>
      <c r="DV86" s="69"/>
      <c r="DW86" s="69"/>
      <c r="DX86" s="69"/>
      <c r="DY86" s="69"/>
      <c r="DZ86" s="69"/>
      <c r="EA86" s="69"/>
      <c r="EB86" s="69"/>
      <c r="EC86" s="69"/>
      <c r="ED86" s="69"/>
      <c r="EE86" s="69"/>
      <c r="EF86" s="69"/>
      <c r="EG86" s="69"/>
      <c r="EH86" s="69"/>
      <c r="EI86" s="69"/>
      <c r="EJ86" s="69"/>
      <c r="EK86" s="69"/>
      <c r="EL86" s="69"/>
      <c r="EM86" s="69"/>
      <c r="EN86" s="69"/>
      <c r="EO86" s="69"/>
      <c r="EP86" s="69"/>
      <c r="EQ86" s="69"/>
      <c r="ER86" s="69"/>
      <c r="ES86" s="69"/>
      <c r="ET86" s="69"/>
      <c r="EU86" s="69"/>
      <c r="EV86" s="69"/>
      <c r="EW86" s="69"/>
      <c r="EX86" s="69"/>
      <c r="EY86" s="69"/>
      <c r="EZ86" s="69"/>
      <c r="FA86" s="69"/>
      <c r="FB86" s="69"/>
      <c r="FC86" s="69"/>
      <c r="FD86" s="69"/>
      <c r="FE86" s="69"/>
      <c r="FF86" s="69"/>
      <c r="FG86" s="69"/>
      <c r="FH86" s="69"/>
      <c r="FI86" s="69"/>
      <c r="FJ86" s="69"/>
      <c r="FK86" s="69"/>
      <c r="FL86" s="69"/>
      <c r="FM86" s="69"/>
      <c r="FN86" s="69"/>
      <c r="FO86" s="69"/>
      <c r="FP86" s="69"/>
      <c r="FQ86" s="69"/>
      <c r="FR86" s="69"/>
      <c r="FS86" s="69"/>
      <c r="FT86" s="69"/>
      <c r="FU86" s="69"/>
      <c r="FV86" s="69"/>
      <c r="FW86" s="69"/>
      <c r="FX86" s="69"/>
      <c r="FY86" s="69"/>
      <c r="FZ86" s="69"/>
      <c r="GA86" s="69"/>
      <c r="GB86" s="69"/>
      <c r="GC86" s="69"/>
      <c r="GD86" s="69"/>
      <c r="GE86" s="69"/>
      <c r="GF86" s="69"/>
      <c r="GG86" s="165"/>
    </row>
    <row r="87" spans="1:189" s="66" customFormat="1" x14ac:dyDescent="0.2">
      <c r="A87"/>
      <c r="B87" s="82">
        <v>42644</v>
      </c>
      <c r="C87" s="68">
        <v>0</v>
      </c>
      <c r="D87" s="68">
        <v>0</v>
      </c>
      <c r="E87" s="68">
        <v>0</v>
      </c>
      <c r="F87" s="68">
        <v>0</v>
      </c>
      <c r="G87" s="68">
        <v>0</v>
      </c>
      <c r="H87" s="68">
        <v>0</v>
      </c>
      <c r="I87" s="68">
        <v>0</v>
      </c>
      <c r="J87" s="68">
        <v>0</v>
      </c>
      <c r="K87" s="68">
        <v>0</v>
      </c>
      <c r="L87" s="68">
        <v>0</v>
      </c>
      <c r="M87" s="68">
        <v>0</v>
      </c>
      <c r="N87" s="68">
        <v>0</v>
      </c>
      <c r="O87" s="68">
        <v>0</v>
      </c>
      <c r="P87" s="68">
        <v>0</v>
      </c>
      <c r="Q87" s="68">
        <v>0</v>
      </c>
      <c r="R87" s="68">
        <v>0</v>
      </c>
      <c r="S87" s="68">
        <v>0</v>
      </c>
      <c r="T87" s="68">
        <v>0</v>
      </c>
      <c r="U87" s="68">
        <v>0</v>
      </c>
      <c r="V87" s="68">
        <v>0</v>
      </c>
      <c r="W87" s="68">
        <v>0</v>
      </c>
      <c r="X87" s="68">
        <v>0</v>
      </c>
      <c r="Y87" s="68">
        <v>0</v>
      </c>
      <c r="Z87" s="68">
        <v>0</v>
      </c>
      <c r="AA87" s="68">
        <v>0</v>
      </c>
      <c r="AB87" s="68">
        <v>0</v>
      </c>
      <c r="AC87" s="68">
        <v>0</v>
      </c>
      <c r="AD87" s="68">
        <v>0</v>
      </c>
      <c r="AE87" s="68">
        <v>0</v>
      </c>
      <c r="AF87" s="68">
        <v>0</v>
      </c>
      <c r="AG87" s="68">
        <v>0</v>
      </c>
      <c r="AH87" s="68">
        <v>0</v>
      </c>
      <c r="AI87" s="68">
        <v>0</v>
      </c>
      <c r="AJ87" s="68">
        <v>0</v>
      </c>
      <c r="AK87" s="68">
        <v>0</v>
      </c>
      <c r="AL87" s="68">
        <v>0</v>
      </c>
      <c r="AM87" s="68">
        <v>0</v>
      </c>
      <c r="AN87" s="68">
        <v>0</v>
      </c>
      <c r="AO87" s="68">
        <v>0</v>
      </c>
      <c r="AP87" s="68">
        <v>0</v>
      </c>
      <c r="AQ87" s="68">
        <v>0</v>
      </c>
      <c r="AR87" s="68">
        <v>0</v>
      </c>
      <c r="AS87" s="68">
        <v>0</v>
      </c>
      <c r="AT87" s="68">
        <v>0</v>
      </c>
      <c r="AU87" s="68">
        <v>0</v>
      </c>
      <c r="AV87" s="68">
        <v>0</v>
      </c>
      <c r="AW87" s="68">
        <v>0</v>
      </c>
      <c r="AX87" s="68">
        <v>0</v>
      </c>
      <c r="AY87" s="68">
        <v>0</v>
      </c>
      <c r="AZ87" s="68">
        <v>0</v>
      </c>
      <c r="BA87" s="68">
        <v>0</v>
      </c>
      <c r="BB87" s="68">
        <v>0</v>
      </c>
      <c r="BC87" s="68">
        <v>0</v>
      </c>
      <c r="BD87" s="68">
        <v>0</v>
      </c>
      <c r="BE87" s="68">
        <v>0</v>
      </c>
      <c r="BF87" s="68">
        <v>0</v>
      </c>
      <c r="BG87" s="68">
        <v>0</v>
      </c>
      <c r="BH87" s="68">
        <v>0</v>
      </c>
      <c r="BI87" s="68">
        <v>0</v>
      </c>
      <c r="BJ87" s="68">
        <v>0</v>
      </c>
      <c r="BK87" s="68">
        <v>0</v>
      </c>
      <c r="BL87" s="68">
        <v>0</v>
      </c>
      <c r="BM87" s="94">
        <v>0</v>
      </c>
      <c r="BN87" s="68">
        <v>0</v>
      </c>
      <c r="BO87" s="68">
        <v>0</v>
      </c>
      <c r="BP87" s="68">
        <v>0</v>
      </c>
      <c r="BQ87" s="68">
        <v>0</v>
      </c>
      <c r="BR87" s="68">
        <v>0</v>
      </c>
      <c r="BS87" s="68">
        <v>0</v>
      </c>
      <c r="BT87" s="68">
        <v>0</v>
      </c>
      <c r="BU87" s="68">
        <v>0</v>
      </c>
      <c r="BV87" s="68">
        <v>0</v>
      </c>
      <c r="BW87" s="68">
        <v>0</v>
      </c>
      <c r="BX87" s="68">
        <v>0</v>
      </c>
      <c r="BY87" s="67"/>
      <c r="BZ87" s="68"/>
      <c r="CA87" s="69"/>
      <c r="CB87" s="69"/>
      <c r="CC87" s="69"/>
      <c r="CD87" s="69"/>
      <c r="CE87" s="69"/>
      <c r="CF87" s="69"/>
      <c r="CG87" s="69"/>
      <c r="CH87" s="69"/>
      <c r="CI87" s="69"/>
      <c r="CJ87" s="69"/>
      <c r="CK87" s="69"/>
      <c r="CL87" s="69"/>
      <c r="CM87" s="69"/>
      <c r="CN87" s="69"/>
      <c r="CO87" s="69"/>
      <c r="CP87" s="69"/>
      <c r="CQ87" s="69"/>
      <c r="CR87" s="69"/>
      <c r="CS87" s="69"/>
      <c r="CT87" s="69"/>
      <c r="CU87" s="69"/>
      <c r="CV87" s="69"/>
      <c r="CW87" s="69"/>
      <c r="CX87" s="69"/>
      <c r="CY87" s="69"/>
      <c r="CZ87" s="69"/>
      <c r="DA87" s="69"/>
      <c r="DB87" s="69"/>
      <c r="DC87" s="69"/>
      <c r="DD87" s="69"/>
      <c r="DE87" s="69"/>
      <c r="DF87" s="69"/>
      <c r="DG87" s="69"/>
      <c r="DH87" s="69"/>
      <c r="DI87" s="69"/>
      <c r="DJ87" s="69"/>
      <c r="DK87" s="69"/>
      <c r="DL87" s="69"/>
      <c r="DM87" s="69"/>
      <c r="DN87" s="69"/>
      <c r="DO87" s="69"/>
      <c r="DP87" s="69"/>
      <c r="DQ87" s="69"/>
      <c r="DR87" s="69"/>
      <c r="DS87" s="69"/>
      <c r="DT87" s="69"/>
      <c r="DU87" s="69"/>
      <c r="DV87" s="69"/>
      <c r="DW87" s="69"/>
      <c r="DX87" s="69"/>
      <c r="DY87" s="69"/>
      <c r="DZ87" s="69"/>
      <c r="EA87" s="69"/>
      <c r="EB87" s="69"/>
      <c r="EC87" s="69"/>
      <c r="ED87" s="69"/>
      <c r="EE87" s="69"/>
      <c r="EF87" s="69"/>
      <c r="EG87" s="69"/>
      <c r="EH87" s="69"/>
      <c r="EI87" s="69"/>
      <c r="EJ87" s="69"/>
      <c r="EK87" s="69"/>
      <c r="EL87" s="69"/>
      <c r="EM87" s="69"/>
      <c r="EN87" s="69"/>
      <c r="EO87" s="69"/>
      <c r="EP87" s="69"/>
      <c r="EQ87" s="69"/>
      <c r="ER87" s="69"/>
      <c r="ES87" s="69"/>
      <c r="ET87" s="69"/>
      <c r="EU87" s="69"/>
      <c r="EV87" s="69"/>
      <c r="EW87" s="69"/>
      <c r="EX87" s="69"/>
      <c r="EY87" s="69"/>
      <c r="EZ87" s="69"/>
      <c r="FA87" s="69"/>
      <c r="FB87" s="69"/>
      <c r="FC87" s="69"/>
      <c r="FD87" s="69"/>
      <c r="FE87" s="69"/>
      <c r="FF87" s="69"/>
      <c r="FG87" s="69"/>
      <c r="FH87" s="69"/>
      <c r="FI87" s="69"/>
      <c r="FJ87" s="69"/>
      <c r="FK87" s="69"/>
      <c r="FL87" s="69"/>
      <c r="FM87" s="69"/>
      <c r="FN87" s="69"/>
      <c r="FO87" s="69"/>
      <c r="FP87" s="69"/>
      <c r="FQ87" s="69"/>
      <c r="FR87" s="69"/>
      <c r="FS87" s="69"/>
      <c r="FT87" s="69"/>
      <c r="FU87" s="69"/>
      <c r="FV87" s="69"/>
      <c r="FW87" s="69"/>
      <c r="FX87" s="69"/>
      <c r="FY87" s="69"/>
      <c r="FZ87" s="69"/>
      <c r="GA87" s="69"/>
      <c r="GB87" s="69"/>
      <c r="GC87" s="69"/>
      <c r="GD87" s="69"/>
      <c r="GE87" s="69"/>
      <c r="GF87" s="69"/>
      <c r="GG87" s="165"/>
    </row>
    <row r="88" spans="1:189" s="66" customFormat="1" x14ac:dyDescent="0.2">
      <c r="A88"/>
      <c r="B88" s="82">
        <v>42675</v>
      </c>
      <c r="C88" s="68">
        <v>0</v>
      </c>
      <c r="D88" s="68">
        <v>0</v>
      </c>
      <c r="E88" s="68">
        <v>0</v>
      </c>
      <c r="F88" s="68">
        <v>0</v>
      </c>
      <c r="G88" s="68">
        <v>0</v>
      </c>
      <c r="H88" s="68">
        <v>0</v>
      </c>
      <c r="I88" s="68">
        <v>0</v>
      </c>
      <c r="J88" s="68">
        <v>0</v>
      </c>
      <c r="K88" s="68">
        <v>0</v>
      </c>
      <c r="L88" s="68">
        <v>0</v>
      </c>
      <c r="M88" s="68">
        <v>0</v>
      </c>
      <c r="N88" s="68">
        <v>0</v>
      </c>
      <c r="O88" s="68">
        <v>0</v>
      </c>
      <c r="P88" s="68">
        <v>0</v>
      </c>
      <c r="Q88" s="68">
        <v>0</v>
      </c>
      <c r="R88" s="68">
        <v>0</v>
      </c>
      <c r="S88" s="68">
        <v>0</v>
      </c>
      <c r="T88" s="68">
        <v>0</v>
      </c>
      <c r="U88" s="68">
        <v>0</v>
      </c>
      <c r="V88" s="68">
        <v>0</v>
      </c>
      <c r="W88" s="68">
        <v>0</v>
      </c>
      <c r="X88" s="68">
        <v>0</v>
      </c>
      <c r="Y88" s="68">
        <v>0</v>
      </c>
      <c r="Z88" s="68">
        <v>0</v>
      </c>
      <c r="AA88" s="68">
        <v>0</v>
      </c>
      <c r="AB88" s="68">
        <v>0</v>
      </c>
      <c r="AC88" s="68">
        <v>0</v>
      </c>
      <c r="AD88" s="68">
        <v>0</v>
      </c>
      <c r="AE88" s="68">
        <v>0</v>
      </c>
      <c r="AF88" s="68">
        <v>0</v>
      </c>
      <c r="AG88" s="68">
        <v>0</v>
      </c>
      <c r="AH88" s="68">
        <v>0</v>
      </c>
      <c r="AI88" s="68">
        <v>0</v>
      </c>
      <c r="AJ88" s="68">
        <v>0</v>
      </c>
      <c r="AK88" s="68">
        <v>0</v>
      </c>
      <c r="AL88" s="68">
        <v>0</v>
      </c>
      <c r="AM88" s="68">
        <v>0</v>
      </c>
      <c r="AN88" s="68">
        <v>0</v>
      </c>
      <c r="AO88" s="68">
        <v>0</v>
      </c>
      <c r="AP88" s="68">
        <v>0</v>
      </c>
      <c r="AQ88" s="68">
        <v>0</v>
      </c>
      <c r="AR88" s="68">
        <v>0</v>
      </c>
      <c r="AS88" s="68">
        <v>0</v>
      </c>
      <c r="AT88" s="68">
        <v>0</v>
      </c>
      <c r="AU88" s="68">
        <v>0</v>
      </c>
      <c r="AV88" s="68">
        <v>0</v>
      </c>
      <c r="AW88" s="68">
        <v>0</v>
      </c>
      <c r="AX88" s="68">
        <v>0</v>
      </c>
      <c r="AY88" s="68">
        <v>0</v>
      </c>
      <c r="AZ88" s="68">
        <v>0</v>
      </c>
      <c r="BA88" s="68">
        <v>0</v>
      </c>
      <c r="BB88" s="68">
        <v>0</v>
      </c>
      <c r="BC88" s="68">
        <v>0</v>
      </c>
      <c r="BD88" s="68">
        <v>0</v>
      </c>
      <c r="BE88" s="68">
        <v>0</v>
      </c>
      <c r="BF88" s="68">
        <v>0</v>
      </c>
      <c r="BG88" s="68">
        <v>0</v>
      </c>
      <c r="BH88" s="68">
        <v>0</v>
      </c>
      <c r="BI88" s="68">
        <v>0</v>
      </c>
      <c r="BJ88" s="68">
        <v>0</v>
      </c>
      <c r="BK88" s="68">
        <v>0</v>
      </c>
      <c r="BL88" s="68">
        <v>0</v>
      </c>
      <c r="BM88" s="68">
        <v>0</v>
      </c>
      <c r="BN88" s="94">
        <v>0</v>
      </c>
      <c r="BO88" s="68">
        <v>0</v>
      </c>
      <c r="BP88" s="68">
        <v>0</v>
      </c>
      <c r="BQ88" s="68">
        <v>0</v>
      </c>
      <c r="BR88" s="68">
        <v>0</v>
      </c>
      <c r="BS88" s="68">
        <v>0</v>
      </c>
      <c r="BT88" s="68">
        <v>0</v>
      </c>
      <c r="BU88" s="68">
        <v>0</v>
      </c>
      <c r="BV88" s="68">
        <v>0</v>
      </c>
      <c r="BW88" s="68">
        <v>0</v>
      </c>
      <c r="BX88" s="68">
        <v>0</v>
      </c>
      <c r="BY88" s="68">
        <v>0</v>
      </c>
      <c r="BZ88" s="67"/>
      <c r="CA88" s="68"/>
      <c r="CB88" s="69"/>
      <c r="CC88" s="69"/>
      <c r="CD88" s="69"/>
      <c r="CE88" s="69"/>
      <c r="CF88" s="69"/>
      <c r="CG88" s="69"/>
      <c r="CH88" s="69"/>
      <c r="CI88" s="69"/>
      <c r="CJ88" s="69"/>
      <c r="CK88" s="69"/>
      <c r="CL88" s="69"/>
      <c r="CM88" s="69"/>
      <c r="CN88" s="69"/>
      <c r="CO88" s="69"/>
      <c r="CP88" s="69"/>
      <c r="CQ88" s="69"/>
      <c r="CR88" s="69"/>
      <c r="CS88" s="69"/>
      <c r="CT88" s="69"/>
      <c r="CU88" s="69"/>
      <c r="CV88" s="69"/>
      <c r="CW88" s="69"/>
      <c r="CX88" s="69"/>
      <c r="CY88" s="69"/>
      <c r="CZ88" s="69"/>
      <c r="DA88" s="69"/>
      <c r="DB88" s="69"/>
      <c r="DC88" s="69"/>
      <c r="DD88" s="69"/>
      <c r="DE88" s="69"/>
      <c r="DF88" s="69"/>
      <c r="DG88" s="69"/>
      <c r="DH88" s="69"/>
      <c r="DI88" s="69"/>
      <c r="DJ88" s="69"/>
      <c r="DK88" s="69"/>
      <c r="DL88" s="69"/>
      <c r="DM88" s="69"/>
      <c r="DN88" s="69"/>
      <c r="DO88" s="69"/>
      <c r="DP88" s="69"/>
      <c r="DQ88" s="69"/>
      <c r="DR88" s="69"/>
      <c r="DS88" s="69"/>
      <c r="DT88" s="69"/>
      <c r="DU88" s="69"/>
      <c r="DV88" s="69"/>
      <c r="DW88" s="69"/>
      <c r="DX88" s="69"/>
      <c r="DY88" s="69"/>
      <c r="DZ88" s="69"/>
      <c r="EA88" s="69"/>
      <c r="EB88" s="69"/>
      <c r="EC88" s="69"/>
      <c r="ED88" s="69"/>
      <c r="EE88" s="69"/>
      <c r="EF88" s="69"/>
      <c r="EG88" s="69"/>
      <c r="EH88" s="69"/>
      <c r="EI88" s="69"/>
      <c r="EJ88" s="69"/>
      <c r="EK88" s="69"/>
      <c r="EL88" s="69"/>
      <c r="EM88" s="69"/>
      <c r="EN88" s="69"/>
      <c r="EO88" s="69"/>
      <c r="EP88" s="69"/>
      <c r="EQ88" s="69"/>
      <c r="ER88" s="69"/>
      <c r="ES88" s="69"/>
      <c r="ET88" s="69"/>
      <c r="EU88" s="69"/>
      <c r="EV88" s="69"/>
      <c r="EW88" s="69"/>
      <c r="EX88" s="69"/>
      <c r="EY88" s="69"/>
      <c r="EZ88" s="69"/>
      <c r="FA88" s="69"/>
      <c r="FB88" s="69"/>
      <c r="FC88" s="69"/>
      <c r="FD88" s="69"/>
      <c r="FE88" s="69"/>
      <c r="FF88" s="69"/>
      <c r="FG88" s="69"/>
      <c r="FH88" s="69"/>
      <c r="FI88" s="69"/>
      <c r="FJ88" s="69"/>
      <c r="FK88" s="69"/>
      <c r="FL88" s="69"/>
      <c r="FM88" s="69"/>
      <c r="FN88" s="69"/>
      <c r="FO88" s="69"/>
      <c r="FP88" s="69"/>
      <c r="FQ88" s="69"/>
      <c r="FR88" s="69"/>
      <c r="FS88" s="69"/>
      <c r="FT88" s="69"/>
      <c r="FU88" s="69"/>
      <c r="FV88" s="69"/>
      <c r="FW88" s="69"/>
      <c r="FX88" s="69"/>
      <c r="FY88" s="69"/>
      <c r="FZ88" s="69"/>
      <c r="GA88" s="69"/>
      <c r="GB88" s="69"/>
      <c r="GC88" s="69"/>
      <c r="GD88" s="69"/>
      <c r="GE88" s="69"/>
      <c r="GF88" s="69"/>
      <c r="GG88" s="165"/>
    </row>
    <row r="89" spans="1:189" s="66" customFormat="1" x14ac:dyDescent="0.2">
      <c r="A89"/>
      <c r="B89" s="82">
        <v>42705</v>
      </c>
      <c r="C89" s="68">
        <v>0</v>
      </c>
      <c r="D89" s="68">
        <v>0</v>
      </c>
      <c r="E89" s="68">
        <v>0</v>
      </c>
      <c r="F89" s="68">
        <v>0</v>
      </c>
      <c r="G89" s="68">
        <v>0</v>
      </c>
      <c r="H89" s="68">
        <v>0</v>
      </c>
      <c r="I89" s="68">
        <v>0</v>
      </c>
      <c r="J89" s="68">
        <v>0</v>
      </c>
      <c r="K89" s="68">
        <v>0</v>
      </c>
      <c r="L89" s="68">
        <v>0</v>
      </c>
      <c r="M89" s="68">
        <v>0</v>
      </c>
      <c r="N89" s="68">
        <v>0</v>
      </c>
      <c r="O89" s="68">
        <v>0</v>
      </c>
      <c r="P89" s="68">
        <v>0</v>
      </c>
      <c r="Q89" s="68">
        <v>0</v>
      </c>
      <c r="R89" s="68">
        <v>0</v>
      </c>
      <c r="S89" s="68">
        <v>0</v>
      </c>
      <c r="T89" s="68">
        <v>0</v>
      </c>
      <c r="U89" s="68">
        <v>0</v>
      </c>
      <c r="V89" s="68">
        <v>0</v>
      </c>
      <c r="W89" s="68">
        <v>0</v>
      </c>
      <c r="X89" s="68">
        <v>0</v>
      </c>
      <c r="Y89" s="68">
        <v>0</v>
      </c>
      <c r="Z89" s="68">
        <v>0</v>
      </c>
      <c r="AA89" s="68">
        <v>0</v>
      </c>
      <c r="AB89" s="68">
        <v>0</v>
      </c>
      <c r="AC89" s="68">
        <v>0</v>
      </c>
      <c r="AD89" s="68">
        <v>0</v>
      </c>
      <c r="AE89" s="68">
        <v>0</v>
      </c>
      <c r="AF89" s="68">
        <v>0</v>
      </c>
      <c r="AG89" s="68">
        <v>0</v>
      </c>
      <c r="AH89" s="68">
        <v>0</v>
      </c>
      <c r="AI89" s="68">
        <v>0</v>
      </c>
      <c r="AJ89" s="68">
        <v>0</v>
      </c>
      <c r="AK89" s="68">
        <v>0</v>
      </c>
      <c r="AL89" s="68">
        <v>0</v>
      </c>
      <c r="AM89" s="68">
        <v>0</v>
      </c>
      <c r="AN89" s="68">
        <v>0</v>
      </c>
      <c r="AO89" s="68">
        <v>0</v>
      </c>
      <c r="AP89" s="68">
        <v>0</v>
      </c>
      <c r="AQ89" s="68">
        <v>0</v>
      </c>
      <c r="AR89" s="68">
        <v>0</v>
      </c>
      <c r="AS89" s="68">
        <v>0</v>
      </c>
      <c r="AT89" s="68">
        <v>0</v>
      </c>
      <c r="AU89" s="68">
        <v>0</v>
      </c>
      <c r="AV89" s="68">
        <v>0</v>
      </c>
      <c r="AW89" s="68">
        <v>0</v>
      </c>
      <c r="AX89" s="68">
        <v>0</v>
      </c>
      <c r="AY89" s="68">
        <v>0</v>
      </c>
      <c r="AZ89" s="68">
        <v>0</v>
      </c>
      <c r="BA89" s="68">
        <v>0</v>
      </c>
      <c r="BB89" s="68">
        <v>0</v>
      </c>
      <c r="BC89" s="68">
        <v>0</v>
      </c>
      <c r="BD89" s="68">
        <v>0</v>
      </c>
      <c r="BE89" s="68">
        <v>0</v>
      </c>
      <c r="BF89" s="68">
        <v>0</v>
      </c>
      <c r="BG89" s="68">
        <v>0</v>
      </c>
      <c r="BH89" s="68">
        <v>0</v>
      </c>
      <c r="BI89" s="68">
        <v>0</v>
      </c>
      <c r="BJ89" s="68">
        <v>0</v>
      </c>
      <c r="BK89" s="68">
        <v>0</v>
      </c>
      <c r="BL89" s="68">
        <v>0</v>
      </c>
      <c r="BM89" s="68">
        <v>0</v>
      </c>
      <c r="BN89" s="68">
        <v>0</v>
      </c>
      <c r="BO89" s="94">
        <v>0</v>
      </c>
      <c r="BP89" s="68">
        <v>0</v>
      </c>
      <c r="BQ89" s="68">
        <v>0</v>
      </c>
      <c r="BR89" s="68">
        <v>0</v>
      </c>
      <c r="BS89" s="68">
        <v>0</v>
      </c>
      <c r="BT89" s="68">
        <v>0</v>
      </c>
      <c r="BU89" s="68">
        <v>0</v>
      </c>
      <c r="BV89" s="68">
        <v>0</v>
      </c>
      <c r="BW89" s="68">
        <v>0</v>
      </c>
      <c r="BX89" s="68">
        <v>0</v>
      </c>
      <c r="BY89" s="68">
        <v>0</v>
      </c>
      <c r="BZ89" s="68">
        <v>0</v>
      </c>
      <c r="CA89" s="67"/>
      <c r="CB89" s="68"/>
      <c r="CC89" s="69"/>
      <c r="CD89" s="69"/>
      <c r="CE89" s="69"/>
      <c r="CF89" s="69"/>
      <c r="CG89" s="69"/>
      <c r="CH89" s="69"/>
      <c r="CI89" s="69"/>
      <c r="CJ89" s="69"/>
      <c r="CK89" s="69"/>
      <c r="CL89" s="69"/>
      <c r="CM89" s="69"/>
      <c r="CN89" s="69"/>
      <c r="CO89" s="69"/>
      <c r="CP89" s="69"/>
      <c r="CQ89" s="69"/>
      <c r="CR89" s="69"/>
      <c r="CS89" s="69"/>
      <c r="CT89" s="69"/>
      <c r="CU89" s="69"/>
      <c r="CV89" s="69"/>
      <c r="CW89" s="69"/>
      <c r="CX89" s="69"/>
      <c r="CY89" s="69"/>
      <c r="CZ89" s="69"/>
      <c r="DA89" s="69"/>
      <c r="DB89" s="69"/>
      <c r="DC89" s="69"/>
      <c r="DD89" s="69"/>
      <c r="DE89" s="69"/>
      <c r="DF89" s="69"/>
      <c r="DG89" s="69"/>
      <c r="DH89" s="69"/>
      <c r="DI89" s="69"/>
      <c r="DJ89" s="69"/>
      <c r="DK89" s="69"/>
      <c r="DL89" s="69"/>
      <c r="DM89" s="69"/>
      <c r="DN89" s="69"/>
      <c r="DO89" s="69"/>
      <c r="DP89" s="69"/>
      <c r="DQ89" s="69"/>
      <c r="DR89" s="69"/>
      <c r="DS89" s="69"/>
      <c r="DT89" s="69"/>
      <c r="DU89" s="69"/>
      <c r="DV89" s="69"/>
      <c r="DW89" s="69"/>
      <c r="DX89" s="69"/>
      <c r="DY89" s="69"/>
      <c r="DZ89" s="69"/>
      <c r="EA89" s="69"/>
      <c r="EB89" s="69"/>
      <c r="EC89" s="69"/>
      <c r="ED89" s="69"/>
      <c r="EE89" s="69"/>
      <c r="EF89" s="69"/>
      <c r="EG89" s="69"/>
      <c r="EH89" s="69"/>
      <c r="EI89" s="69"/>
      <c r="EJ89" s="69"/>
      <c r="EK89" s="69"/>
      <c r="EL89" s="69"/>
      <c r="EM89" s="69"/>
      <c r="EN89" s="69"/>
      <c r="EO89" s="69"/>
      <c r="EP89" s="69"/>
      <c r="EQ89" s="69"/>
      <c r="ER89" s="69"/>
      <c r="ES89" s="69"/>
      <c r="ET89" s="69"/>
      <c r="EU89" s="69"/>
      <c r="EV89" s="69"/>
      <c r="EW89" s="69"/>
      <c r="EX89" s="69"/>
      <c r="EY89" s="69"/>
      <c r="EZ89" s="69"/>
      <c r="FA89" s="69"/>
      <c r="FB89" s="69"/>
      <c r="FC89" s="69"/>
      <c r="FD89" s="69"/>
      <c r="FE89" s="69"/>
      <c r="FF89" s="69"/>
      <c r="FG89" s="69"/>
      <c r="FH89" s="69"/>
      <c r="FI89" s="69"/>
      <c r="FJ89" s="69"/>
      <c r="FK89" s="69"/>
      <c r="FL89" s="69"/>
      <c r="FM89" s="69"/>
      <c r="FN89" s="69"/>
      <c r="FO89" s="69"/>
      <c r="FP89" s="69"/>
      <c r="FQ89" s="69"/>
      <c r="FR89" s="69"/>
      <c r="FS89" s="69"/>
      <c r="FT89" s="69"/>
      <c r="FU89" s="69"/>
      <c r="FV89" s="69"/>
      <c r="FW89" s="69"/>
      <c r="FX89" s="69"/>
      <c r="FY89" s="69"/>
      <c r="FZ89" s="69"/>
      <c r="GA89" s="69"/>
      <c r="GB89" s="69"/>
      <c r="GC89" s="69"/>
      <c r="GD89" s="69"/>
      <c r="GE89" s="69"/>
      <c r="GF89" s="69"/>
      <c r="GG89" s="165"/>
    </row>
    <row r="90" spans="1:189" s="66" customFormat="1" x14ac:dyDescent="0.2">
      <c r="A90"/>
      <c r="B90" s="82">
        <v>42736</v>
      </c>
      <c r="C90" s="68">
        <v>0</v>
      </c>
      <c r="D90" s="68">
        <v>0</v>
      </c>
      <c r="E90" s="68">
        <v>0</v>
      </c>
      <c r="F90" s="68">
        <v>0</v>
      </c>
      <c r="G90" s="68">
        <v>0</v>
      </c>
      <c r="H90" s="68">
        <v>0</v>
      </c>
      <c r="I90" s="68">
        <v>0</v>
      </c>
      <c r="J90" s="68">
        <v>0</v>
      </c>
      <c r="K90" s="68">
        <v>0</v>
      </c>
      <c r="L90" s="68">
        <v>0</v>
      </c>
      <c r="M90" s="68">
        <v>0</v>
      </c>
      <c r="N90" s="68">
        <v>0</v>
      </c>
      <c r="O90" s="68">
        <v>0</v>
      </c>
      <c r="P90" s="68">
        <v>0</v>
      </c>
      <c r="Q90" s="68">
        <v>0</v>
      </c>
      <c r="R90" s="68">
        <v>0</v>
      </c>
      <c r="S90" s="68">
        <v>0</v>
      </c>
      <c r="T90" s="68">
        <v>0</v>
      </c>
      <c r="U90" s="68">
        <v>0</v>
      </c>
      <c r="V90" s="68">
        <v>0</v>
      </c>
      <c r="W90" s="68">
        <v>0</v>
      </c>
      <c r="X90" s="68">
        <v>0</v>
      </c>
      <c r="Y90" s="68">
        <v>0</v>
      </c>
      <c r="Z90" s="68">
        <v>0</v>
      </c>
      <c r="AA90" s="68">
        <v>0</v>
      </c>
      <c r="AB90" s="68">
        <v>0</v>
      </c>
      <c r="AC90" s="68">
        <v>0</v>
      </c>
      <c r="AD90" s="68">
        <v>0</v>
      </c>
      <c r="AE90" s="68">
        <v>0</v>
      </c>
      <c r="AF90" s="68">
        <v>0</v>
      </c>
      <c r="AG90" s="68">
        <v>0</v>
      </c>
      <c r="AH90" s="68">
        <v>0</v>
      </c>
      <c r="AI90" s="68">
        <v>0</v>
      </c>
      <c r="AJ90" s="68">
        <v>0</v>
      </c>
      <c r="AK90" s="68">
        <v>0</v>
      </c>
      <c r="AL90" s="68">
        <v>0</v>
      </c>
      <c r="AM90" s="68">
        <v>0</v>
      </c>
      <c r="AN90" s="68">
        <v>0</v>
      </c>
      <c r="AO90" s="68">
        <v>0</v>
      </c>
      <c r="AP90" s="68">
        <v>0</v>
      </c>
      <c r="AQ90" s="68">
        <v>0</v>
      </c>
      <c r="AR90" s="68">
        <v>0</v>
      </c>
      <c r="AS90" s="68">
        <v>0</v>
      </c>
      <c r="AT90" s="68">
        <v>0</v>
      </c>
      <c r="AU90" s="68">
        <v>0</v>
      </c>
      <c r="AV90" s="68">
        <v>0</v>
      </c>
      <c r="AW90" s="68">
        <v>0</v>
      </c>
      <c r="AX90" s="68">
        <v>0</v>
      </c>
      <c r="AY90" s="68">
        <v>0</v>
      </c>
      <c r="AZ90" s="68">
        <v>0</v>
      </c>
      <c r="BA90" s="68">
        <v>0</v>
      </c>
      <c r="BB90" s="68">
        <v>0</v>
      </c>
      <c r="BC90" s="68">
        <v>0</v>
      </c>
      <c r="BD90" s="68">
        <v>0</v>
      </c>
      <c r="BE90" s="68">
        <v>0</v>
      </c>
      <c r="BF90" s="68">
        <v>0</v>
      </c>
      <c r="BG90" s="68">
        <v>0</v>
      </c>
      <c r="BH90" s="68">
        <v>0</v>
      </c>
      <c r="BI90" s="68">
        <v>0</v>
      </c>
      <c r="BJ90" s="68">
        <v>0</v>
      </c>
      <c r="BK90" s="68">
        <v>0</v>
      </c>
      <c r="BL90" s="68">
        <v>0</v>
      </c>
      <c r="BM90" s="68">
        <v>0</v>
      </c>
      <c r="BN90" s="68">
        <v>0</v>
      </c>
      <c r="BO90" s="68">
        <v>0</v>
      </c>
      <c r="BP90" s="94">
        <v>0</v>
      </c>
      <c r="BQ90" s="68">
        <v>0</v>
      </c>
      <c r="BR90" s="68">
        <v>0</v>
      </c>
      <c r="BS90" s="68">
        <v>0</v>
      </c>
      <c r="BT90" s="68">
        <v>0</v>
      </c>
      <c r="BU90" s="68">
        <v>0</v>
      </c>
      <c r="BV90" s="68">
        <v>0</v>
      </c>
      <c r="BW90" s="68">
        <v>0</v>
      </c>
      <c r="BX90" s="68">
        <v>0</v>
      </c>
      <c r="BY90" s="68">
        <v>0</v>
      </c>
      <c r="BZ90" s="68">
        <v>0</v>
      </c>
      <c r="CA90" s="68">
        <v>0</v>
      </c>
      <c r="CB90" s="67"/>
      <c r="CC90" s="68"/>
      <c r="CD90" s="69"/>
      <c r="CE90" s="69"/>
      <c r="CF90" s="69"/>
      <c r="CG90" s="69"/>
      <c r="CH90" s="69"/>
      <c r="CI90" s="69"/>
      <c r="CJ90" s="69"/>
      <c r="CK90" s="69"/>
      <c r="CL90" s="69"/>
      <c r="CM90" s="69"/>
      <c r="CN90" s="69"/>
      <c r="CO90" s="69"/>
      <c r="CP90" s="69"/>
      <c r="CQ90" s="69"/>
      <c r="CR90" s="69"/>
      <c r="CS90" s="69"/>
      <c r="CT90" s="69"/>
      <c r="CU90" s="69"/>
      <c r="CV90" s="69"/>
      <c r="CW90" s="69"/>
      <c r="CX90" s="69"/>
      <c r="CY90" s="69"/>
      <c r="CZ90" s="69"/>
      <c r="DA90" s="69"/>
      <c r="DB90" s="69"/>
      <c r="DC90" s="69"/>
      <c r="DD90" s="69"/>
      <c r="DE90" s="69"/>
      <c r="DF90" s="69"/>
      <c r="DG90" s="69"/>
      <c r="DH90" s="69"/>
      <c r="DI90" s="69"/>
      <c r="DJ90" s="69"/>
      <c r="DK90" s="69"/>
      <c r="DL90" s="69"/>
      <c r="DM90" s="69"/>
      <c r="DN90" s="69"/>
      <c r="DO90" s="69"/>
      <c r="DP90" s="69"/>
      <c r="DQ90" s="69"/>
      <c r="DR90" s="69"/>
      <c r="DS90" s="69"/>
      <c r="DT90" s="69"/>
      <c r="DU90" s="69"/>
      <c r="DV90" s="69"/>
      <c r="DW90" s="69"/>
      <c r="DX90" s="69"/>
      <c r="DY90" s="69"/>
      <c r="DZ90" s="69"/>
      <c r="EA90" s="69"/>
      <c r="EB90" s="69"/>
      <c r="EC90" s="69"/>
      <c r="ED90" s="69"/>
      <c r="EE90" s="69"/>
      <c r="EF90" s="69"/>
      <c r="EG90" s="69"/>
      <c r="EH90" s="69"/>
      <c r="EI90" s="69"/>
      <c r="EJ90" s="69"/>
      <c r="EK90" s="69"/>
      <c r="EL90" s="69"/>
      <c r="EM90" s="69"/>
      <c r="EN90" s="69"/>
      <c r="EO90" s="69"/>
      <c r="EP90" s="69"/>
      <c r="EQ90" s="69"/>
      <c r="ER90" s="69"/>
      <c r="ES90" s="69"/>
      <c r="ET90" s="69"/>
      <c r="EU90" s="69"/>
      <c r="EV90" s="69"/>
      <c r="EW90" s="69"/>
      <c r="EX90" s="69"/>
      <c r="EY90" s="69"/>
      <c r="EZ90" s="69"/>
      <c r="FA90" s="69"/>
      <c r="FB90" s="69"/>
      <c r="FC90" s="69"/>
      <c r="FD90" s="69"/>
      <c r="FE90" s="69"/>
      <c r="FF90" s="69"/>
      <c r="FG90" s="69"/>
      <c r="FH90" s="69"/>
      <c r="FI90" s="69"/>
      <c r="FJ90" s="69"/>
      <c r="FK90" s="69"/>
      <c r="FL90" s="69"/>
      <c r="FM90" s="69"/>
      <c r="FN90" s="69"/>
      <c r="FO90" s="69"/>
      <c r="FP90" s="69"/>
      <c r="FQ90" s="69"/>
      <c r="FR90" s="69"/>
      <c r="FS90" s="69"/>
      <c r="FT90" s="69"/>
      <c r="FU90" s="69"/>
      <c r="FV90" s="69"/>
      <c r="FW90" s="69"/>
      <c r="FX90" s="69"/>
      <c r="FY90" s="69"/>
      <c r="FZ90" s="69"/>
      <c r="GA90" s="69"/>
      <c r="GB90" s="69"/>
      <c r="GC90" s="69"/>
      <c r="GD90" s="69"/>
      <c r="GE90" s="69"/>
      <c r="GF90" s="69"/>
      <c r="GG90" s="165"/>
    </row>
    <row r="91" spans="1:189" s="66" customFormat="1" x14ac:dyDescent="0.2">
      <c r="A91"/>
      <c r="B91" s="82">
        <v>42767</v>
      </c>
      <c r="C91" s="68">
        <v>0</v>
      </c>
      <c r="D91" s="68">
        <v>0</v>
      </c>
      <c r="E91" s="68">
        <v>0</v>
      </c>
      <c r="F91" s="68">
        <v>0</v>
      </c>
      <c r="G91" s="68">
        <v>0</v>
      </c>
      <c r="H91" s="68">
        <v>0</v>
      </c>
      <c r="I91" s="68">
        <v>0</v>
      </c>
      <c r="J91" s="68">
        <v>0</v>
      </c>
      <c r="K91" s="68">
        <v>0</v>
      </c>
      <c r="L91" s="68">
        <v>0</v>
      </c>
      <c r="M91" s="68">
        <v>0</v>
      </c>
      <c r="N91" s="68">
        <v>0</v>
      </c>
      <c r="O91" s="68">
        <v>0</v>
      </c>
      <c r="P91" s="68">
        <v>0</v>
      </c>
      <c r="Q91" s="68">
        <v>0</v>
      </c>
      <c r="R91" s="68">
        <v>0</v>
      </c>
      <c r="S91" s="68">
        <v>0</v>
      </c>
      <c r="T91" s="68">
        <v>0</v>
      </c>
      <c r="U91" s="68">
        <v>0</v>
      </c>
      <c r="V91" s="68">
        <v>0</v>
      </c>
      <c r="W91" s="68">
        <v>0</v>
      </c>
      <c r="X91" s="68">
        <v>0</v>
      </c>
      <c r="Y91" s="68">
        <v>0</v>
      </c>
      <c r="Z91" s="68">
        <v>0</v>
      </c>
      <c r="AA91" s="68">
        <v>0</v>
      </c>
      <c r="AB91" s="68">
        <v>0</v>
      </c>
      <c r="AC91" s="68">
        <v>0</v>
      </c>
      <c r="AD91" s="68">
        <v>0</v>
      </c>
      <c r="AE91" s="68">
        <v>0</v>
      </c>
      <c r="AF91" s="68">
        <v>0</v>
      </c>
      <c r="AG91" s="68">
        <v>0</v>
      </c>
      <c r="AH91" s="68">
        <v>0</v>
      </c>
      <c r="AI91" s="68">
        <v>0</v>
      </c>
      <c r="AJ91" s="68">
        <v>0</v>
      </c>
      <c r="AK91" s="68">
        <v>0</v>
      </c>
      <c r="AL91" s="68">
        <v>0</v>
      </c>
      <c r="AM91" s="68">
        <v>0</v>
      </c>
      <c r="AN91" s="68">
        <v>0</v>
      </c>
      <c r="AO91" s="68">
        <v>0</v>
      </c>
      <c r="AP91" s="68">
        <v>0</v>
      </c>
      <c r="AQ91" s="68">
        <v>0</v>
      </c>
      <c r="AR91" s="68">
        <v>0</v>
      </c>
      <c r="AS91" s="68">
        <v>0</v>
      </c>
      <c r="AT91" s="68">
        <v>0</v>
      </c>
      <c r="AU91" s="68">
        <v>0</v>
      </c>
      <c r="AV91" s="68">
        <v>0</v>
      </c>
      <c r="AW91" s="68">
        <v>0</v>
      </c>
      <c r="AX91" s="68">
        <v>0</v>
      </c>
      <c r="AY91" s="68">
        <v>0</v>
      </c>
      <c r="AZ91" s="68">
        <v>0</v>
      </c>
      <c r="BA91" s="68">
        <v>0</v>
      </c>
      <c r="BB91" s="68">
        <v>0</v>
      </c>
      <c r="BC91" s="68">
        <v>0</v>
      </c>
      <c r="BD91" s="68">
        <v>0</v>
      </c>
      <c r="BE91" s="68">
        <v>0</v>
      </c>
      <c r="BF91" s="68">
        <v>0</v>
      </c>
      <c r="BG91" s="68">
        <v>0</v>
      </c>
      <c r="BH91" s="68">
        <v>0</v>
      </c>
      <c r="BI91" s="68">
        <v>0</v>
      </c>
      <c r="BJ91" s="68">
        <v>0</v>
      </c>
      <c r="BK91" s="68">
        <v>0</v>
      </c>
      <c r="BL91" s="68">
        <v>0</v>
      </c>
      <c r="BM91" s="68">
        <v>0</v>
      </c>
      <c r="BN91" s="68">
        <v>0</v>
      </c>
      <c r="BO91" s="68">
        <v>0</v>
      </c>
      <c r="BP91" s="68">
        <v>0</v>
      </c>
      <c r="BQ91" s="94">
        <v>0</v>
      </c>
      <c r="BR91" s="68">
        <v>0</v>
      </c>
      <c r="BS91" s="68">
        <v>0</v>
      </c>
      <c r="BT91" s="68">
        <v>0</v>
      </c>
      <c r="BU91" s="68">
        <v>0</v>
      </c>
      <c r="BV91" s="68">
        <v>0</v>
      </c>
      <c r="BW91" s="68">
        <v>0</v>
      </c>
      <c r="BX91" s="68">
        <v>0</v>
      </c>
      <c r="BY91" s="68">
        <v>0</v>
      </c>
      <c r="BZ91" s="68">
        <v>0</v>
      </c>
      <c r="CA91" s="68">
        <v>0</v>
      </c>
      <c r="CB91" s="68">
        <v>0</v>
      </c>
      <c r="CC91" s="67"/>
      <c r="CD91" s="68"/>
      <c r="CE91" s="69"/>
      <c r="CF91" s="69"/>
      <c r="CG91" s="69"/>
      <c r="CH91" s="69"/>
      <c r="CI91" s="69"/>
      <c r="CJ91" s="69"/>
      <c r="CK91" s="69"/>
      <c r="CL91" s="69"/>
      <c r="CM91" s="69"/>
      <c r="CN91" s="69"/>
      <c r="CO91" s="69"/>
      <c r="CP91" s="69"/>
      <c r="CQ91" s="69"/>
      <c r="CR91" s="69"/>
      <c r="CS91" s="69"/>
      <c r="CT91" s="69"/>
      <c r="CU91" s="69"/>
      <c r="CV91" s="69"/>
      <c r="CW91" s="69"/>
      <c r="CX91" s="69"/>
      <c r="CY91" s="69"/>
      <c r="CZ91" s="69"/>
      <c r="DA91" s="69"/>
      <c r="DB91" s="69"/>
      <c r="DC91" s="69"/>
      <c r="DD91" s="69"/>
      <c r="DE91" s="69"/>
      <c r="DF91" s="69"/>
      <c r="DG91" s="69"/>
      <c r="DH91" s="69"/>
      <c r="DI91" s="69"/>
      <c r="DJ91" s="69"/>
      <c r="DK91" s="69"/>
      <c r="DL91" s="69"/>
      <c r="DM91" s="69"/>
      <c r="DN91" s="69"/>
      <c r="DO91" s="69"/>
      <c r="DP91" s="69"/>
      <c r="DQ91" s="69"/>
      <c r="DR91" s="69"/>
      <c r="DS91" s="69"/>
      <c r="DT91" s="69"/>
      <c r="DU91" s="69"/>
      <c r="DV91" s="69"/>
      <c r="DW91" s="69"/>
      <c r="DX91" s="69"/>
      <c r="DY91" s="69"/>
      <c r="DZ91" s="69"/>
      <c r="EA91" s="69"/>
      <c r="EB91" s="69"/>
      <c r="EC91" s="69"/>
      <c r="ED91" s="69"/>
      <c r="EE91" s="69"/>
      <c r="EF91" s="69"/>
      <c r="EG91" s="69"/>
      <c r="EH91" s="69"/>
      <c r="EI91" s="69"/>
      <c r="EJ91" s="69"/>
      <c r="EK91" s="69"/>
      <c r="EL91" s="69"/>
      <c r="EM91" s="69"/>
      <c r="EN91" s="69"/>
      <c r="EO91" s="69"/>
      <c r="EP91" s="69"/>
      <c r="EQ91" s="69"/>
      <c r="ER91" s="69"/>
      <c r="ES91" s="69"/>
      <c r="ET91" s="69"/>
      <c r="EU91" s="69"/>
      <c r="EV91" s="69"/>
      <c r="EW91" s="69"/>
      <c r="EX91" s="69"/>
      <c r="EY91" s="69"/>
      <c r="EZ91" s="69"/>
      <c r="FA91" s="69"/>
      <c r="FB91" s="69"/>
      <c r="FC91" s="69"/>
      <c r="FD91" s="69"/>
      <c r="FE91" s="69"/>
      <c r="FF91" s="69"/>
      <c r="FG91" s="69"/>
      <c r="FH91" s="69"/>
      <c r="FI91" s="69"/>
      <c r="FJ91" s="69"/>
      <c r="FK91" s="69"/>
      <c r="FL91" s="69"/>
      <c r="FM91" s="69"/>
      <c r="FN91" s="69"/>
      <c r="FO91" s="69"/>
      <c r="FP91" s="69"/>
      <c r="FQ91" s="69"/>
      <c r="FR91" s="69"/>
      <c r="FS91" s="69"/>
      <c r="FT91" s="69"/>
      <c r="FU91" s="69"/>
      <c r="FV91" s="69"/>
      <c r="FW91" s="69"/>
      <c r="FX91" s="69"/>
      <c r="FY91" s="69"/>
      <c r="FZ91" s="69"/>
      <c r="GA91" s="69"/>
      <c r="GB91" s="69"/>
      <c r="GC91" s="69"/>
      <c r="GD91" s="69"/>
      <c r="GE91" s="69"/>
      <c r="GF91" s="69"/>
      <c r="GG91" s="165"/>
    </row>
    <row r="92" spans="1:189" s="66" customFormat="1" x14ac:dyDescent="0.2">
      <c r="A92"/>
      <c r="B92" s="82">
        <v>42795</v>
      </c>
      <c r="C92" s="68">
        <v>0</v>
      </c>
      <c r="D92" s="68">
        <v>0</v>
      </c>
      <c r="E92" s="68">
        <v>0</v>
      </c>
      <c r="F92" s="68">
        <v>0</v>
      </c>
      <c r="G92" s="68">
        <v>0</v>
      </c>
      <c r="H92" s="68">
        <v>0</v>
      </c>
      <c r="I92" s="68">
        <v>0</v>
      </c>
      <c r="J92" s="68">
        <v>0</v>
      </c>
      <c r="K92" s="68">
        <v>0</v>
      </c>
      <c r="L92" s="68">
        <v>0</v>
      </c>
      <c r="M92" s="68">
        <v>0</v>
      </c>
      <c r="N92" s="68">
        <v>0</v>
      </c>
      <c r="O92" s="68">
        <v>0</v>
      </c>
      <c r="P92" s="68">
        <v>0</v>
      </c>
      <c r="Q92" s="68">
        <v>0</v>
      </c>
      <c r="R92" s="68">
        <v>0</v>
      </c>
      <c r="S92" s="68">
        <v>0</v>
      </c>
      <c r="T92" s="68">
        <v>0</v>
      </c>
      <c r="U92" s="68">
        <v>0</v>
      </c>
      <c r="V92" s="68">
        <v>0</v>
      </c>
      <c r="W92" s="68">
        <v>0</v>
      </c>
      <c r="X92" s="68">
        <v>0</v>
      </c>
      <c r="Y92" s="68">
        <v>0</v>
      </c>
      <c r="Z92" s="68">
        <v>0</v>
      </c>
      <c r="AA92" s="68">
        <v>0</v>
      </c>
      <c r="AB92" s="68">
        <v>0</v>
      </c>
      <c r="AC92" s="68">
        <v>0</v>
      </c>
      <c r="AD92" s="68">
        <v>0</v>
      </c>
      <c r="AE92" s="68">
        <v>0</v>
      </c>
      <c r="AF92" s="68">
        <v>0</v>
      </c>
      <c r="AG92" s="68">
        <v>0</v>
      </c>
      <c r="AH92" s="68">
        <v>0</v>
      </c>
      <c r="AI92" s="68">
        <v>0</v>
      </c>
      <c r="AJ92" s="68">
        <v>0</v>
      </c>
      <c r="AK92" s="68">
        <v>0</v>
      </c>
      <c r="AL92" s="68">
        <v>0</v>
      </c>
      <c r="AM92" s="68">
        <v>0</v>
      </c>
      <c r="AN92" s="68">
        <v>0</v>
      </c>
      <c r="AO92" s="68">
        <v>0</v>
      </c>
      <c r="AP92" s="68">
        <v>0</v>
      </c>
      <c r="AQ92" s="68">
        <v>0</v>
      </c>
      <c r="AR92" s="68">
        <v>0</v>
      </c>
      <c r="AS92" s="68">
        <v>0</v>
      </c>
      <c r="AT92" s="68">
        <v>0</v>
      </c>
      <c r="AU92" s="68">
        <v>0</v>
      </c>
      <c r="AV92" s="68">
        <v>0</v>
      </c>
      <c r="AW92" s="68">
        <v>0</v>
      </c>
      <c r="AX92" s="68">
        <v>0</v>
      </c>
      <c r="AY92" s="68">
        <v>0</v>
      </c>
      <c r="AZ92" s="68">
        <v>0</v>
      </c>
      <c r="BA92" s="68">
        <v>0</v>
      </c>
      <c r="BB92" s="68">
        <v>0</v>
      </c>
      <c r="BC92" s="68">
        <v>0</v>
      </c>
      <c r="BD92" s="68">
        <v>0</v>
      </c>
      <c r="BE92" s="68">
        <v>0</v>
      </c>
      <c r="BF92" s="68">
        <v>0</v>
      </c>
      <c r="BG92" s="68">
        <v>0</v>
      </c>
      <c r="BH92" s="68">
        <v>0</v>
      </c>
      <c r="BI92" s="68">
        <v>0</v>
      </c>
      <c r="BJ92" s="68">
        <v>0</v>
      </c>
      <c r="BK92" s="68">
        <v>0</v>
      </c>
      <c r="BL92" s="68">
        <v>0</v>
      </c>
      <c r="BM92" s="68">
        <v>0</v>
      </c>
      <c r="BN92" s="68">
        <v>0</v>
      </c>
      <c r="BO92" s="68">
        <v>0</v>
      </c>
      <c r="BP92" s="68">
        <v>0</v>
      </c>
      <c r="BQ92" s="68">
        <v>0</v>
      </c>
      <c r="BR92" s="94">
        <v>0</v>
      </c>
      <c r="BS92" s="68">
        <v>0</v>
      </c>
      <c r="BT92" s="68">
        <v>0</v>
      </c>
      <c r="BU92" s="68">
        <v>0</v>
      </c>
      <c r="BV92" s="68">
        <v>0</v>
      </c>
      <c r="BW92" s="68">
        <v>0</v>
      </c>
      <c r="BX92" s="68">
        <v>0</v>
      </c>
      <c r="BY92" s="68">
        <v>0</v>
      </c>
      <c r="BZ92" s="68">
        <v>0</v>
      </c>
      <c r="CA92" s="68">
        <v>0</v>
      </c>
      <c r="CB92" s="68">
        <v>0</v>
      </c>
      <c r="CC92" s="68">
        <v>0</v>
      </c>
      <c r="CD92" s="67"/>
      <c r="CE92" s="68"/>
      <c r="CF92" s="69"/>
      <c r="CG92" s="69"/>
      <c r="CH92" s="69"/>
      <c r="CI92" s="69"/>
      <c r="CJ92" s="69"/>
      <c r="CK92" s="69"/>
      <c r="CL92" s="69"/>
      <c r="CM92" s="69"/>
      <c r="CN92" s="69"/>
      <c r="CO92" s="69"/>
      <c r="CP92" s="69"/>
      <c r="CQ92" s="69"/>
      <c r="CR92" s="69"/>
      <c r="CS92" s="69"/>
      <c r="CT92" s="69"/>
      <c r="CU92" s="69"/>
      <c r="CV92" s="69"/>
      <c r="CW92" s="69"/>
      <c r="CX92" s="69"/>
      <c r="CY92" s="69"/>
      <c r="CZ92" s="69"/>
      <c r="DA92" s="69"/>
      <c r="DB92" s="69"/>
      <c r="DC92" s="69"/>
      <c r="DD92" s="69"/>
      <c r="DE92" s="69"/>
      <c r="DF92" s="69"/>
      <c r="DG92" s="69"/>
      <c r="DH92" s="69"/>
      <c r="DI92" s="69"/>
      <c r="DJ92" s="69"/>
      <c r="DK92" s="69"/>
      <c r="DL92" s="69"/>
      <c r="DM92" s="69"/>
      <c r="DN92" s="69"/>
      <c r="DO92" s="69"/>
      <c r="DP92" s="69"/>
      <c r="DQ92" s="69"/>
      <c r="DR92" s="69"/>
      <c r="DS92" s="69"/>
      <c r="DT92" s="69"/>
      <c r="DU92" s="69"/>
      <c r="DV92" s="69"/>
      <c r="DW92" s="69"/>
      <c r="DX92" s="69"/>
      <c r="DY92" s="69"/>
      <c r="DZ92" s="69"/>
      <c r="EA92" s="69"/>
      <c r="EB92" s="69"/>
      <c r="EC92" s="69"/>
      <c r="ED92" s="69"/>
      <c r="EE92" s="69"/>
      <c r="EF92" s="69"/>
      <c r="EG92" s="69"/>
      <c r="EH92" s="69"/>
      <c r="EI92" s="69"/>
      <c r="EJ92" s="69"/>
      <c r="EK92" s="69"/>
      <c r="EL92" s="69"/>
      <c r="EM92" s="69"/>
      <c r="EN92" s="69"/>
      <c r="EO92" s="69"/>
      <c r="EP92" s="69"/>
      <c r="EQ92" s="69"/>
      <c r="ER92" s="69"/>
      <c r="ES92" s="69"/>
      <c r="ET92" s="69"/>
      <c r="EU92" s="69"/>
      <c r="EV92" s="69"/>
      <c r="EW92" s="69"/>
      <c r="EX92" s="69"/>
      <c r="EY92" s="69"/>
      <c r="EZ92" s="69"/>
      <c r="FA92" s="69"/>
      <c r="FB92" s="69"/>
      <c r="FC92" s="69"/>
      <c r="FD92" s="69"/>
      <c r="FE92" s="69"/>
      <c r="FF92" s="69"/>
      <c r="FG92" s="69"/>
      <c r="FH92" s="69"/>
      <c r="FI92" s="69"/>
      <c r="FJ92" s="69"/>
      <c r="FK92" s="69"/>
      <c r="FL92" s="69"/>
      <c r="FM92" s="69"/>
      <c r="FN92" s="69"/>
      <c r="FO92" s="69"/>
      <c r="FP92" s="69"/>
      <c r="FQ92" s="69"/>
      <c r="FR92" s="69"/>
      <c r="FS92" s="69"/>
      <c r="FT92" s="69"/>
      <c r="FU92" s="69"/>
      <c r="FV92" s="69"/>
      <c r="FW92" s="69"/>
      <c r="FX92" s="69"/>
      <c r="FY92" s="69"/>
      <c r="FZ92" s="69"/>
      <c r="GA92" s="69"/>
      <c r="GB92" s="69"/>
      <c r="GC92" s="69"/>
      <c r="GD92" s="69"/>
      <c r="GE92" s="69"/>
      <c r="GF92" s="69"/>
      <c r="GG92" s="165"/>
    </row>
    <row r="93" spans="1:189" s="66" customFormat="1" x14ac:dyDescent="0.2">
      <c r="A93"/>
      <c r="B93" s="82">
        <v>42826</v>
      </c>
      <c r="C93" s="68">
        <v>0</v>
      </c>
      <c r="D93" s="68">
        <v>0</v>
      </c>
      <c r="E93" s="68">
        <v>0</v>
      </c>
      <c r="F93" s="68">
        <v>0</v>
      </c>
      <c r="G93" s="68">
        <v>0</v>
      </c>
      <c r="H93" s="68">
        <v>0</v>
      </c>
      <c r="I93" s="68">
        <v>0</v>
      </c>
      <c r="J93" s="68">
        <v>0</v>
      </c>
      <c r="K93" s="68">
        <v>0</v>
      </c>
      <c r="L93" s="68">
        <v>0</v>
      </c>
      <c r="M93" s="68">
        <v>0</v>
      </c>
      <c r="N93" s="68">
        <v>0</v>
      </c>
      <c r="O93" s="68">
        <v>0</v>
      </c>
      <c r="P93" s="68">
        <v>0</v>
      </c>
      <c r="Q93" s="68">
        <v>0</v>
      </c>
      <c r="R93" s="68">
        <v>0</v>
      </c>
      <c r="S93" s="68">
        <v>0</v>
      </c>
      <c r="T93" s="68">
        <v>0</v>
      </c>
      <c r="U93" s="68">
        <v>0</v>
      </c>
      <c r="V93" s="68">
        <v>0</v>
      </c>
      <c r="W93" s="68">
        <v>0</v>
      </c>
      <c r="X93" s="68">
        <v>0</v>
      </c>
      <c r="Y93" s="68">
        <v>0</v>
      </c>
      <c r="Z93" s="68">
        <v>0</v>
      </c>
      <c r="AA93" s="68">
        <v>0</v>
      </c>
      <c r="AB93" s="68">
        <v>0</v>
      </c>
      <c r="AC93" s="68">
        <v>0</v>
      </c>
      <c r="AD93" s="68">
        <v>0</v>
      </c>
      <c r="AE93" s="68">
        <v>0</v>
      </c>
      <c r="AF93" s="68">
        <v>0</v>
      </c>
      <c r="AG93" s="68">
        <v>0</v>
      </c>
      <c r="AH93" s="68">
        <v>0</v>
      </c>
      <c r="AI93" s="68">
        <v>0</v>
      </c>
      <c r="AJ93" s="68">
        <v>0</v>
      </c>
      <c r="AK93" s="68">
        <v>0</v>
      </c>
      <c r="AL93" s="68">
        <v>0</v>
      </c>
      <c r="AM93" s="68">
        <v>0</v>
      </c>
      <c r="AN93" s="68">
        <v>0</v>
      </c>
      <c r="AO93" s="68">
        <v>0</v>
      </c>
      <c r="AP93" s="68">
        <v>0</v>
      </c>
      <c r="AQ93" s="68">
        <v>0</v>
      </c>
      <c r="AR93" s="68">
        <v>0</v>
      </c>
      <c r="AS93" s="68">
        <v>0</v>
      </c>
      <c r="AT93" s="68">
        <v>0</v>
      </c>
      <c r="AU93" s="68">
        <v>0</v>
      </c>
      <c r="AV93" s="68">
        <v>0</v>
      </c>
      <c r="AW93" s="68">
        <v>0</v>
      </c>
      <c r="AX93" s="68">
        <v>0</v>
      </c>
      <c r="AY93" s="68">
        <v>0</v>
      </c>
      <c r="AZ93" s="68">
        <v>0</v>
      </c>
      <c r="BA93" s="68">
        <v>0</v>
      </c>
      <c r="BB93" s="68">
        <v>0</v>
      </c>
      <c r="BC93" s="68">
        <v>0</v>
      </c>
      <c r="BD93" s="68">
        <v>0</v>
      </c>
      <c r="BE93" s="68">
        <v>0</v>
      </c>
      <c r="BF93" s="68">
        <v>0</v>
      </c>
      <c r="BG93" s="68">
        <v>0</v>
      </c>
      <c r="BH93" s="68">
        <v>0</v>
      </c>
      <c r="BI93" s="68">
        <v>0</v>
      </c>
      <c r="BJ93" s="68">
        <v>0</v>
      </c>
      <c r="BK93" s="68">
        <v>0</v>
      </c>
      <c r="BL93" s="68">
        <v>0</v>
      </c>
      <c r="BM93" s="68">
        <v>0</v>
      </c>
      <c r="BN93" s="68">
        <v>0</v>
      </c>
      <c r="BO93" s="68">
        <v>0</v>
      </c>
      <c r="BP93" s="68">
        <v>0</v>
      </c>
      <c r="BQ93" s="68">
        <v>0</v>
      </c>
      <c r="BR93" s="68">
        <v>0</v>
      </c>
      <c r="BS93" s="94">
        <v>0</v>
      </c>
      <c r="BT93" s="68">
        <v>0</v>
      </c>
      <c r="BU93" s="68">
        <v>0</v>
      </c>
      <c r="BV93" s="68">
        <v>0</v>
      </c>
      <c r="BW93" s="68">
        <v>0</v>
      </c>
      <c r="BX93" s="68">
        <v>0</v>
      </c>
      <c r="BY93" s="68">
        <v>0</v>
      </c>
      <c r="BZ93" s="68">
        <v>0</v>
      </c>
      <c r="CA93" s="68">
        <v>0</v>
      </c>
      <c r="CB93" s="68">
        <v>0</v>
      </c>
      <c r="CC93" s="68">
        <v>0</v>
      </c>
      <c r="CD93" s="68">
        <v>0</v>
      </c>
      <c r="CE93" s="67"/>
      <c r="CF93" s="68"/>
      <c r="CG93" s="69"/>
      <c r="CH93" s="69"/>
      <c r="CI93" s="69"/>
      <c r="CJ93" s="69"/>
      <c r="CK93" s="69"/>
      <c r="CL93" s="69"/>
      <c r="CM93" s="69"/>
      <c r="CN93" s="69"/>
      <c r="CO93" s="69"/>
      <c r="CP93" s="69"/>
      <c r="CQ93" s="69"/>
      <c r="CR93" s="69"/>
      <c r="CS93" s="69"/>
      <c r="CT93" s="69"/>
      <c r="CU93" s="69"/>
      <c r="CV93" s="69"/>
      <c r="CW93" s="69"/>
      <c r="CX93" s="69"/>
      <c r="CY93" s="69"/>
      <c r="CZ93" s="69"/>
      <c r="DA93" s="69"/>
      <c r="DB93" s="69"/>
      <c r="DC93" s="69"/>
      <c r="DD93" s="69"/>
      <c r="DE93" s="69"/>
      <c r="DF93" s="69"/>
      <c r="DG93" s="69"/>
      <c r="DH93" s="69"/>
      <c r="DI93" s="69"/>
      <c r="DJ93" s="69"/>
      <c r="DK93" s="69"/>
      <c r="DL93" s="69"/>
      <c r="DM93" s="69"/>
      <c r="DN93" s="69"/>
      <c r="DO93" s="69"/>
      <c r="DP93" s="69"/>
      <c r="DQ93" s="69"/>
      <c r="DR93" s="69"/>
      <c r="DS93" s="69"/>
      <c r="DT93" s="69"/>
      <c r="DU93" s="69"/>
      <c r="DV93" s="69"/>
      <c r="DW93" s="69"/>
      <c r="DX93" s="69"/>
      <c r="DY93" s="69"/>
      <c r="DZ93" s="69"/>
      <c r="EA93" s="69"/>
      <c r="EB93" s="69"/>
      <c r="EC93" s="69"/>
      <c r="ED93" s="69"/>
      <c r="EE93" s="69"/>
      <c r="EF93" s="69"/>
      <c r="EG93" s="69"/>
      <c r="EH93" s="69"/>
      <c r="EI93" s="69"/>
      <c r="EJ93" s="69"/>
      <c r="EK93" s="69"/>
      <c r="EL93" s="69"/>
      <c r="EM93" s="69"/>
      <c r="EN93" s="69"/>
      <c r="EO93" s="69"/>
      <c r="EP93" s="69"/>
      <c r="EQ93" s="69"/>
      <c r="ER93" s="69"/>
      <c r="ES93" s="69"/>
      <c r="ET93" s="69"/>
      <c r="EU93" s="69"/>
      <c r="EV93" s="69"/>
      <c r="EW93" s="69"/>
      <c r="EX93" s="69"/>
      <c r="EY93" s="69"/>
      <c r="EZ93" s="69"/>
      <c r="FA93" s="69"/>
      <c r="FB93" s="69"/>
      <c r="FC93" s="69"/>
      <c r="FD93" s="69"/>
      <c r="FE93" s="69"/>
      <c r="FF93" s="69"/>
      <c r="FG93" s="69"/>
      <c r="FH93" s="69"/>
      <c r="FI93" s="69"/>
      <c r="FJ93" s="69"/>
      <c r="FK93" s="69"/>
      <c r="FL93" s="69"/>
      <c r="FM93" s="69"/>
      <c r="FN93" s="69"/>
      <c r="FO93" s="69"/>
      <c r="FP93" s="69"/>
      <c r="FQ93" s="69"/>
      <c r="FR93" s="69"/>
      <c r="FS93" s="69"/>
      <c r="FT93" s="69"/>
      <c r="FU93" s="69"/>
      <c r="FV93" s="69"/>
      <c r="FW93" s="69"/>
      <c r="FX93" s="69"/>
      <c r="FY93" s="69"/>
      <c r="FZ93" s="69"/>
      <c r="GA93" s="69"/>
      <c r="GB93" s="69"/>
      <c r="GC93" s="69"/>
      <c r="GD93" s="69"/>
      <c r="GE93" s="69"/>
      <c r="GF93" s="69"/>
      <c r="GG93" s="165"/>
    </row>
    <row r="94" spans="1:189" s="66" customFormat="1" x14ac:dyDescent="0.2">
      <c r="A94"/>
      <c r="B94" s="82">
        <v>42856</v>
      </c>
      <c r="C94" s="68">
        <v>0</v>
      </c>
      <c r="D94" s="68">
        <v>0</v>
      </c>
      <c r="E94" s="68">
        <v>0</v>
      </c>
      <c r="F94" s="68">
        <v>0</v>
      </c>
      <c r="G94" s="68">
        <v>0</v>
      </c>
      <c r="H94" s="68">
        <v>0</v>
      </c>
      <c r="I94" s="68">
        <v>0</v>
      </c>
      <c r="J94" s="68">
        <v>0</v>
      </c>
      <c r="K94" s="68">
        <v>0</v>
      </c>
      <c r="L94" s="68">
        <v>0</v>
      </c>
      <c r="M94" s="68">
        <v>0</v>
      </c>
      <c r="N94" s="68">
        <v>0</v>
      </c>
      <c r="O94" s="68">
        <v>0</v>
      </c>
      <c r="P94" s="68">
        <v>0</v>
      </c>
      <c r="Q94" s="68">
        <v>0</v>
      </c>
      <c r="R94" s="68">
        <v>0</v>
      </c>
      <c r="S94" s="68">
        <v>0</v>
      </c>
      <c r="T94" s="68">
        <v>0</v>
      </c>
      <c r="U94" s="68">
        <v>0</v>
      </c>
      <c r="V94" s="68">
        <v>0</v>
      </c>
      <c r="W94" s="68">
        <v>0</v>
      </c>
      <c r="X94" s="68">
        <v>0</v>
      </c>
      <c r="Y94" s="68">
        <v>0</v>
      </c>
      <c r="Z94" s="68">
        <v>0</v>
      </c>
      <c r="AA94" s="68">
        <v>0</v>
      </c>
      <c r="AB94" s="68">
        <v>0</v>
      </c>
      <c r="AC94" s="68">
        <v>0</v>
      </c>
      <c r="AD94" s="68">
        <v>0</v>
      </c>
      <c r="AE94" s="68">
        <v>0</v>
      </c>
      <c r="AF94" s="68">
        <v>0</v>
      </c>
      <c r="AG94" s="68">
        <v>0</v>
      </c>
      <c r="AH94" s="68">
        <v>0.10000000000000853</v>
      </c>
      <c r="AI94" s="68">
        <v>0</v>
      </c>
      <c r="AJ94" s="68">
        <v>0</v>
      </c>
      <c r="AK94" s="68">
        <v>0</v>
      </c>
      <c r="AL94" s="68">
        <v>0</v>
      </c>
      <c r="AM94" s="68">
        <v>0</v>
      </c>
      <c r="AN94" s="68">
        <v>0</v>
      </c>
      <c r="AO94" s="68">
        <v>0</v>
      </c>
      <c r="AP94" s="68">
        <v>0.10000000000000853</v>
      </c>
      <c r="AQ94" s="68">
        <v>0</v>
      </c>
      <c r="AR94" s="68">
        <v>0</v>
      </c>
      <c r="AS94" s="68">
        <v>0</v>
      </c>
      <c r="AT94" s="68">
        <v>0</v>
      </c>
      <c r="AU94" s="68">
        <v>0</v>
      </c>
      <c r="AV94" s="68">
        <v>0</v>
      </c>
      <c r="AW94" s="68">
        <v>0</v>
      </c>
      <c r="AX94" s="68">
        <v>0</v>
      </c>
      <c r="AY94" s="68">
        <v>-0.10000000000000853</v>
      </c>
      <c r="AZ94" s="68">
        <v>0</v>
      </c>
      <c r="BA94" s="68">
        <v>0</v>
      </c>
      <c r="BB94" s="68">
        <v>0</v>
      </c>
      <c r="BC94" s="68">
        <v>0</v>
      </c>
      <c r="BD94" s="68">
        <v>0</v>
      </c>
      <c r="BE94" s="68">
        <v>0</v>
      </c>
      <c r="BF94" s="68">
        <v>0</v>
      </c>
      <c r="BG94" s="68">
        <v>0</v>
      </c>
      <c r="BH94" s="68">
        <v>-9.9999999999994316E-2</v>
      </c>
      <c r="BI94" s="68">
        <v>0</v>
      </c>
      <c r="BJ94" s="68">
        <v>-0.10000000000000853</v>
      </c>
      <c r="BK94" s="68">
        <v>0</v>
      </c>
      <c r="BL94" s="68">
        <v>0</v>
      </c>
      <c r="BM94" s="68">
        <v>0</v>
      </c>
      <c r="BN94" s="68">
        <v>0</v>
      </c>
      <c r="BO94" s="68">
        <v>9.9999999999994316E-2</v>
      </c>
      <c r="BP94" s="68">
        <v>9.9999999999994316E-2</v>
      </c>
      <c r="BQ94" s="68">
        <v>0</v>
      </c>
      <c r="BR94" s="68">
        <v>0</v>
      </c>
      <c r="BS94" s="68">
        <v>0</v>
      </c>
      <c r="BT94" s="94">
        <v>0</v>
      </c>
      <c r="BU94" s="68">
        <v>0</v>
      </c>
      <c r="BV94" s="68">
        <v>0</v>
      </c>
      <c r="BW94" s="68">
        <v>-9.9999999999994316E-2</v>
      </c>
      <c r="BX94" s="68">
        <v>0</v>
      </c>
      <c r="BY94" s="68">
        <v>0</v>
      </c>
      <c r="BZ94" s="68">
        <v>-9.9999999999994316E-2</v>
      </c>
      <c r="CA94" s="68">
        <v>0</v>
      </c>
      <c r="CB94" s="68">
        <v>0</v>
      </c>
      <c r="CC94" s="68">
        <v>0</v>
      </c>
      <c r="CD94" s="68">
        <v>0</v>
      </c>
      <c r="CE94" s="68">
        <v>0</v>
      </c>
      <c r="CF94" s="67"/>
      <c r="CG94" s="68"/>
      <c r="CH94" s="69"/>
      <c r="CI94" s="69"/>
      <c r="CJ94" s="69"/>
      <c r="CK94" s="69"/>
      <c r="CL94" s="69"/>
      <c r="CM94" s="69"/>
      <c r="CN94" s="69"/>
      <c r="CO94" s="69"/>
      <c r="CP94" s="69"/>
      <c r="CQ94" s="69"/>
      <c r="CR94" s="69"/>
      <c r="CS94" s="69"/>
      <c r="CT94" s="69"/>
      <c r="CU94" s="69"/>
      <c r="CV94" s="69"/>
      <c r="CW94" s="69"/>
      <c r="CX94" s="69"/>
      <c r="CY94" s="69"/>
      <c r="CZ94" s="69"/>
      <c r="DA94" s="69"/>
      <c r="DB94" s="69"/>
      <c r="DC94" s="69"/>
      <c r="DD94" s="69"/>
      <c r="DE94" s="69"/>
      <c r="DF94" s="69"/>
      <c r="DG94" s="69"/>
      <c r="DH94" s="69"/>
      <c r="DI94" s="69"/>
      <c r="DJ94" s="69"/>
      <c r="DK94" s="69"/>
      <c r="DL94" s="69"/>
      <c r="DM94" s="69"/>
      <c r="DN94" s="69"/>
      <c r="DO94" s="69"/>
      <c r="DP94" s="69"/>
      <c r="DQ94" s="69"/>
      <c r="DR94" s="69"/>
      <c r="DS94" s="69"/>
      <c r="DT94" s="69"/>
      <c r="DU94" s="69"/>
      <c r="DV94" s="69"/>
      <c r="DW94" s="69"/>
      <c r="DX94" s="69"/>
      <c r="DY94" s="69"/>
      <c r="DZ94" s="69"/>
      <c r="EA94" s="69"/>
      <c r="EB94" s="69"/>
      <c r="EC94" s="69"/>
      <c r="ED94" s="69"/>
      <c r="EE94" s="69"/>
      <c r="EF94" s="69"/>
      <c r="EG94" s="69"/>
      <c r="EH94" s="69"/>
      <c r="EI94" s="69"/>
      <c r="EJ94" s="69"/>
      <c r="EK94" s="69"/>
      <c r="EL94" s="69"/>
      <c r="EM94" s="69"/>
      <c r="EN94" s="69"/>
      <c r="EO94" s="69"/>
      <c r="EP94" s="69"/>
      <c r="EQ94" s="69"/>
      <c r="ER94" s="69"/>
      <c r="ES94" s="69"/>
      <c r="ET94" s="69"/>
      <c r="EU94" s="69"/>
      <c r="EV94" s="69"/>
      <c r="EW94" s="69"/>
      <c r="EX94" s="69"/>
      <c r="EY94" s="69"/>
      <c r="EZ94" s="69"/>
      <c r="FA94" s="69"/>
      <c r="FB94" s="69"/>
      <c r="FC94" s="69"/>
      <c r="FD94" s="69"/>
      <c r="FE94" s="69"/>
      <c r="FF94" s="69"/>
      <c r="FG94" s="69"/>
      <c r="FH94" s="69"/>
      <c r="FI94" s="69"/>
      <c r="FJ94" s="69"/>
      <c r="FK94" s="69"/>
      <c r="FL94" s="69"/>
      <c r="FM94" s="69"/>
      <c r="FN94" s="69"/>
      <c r="FO94" s="69"/>
      <c r="FP94" s="69"/>
      <c r="FQ94" s="69"/>
      <c r="FR94" s="69"/>
      <c r="FS94" s="69"/>
      <c r="FT94" s="69"/>
      <c r="FU94" s="69"/>
      <c r="FV94" s="69"/>
      <c r="FW94" s="69"/>
      <c r="FX94" s="69"/>
      <c r="FY94" s="69"/>
      <c r="FZ94" s="69"/>
      <c r="GA94" s="69"/>
      <c r="GB94" s="69"/>
      <c r="GC94" s="69"/>
      <c r="GD94" s="69"/>
      <c r="GE94" s="69"/>
      <c r="GF94" s="69"/>
      <c r="GG94" s="165"/>
    </row>
    <row r="95" spans="1:189" s="66" customFormat="1" x14ac:dyDescent="0.2">
      <c r="A95"/>
      <c r="B95" s="82">
        <v>42887</v>
      </c>
      <c r="C95" s="68">
        <v>0</v>
      </c>
      <c r="D95" s="68">
        <v>0</v>
      </c>
      <c r="E95" s="68">
        <v>0</v>
      </c>
      <c r="F95" s="68">
        <v>0</v>
      </c>
      <c r="G95" s="68">
        <v>0</v>
      </c>
      <c r="H95" s="68">
        <v>0</v>
      </c>
      <c r="I95" s="68">
        <v>0</v>
      </c>
      <c r="J95" s="68">
        <v>0</v>
      </c>
      <c r="K95" s="68">
        <v>0</v>
      </c>
      <c r="L95" s="68">
        <v>0</v>
      </c>
      <c r="M95" s="68">
        <v>0</v>
      </c>
      <c r="N95" s="68">
        <v>0</v>
      </c>
      <c r="O95" s="68">
        <v>0</v>
      </c>
      <c r="P95" s="68">
        <v>0</v>
      </c>
      <c r="Q95" s="68">
        <v>0</v>
      </c>
      <c r="R95" s="68">
        <v>0</v>
      </c>
      <c r="S95" s="68">
        <v>0</v>
      </c>
      <c r="T95" s="68">
        <v>0</v>
      </c>
      <c r="U95" s="68">
        <v>0</v>
      </c>
      <c r="V95" s="68">
        <v>0</v>
      </c>
      <c r="W95" s="68">
        <v>0</v>
      </c>
      <c r="X95" s="68">
        <v>0</v>
      </c>
      <c r="Y95" s="68">
        <v>0</v>
      </c>
      <c r="Z95" s="68">
        <v>0</v>
      </c>
      <c r="AA95" s="68">
        <v>0</v>
      </c>
      <c r="AB95" s="68">
        <v>0</v>
      </c>
      <c r="AC95" s="68">
        <v>0</v>
      </c>
      <c r="AD95" s="68">
        <v>0</v>
      </c>
      <c r="AE95" s="68">
        <v>0</v>
      </c>
      <c r="AF95" s="68">
        <v>0</v>
      </c>
      <c r="AG95" s="68">
        <v>0</v>
      </c>
      <c r="AH95" s="68">
        <v>0</v>
      </c>
      <c r="AI95" s="68">
        <v>0</v>
      </c>
      <c r="AJ95" s="68">
        <v>0</v>
      </c>
      <c r="AK95" s="68">
        <v>0</v>
      </c>
      <c r="AL95" s="68">
        <v>0</v>
      </c>
      <c r="AM95" s="68">
        <v>0</v>
      </c>
      <c r="AN95" s="68">
        <v>0</v>
      </c>
      <c r="AO95" s="68">
        <v>0</v>
      </c>
      <c r="AP95" s="68">
        <v>0</v>
      </c>
      <c r="AQ95" s="68">
        <v>0</v>
      </c>
      <c r="AR95" s="68">
        <v>0</v>
      </c>
      <c r="AS95" s="68">
        <v>0</v>
      </c>
      <c r="AT95" s="68">
        <v>0</v>
      </c>
      <c r="AU95" s="68">
        <v>0</v>
      </c>
      <c r="AV95" s="68">
        <v>0</v>
      </c>
      <c r="AW95" s="68">
        <v>0</v>
      </c>
      <c r="AX95" s="68">
        <v>0</v>
      </c>
      <c r="AY95" s="68">
        <v>0</v>
      </c>
      <c r="AZ95" s="68">
        <v>0</v>
      </c>
      <c r="BA95" s="68">
        <v>0</v>
      </c>
      <c r="BB95" s="68">
        <v>0</v>
      </c>
      <c r="BC95" s="68">
        <v>0</v>
      </c>
      <c r="BD95" s="68">
        <v>0</v>
      </c>
      <c r="BE95" s="68">
        <v>0</v>
      </c>
      <c r="BF95" s="68">
        <v>0</v>
      </c>
      <c r="BG95" s="68">
        <v>0</v>
      </c>
      <c r="BH95" s="68">
        <v>0</v>
      </c>
      <c r="BI95" s="68">
        <v>0</v>
      </c>
      <c r="BJ95" s="68">
        <v>0</v>
      </c>
      <c r="BK95" s="68">
        <v>0</v>
      </c>
      <c r="BL95" s="68">
        <v>0</v>
      </c>
      <c r="BM95" s="68">
        <v>0</v>
      </c>
      <c r="BN95" s="68">
        <v>0</v>
      </c>
      <c r="BO95" s="68">
        <v>0</v>
      </c>
      <c r="BP95" s="68">
        <v>0</v>
      </c>
      <c r="BQ95" s="68">
        <v>0</v>
      </c>
      <c r="BR95" s="68">
        <v>0</v>
      </c>
      <c r="BS95" s="68">
        <v>0</v>
      </c>
      <c r="BT95" s="68">
        <v>0</v>
      </c>
      <c r="BU95" s="94">
        <v>0</v>
      </c>
      <c r="BV95" s="68">
        <v>0</v>
      </c>
      <c r="BW95" s="68">
        <v>0</v>
      </c>
      <c r="BX95" s="68">
        <v>0</v>
      </c>
      <c r="BY95" s="68">
        <v>0</v>
      </c>
      <c r="BZ95" s="68">
        <v>0</v>
      </c>
      <c r="CA95" s="68">
        <v>0</v>
      </c>
      <c r="CB95" s="68">
        <v>0</v>
      </c>
      <c r="CC95" s="68">
        <v>0</v>
      </c>
      <c r="CD95" s="68">
        <v>0</v>
      </c>
      <c r="CE95" s="68">
        <v>0</v>
      </c>
      <c r="CF95" s="68">
        <v>0</v>
      </c>
      <c r="CG95" s="67"/>
      <c r="CH95" s="68"/>
      <c r="CI95" s="69"/>
      <c r="CJ95" s="69"/>
      <c r="CK95" s="69"/>
      <c r="CL95" s="69"/>
      <c r="CM95" s="69"/>
      <c r="CN95" s="69"/>
      <c r="CO95" s="69"/>
      <c r="CP95" s="69"/>
      <c r="CQ95" s="69"/>
      <c r="CR95" s="69"/>
      <c r="CS95" s="69"/>
      <c r="CT95" s="69"/>
      <c r="CU95" s="69"/>
      <c r="CV95" s="69"/>
      <c r="CW95" s="69"/>
      <c r="CX95" s="69"/>
      <c r="CY95" s="69"/>
      <c r="CZ95" s="69"/>
      <c r="DA95" s="69"/>
      <c r="DB95" s="69"/>
      <c r="DC95" s="69"/>
      <c r="DD95" s="69"/>
      <c r="DE95" s="69"/>
      <c r="DF95" s="69"/>
      <c r="DG95" s="69"/>
      <c r="DH95" s="69"/>
      <c r="DI95" s="69"/>
      <c r="DJ95" s="69"/>
      <c r="DK95" s="69"/>
      <c r="DL95" s="69"/>
      <c r="DM95" s="69"/>
      <c r="DN95" s="69"/>
      <c r="DO95" s="69"/>
      <c r="DP95" s="69"/>
      <c r="DQ95" s="69"/>
      <c r="DR95" s="69"/>
      <c r="DS95" s="69"/>
      <c r="DT95" s="69"/>
      <c r="DU95" s="69"/>
      <c r="DV95" s="69"/>
      <c r="DW95" s="69"/>
      <c r="DX95" s="69"/>
      <c r="DY95" s="69"/>
      <c r="DZ95" s="69"/>
      <c r="EA95" s="69"/>
      <c r="EB95" s="69"/>
      <c r="EC95" s="69"/>
      <c r="ED95" s="69"/>
      <c r="EE95" s="69"/>
      <c r="EF95" s="69"/>
      <c r="EG95" s="69"/>
      <c r="EH95" s="69"/>
      <c r="EI95" s="69"/>
      <c r="EJ95" s="69"/>
      <c r="EK95" s="69"/>
      <c r="EL95" s="69"/>
      <c r="EM95" s="69"/>
      <c r="EN95" s="69"/>
      <c r="EO95" s="69"/>
      <c r="EP95" s="69"/>
      <c r="EQ95" s="69"/>
      <c r="ER95" s="69"/>
      <c r="ES95" s="69"/>
      <c r="ET95" s="69"/>
      <c r="EU95" s="69"/>
      <c r="EV95" s="69"/>
      <c r="EW95" s="69"/>
      <c r="EX95" s="69"/>
      <c r="EY95" s="69"/>
      <c r="EZ95" s="69"/>
      <c r="FA95" s="69"/>
      <c r="FB95" s="69"/>
      <c r="FC95" s="69"/>
      <c r="FD95" s="69"/>
      <c r="FE95" s="69"/>
      <c r="FF95" s="69"/>
      <c r="FG95" s="69"/>
      <c r="FH95" s="69"/>
      <c r="FI95" s="69"/>
      <c r="FJ95" s="69"/>
      <c r="FK95" s="69"/>
      <c r="FL95" s="69"/>
      <c r="FM95" s="69"/>
      <c r="FN95" s="69"/>
      <c r="FO95" s="69"/>
      <c r="FP95" s="69"/>
      <c r="FQ95" s="69"/>
      <c r="FR95" s="69"/>
      <c r="FS95" s="69"/>
      <c r="FT95" s="69"/>
      <c r="FU95" s="69"/>
      <c r="FV95" s="69"/>
      <c r="FW95" s="69"/>
      <c r="FX95" s="69"/>
      <c r="FY95" s="69"/>
      <c r="FZ95" s="69"/>
      <c r="GA95" s="69"/>
      <c r="GB95" s="69"/>
      <c r="GC95" s="69"/>
      <c r="GD95" s="69"/>
      <c r="GE95" s="69"/>
      <c r="GF95" s="69"/>
      <c r="GG95" s="165"/>
    </row>
    <row r="96" spans="1:189" s="66" customFormat="1" x14ac:dyDescent="0.2">
      <c r="A96"/>
      <c r="B96" s="82">
        <v>42917</v>
      </c>
      <c r="C96" s="68">
        <v>0</v>
      </c>
      <c r="D96" s="68">
        <v>0</v>
      </c>
      <c r="E96" s="68">
        <v>0</v>
      </c>
      <c r="F96" s="68">
        <v>0</v>
      </c>
      <c r="G96" s="68">
        <v>0</v>
      </c>
      <c r="H96" s="68">
        <v>0</v>
      </c>
      <c r="I96" s="68">
        <v>0</v>
      </c>
      <c r="J96" s="68">
        <v>0</v>
      </c>
      <c r="K96" s="68">
        <v>0</v>
      </c>
      <c r="L96" s="68">
        <v>0</v>
      </c>
      <c r="M96" s="68">
        <v>0</v>
      </c>
      <c r="N96" s="68">
        <v>0</v>
      </c>
      <c r="O96" s="68">
        <v>0</v>
      </c>
      <c r="P96" s="68">
        <v>0</v>
      </c>
      <c r="Q96" s="68">
        <v>0</v>
      </c>
      <c r="R96" s="68">
        <v>0</v>
      </c>
      <c r="S96" s="68">
        <v>0</v>
      </c>
      <c r="T96" s="68">
        <v>0</v>
      </c>
      <c r="U96" s="68">
        <v>0</v>
      </c>
      <c r="V96" s="68">
        <v>0</v>
      </c>
      <c r="W96" s="68">
        <v>0</v>
      </c>
      <c r="X96" s="68">
        <v>0</v>
      </c>
      <c r="Y96" s="68">
        <v>0</v>
      </c>
      <c r="Z96" s="68">
        <v>0</v>
      </c>
      <c r="AA96" s="68">
        <v>0</v>
      </c>
      <c r="AB96" s="68">
        <v>0</v>
      </c>
      <c r="AC96" s="68">
        <v>0</v>
      </c>
      <c r="AD96" s="68">
        <v>0</v>
      </c>
      <c r="AE96" s="68">
        <v>0</v>
      </c>
      <c r="AF96" s="68">
        <v>0</v>
      </c>
      <c r="AG96" s="68">
        <v>0</v>
      </c>
      <c r="AH96" s="68">
        <v>0</v>
      </c>
      <c r="AI96" s="68">
        <v>0</v>
      </c>
      <c r="AJ96" s="68">
        <v>0</v>
      </c>
      <c r="AK96" s="68">
        <v>0</v>
      </c>
      <c r="AL96" s="68">
        <v>0</v>
      </c>
      <c r="AM96" s="68">
        <v>0</v>
      </c>
      <c r="AN96" s="68">
        <v>0</v>
      </c>
      <c r="AO96" s="68">
        <v>0</v>
      </c>
      <c r="AP96" s="68">
        <v>0</v>
      </c>
      <c r="AQ96" s="68">
        <v>0</v>
      </c>
      <c r="AR96" s="68">
        <v>0</v>
      </c>
      <c r="AS96" s="68">
        <v>0</v>
      </c>
      <c r="AT96" s="68">
        <v>0</v>
      </c>
      <c r="AU96" s="68">
        <v>0</v>
      </c>
      <c r="AV96" s="68">
        <v>0</v>
      </c>
      <c r="AW96" s="68">
        <v>0</v>
      </c>
      <c r="AX96" s="68">
        <v>0</v>
      </c>
      <c r="AY96" s="68">
        <v>0</v>
      </c>
      <c r="AZ96" s="68">
        <v>0</v>
      </c>
      <c r="BA96" s="68">
        <v>0</v>
      </c>
      <c r="BB96" s="68">
        <v>0</v>
      </c>
      <c r="BC96" s="68">
        <v>0</v>
      </c>
      <c r="BD96" s="68">
        <v>0</v>
      </c>
      <c r="BE96" s="68">
        <v>0</v>
      </c>
      <c r="BF96" s="68">
        <v>0</v>
      </c>
      <c r="BG96" s="68">
        <v>0</v>
      </c>
      <c r="BH96" s="68">
        <v>0</v>
      </c>
      <c r="BI96" s="68">
        <v>0</v>
      </c>
      <c r="BJ96" s="68">
        <v>0</v>
      </c>
      <c r="BK96" s="68">
        <v>0</v>
      </c>
      <c r="BL96" s="68">
        <v>0</v>
      </c>
      <c r="BM96" s="68">
        <v>0</v>
      </c>
      <c r="BN96" s="68">
        <v>0</v>
      </c>
      <c r="BO96" s="68">
        <v>0</v>
      </c>
      <c r="BP96" s="68">
        <v>0</v>
      </c>
      <c r="BQ96" s="68">
        <v>0</v>
      </c>
      <c r="BR96" s="68">
        <v>0</v>
      </c>
      <c r="BS96" s="68">
        <v>0</v>
      </c>
      <c r="BT96" s="68">
        <v>0</v>
      </c>
      <c r="BU96" s="68">
        <v>0</v>
      </c>
      <c r="BV96" s="94">
        <v>0</v>
      </c>
      <c r="BW96" s="68">
        <v>0</v>
      </c>
      <c r="BX96" s="68">
        <v>0</v>
      </c>
      <c r="BY96" s="68">
        <v>0</v>
      </c>
      <c r="BZ96" s="68">
        <v>0</v>
      </c>
      <c r="CA96" s="68">
        <v>0</v>
      </c>
      <c r="CB96" s="68">
        <v>0</v>
      </c>
      <c r="CC96" s="68">
        <v>0</v>
      </c>
      <c r="CD96" s="68">
        <v>0</v>
      </c>
      <c r="CE96" s="68">
        <v>0</v>
      </c>
      <c r="CF96" s="68">
        <v>0</v>
      </c>
      <c r="CG96" s="68">
        <v>0</v>
      </c>
      <c r="CH96" s="67"/>
      <c r="CI96" s="68"/>
      <c r="CJ96" s="69"/>
      <c r="CK96" s="69"/>
      <c r="CL96" s="69"/>
      <c r="CM96" s="69"/>
      <c r="CN96" s="69"/>
      <c r="CO96" s="69"/>
      <c r="CP96" s="69"/>
      <c r="CQ96" s="69"/>
      <c r="CR96" s="69"/>
      <c r="CS96" s="69"/>
      <c r="CT96" s="69"/>
      <c r="CU96" s="69"/>
      <c r="CV96" s="69"/>
      <c r="CW96" s="69"/>
      <c r="CX96" s="69"/>
      <c r="CY96" s="69"/>
      <c r="CZ96" s="69"/>
      <c r="DA96" s="69"/>
      <c r="DB96" s="69"/>
      <c r="DC96" s="69"/>
      <c r="DD96" s="69"/>
      <c r="DE96" s="69"/>
      <c r="DF96" s="69"/>
      <c r="DG96" s="69"/>
      <c r="DH96" s="69"/>
      <c r="DI96" s="69"/>
      <c r="DJ96" s="69"/>
      <c r="DK96" s="69"/>
      <c r="DL96" s="69"/>
      <c r="DM96" s="69"/>
      <c r="DN96" s="69"/>
      <c r="DO96" s="69"/>
      <c r="DP96" s="69"/>
      <c r="DQ96" s="69"/>
      <c r="DR96" s="69"/>
      <c r="DS96" s="69"/>
      <c r="DT96" s="69"/>
      <c r="DU96" s="69"/>
      <c r="DV96" s="69"/>
      <c r="DW96" s="69"/>
      <c r="DX96" s="69"/>
      <c r="DY96" s="69"/>
      <c r="DZ96" s="69"/>
      <c r="EA96" s="69"/>
      <c r="EB96" s="69"/>
      <c r="EC96" s="69"/>
      <c r="ED96" s="69"/>
      <c r="EE96" s="69"/>
      <c r="EF96" s="69"/>
      <c r="EG96" s="69"/>
      <c r="EH96" s="69"/>
      <c r="EI96" s="69"/>
      <c r="EJ96" s="69"/>
      <c r="EK96" s="69"/>
      <c r="EL96" s="69"/>
      <c r="EM96" s="69"/>
      <c r="EN96" s="69"/>
      <c r="EO96" s="69"/>
      <c r="EP96" s="69"/>
      <c r="EQ96" s="69"/>
      <c r="ER96" s="69"/>
      <c r="ES96" s="69"/>
      <c r="ET96" s="69"/>
      <c r="EU96" s="69"/>
      <c r="EV96" s="69"/>
      <c r="EW96" s="69"/>
      <c r="EX96" s="69"/>
      <c r="EY96" s="69"/>
      <c r="EZ96" s="69"/>
      <c r="FA96" s="69"/>
      <c r="FB96" s="69"/>
      <c r="FC96" s="69"/>
      <c r="FD96" s="69"/>
      <c r="FE96" s="69"/>
      <c r="FF96" s="69"/>
      <c r="FG96" s="69"/>
      <c r="FH96" s="69"/>
      <c r="FI96" s="69"/>
      <c r="FJ96" s="69"/>
      <c r="FK96" s="69"/>
      <c r="FL96" s="69"/>
      <c r="FM96" s="69"/>
      <c r="FN96" s="69"/>
      <c r="FO96" s="69"/>
      <c r="FP96" s="69"/>
      <c r="FQ96" s="69"/>
      <c r="FR96" s="69"/>
      <c r="FS96" s="69"/>
      <c r="FT96" s="69"/>
      <c r="FU96" s="69"/>
      <c r="FV96" s="69"/>
      <c r="FW96" s="69"/>
      <c r="FX96" s="69"/>
      <c r="FY96" s="69"/>
      <c r="FZ96" s="69"/>
      <c r="GA96" s="69"/>
      <c r="GB96" s="69"/>
      <c r="GC96" s="69"/>
      <c r="GD96" s="69"/>
      <c r="GE96" s="69"/>
      <c r="GF96" s="69"/>
      <c r="GG96" s="165"/>
    </row>
    <row r="97" spans="1:189" s="66" customFormat="1" x14ac:dyDescent="0.2">
      <c r="A97"/>
      <c r="B97" s="82">
        <v>42948</v>
      </c>
      <c r="C97" s="68">
        <v>0</v>
      </c>
      <c r="D97" s="68">
        <v>0</v>
      </c>
      <c r="E97" s="68">
        <v>0</v>
      </c>
      <c r="F97" s="68">
        <v>0</v>
      </c>
      <c r="G97" s="68">
        <v>0</v>
      </c>
      <c r="H97" s="68">
        <v>0</v>
      </c>
      <c r="I97" s="68">
        <v>0</v>
      </c>
      <c r="J97" s="68">
        <v>0</v>
      </c>
      <c r="K97" s="68">
        <v>0</v>
      </c>
      <c r="L97" s="68">
        <v>0</v>
      </c>
      <c r="M97" s="68">
        <v>0</v>
      </c>
      <c r="N97" s="68">
        <v>0</v>
      </c>
      <c r="O97" s="68">
        <v>0</v>
      </c>
      <c r="P97" s="68">
        <v>0</v>
      </c>
      <c r="Q97" s="68">
        <v>0</v>
      </c>
      <c r="R97" s="68">
        <v>0</v>
      </c>
      <c r="S97" s="68">
        <v>0</v>
      </c>
      <c r="T97" s="68">
        <v>0</v>
      </c>
      <c r="U97" s="68">
        <v>0</v>
      </c>
      <c r="V97" s="68">
        <v>0</v>
      </c>
      <c r="W97" s="68">
        <v>0</v>
      </c>
      <c r="X97" s="68">
        <v>0</v>
      </c>
      <c r="Y97" s="68">
        <v>0</v>
      </c>
      <c r="Z97" s="68">
        <v>0</v>
      </c>
      <c r="AA97" s="68">
        <v>0</v>
      </c>
      <c r="AB97" s="68">
        <v>0</v>
      </c>
      <c r="AC97" s="68">
        <v>0</v>
      </c>
      <c r="AD97" s="68">
        <v>0</v>
      </c>
      <c r="AE97" s="68">
        <v>0</v>
      </c>
      <c r="AF97" s="68">
        <v>0</v>
      </c>
      <c r="AG97" s="68">
        <v>0</v>
      </c>
      <c r="AH97" s="68">
        <v>0</v>
      </c>
      <c r="AI97" s="68">
        <v>0</v>
      </c>
      <c r="AJ97" s="68">
        <v>0</v>
      </c>
      <c r="AK97" s="68">
        <v>0</v>
      </c>
      <c r="AL97" s="68">
        <v>0</v>
      </c>
      <c r="AM97" s="68">
        <v>0</v>
      </c>
      <c r="AN97" s="68">
        <v>0</v>
      </c>
      <c r="AO97" s="68">
        <v>0</v>
      </c>
      <c r="AP97" s="68">
        <v>0</v>
      </c>
      <c r="AQ97" s="68">
        <v>0</v>
      </c>
      <c r="AR97" s="68">
        <v>0</v>
      </c>
      <c r="AS97" s="68">
        <v>0</v>
      </c>
      <c r="AT97" s="68">
        <v>0</v>
      </c>
      <c r="AU97" s="68">
        <v>0</v>
      </c>
      <c r="AV97" s="68">
        <v>0</v>
      </c>
      <c r="AW97" s="68">
        <v>0</v>
      </c>
      <c r="AX97" s="68">
        <v>0</v>
      </c>
      <c r="AY97" s="68">
        <v>0</v>
      </c>
      <c r="AZ97" s="68">
        <v>0</v>
      </c>
      <c r="BA97" s="68">
        <v>0</v>
      </c>
      <c r="BB97" s="68">
        <v>0</v>
      </c>
      <c r="BC97" s="68">
        <v>0</v>
      </c>
      <c r="BD97" s="68">
        <v>0</v>
      </c>
      <c r="BE97" s="68">
        <v>0</v>
      </c>
      <c r="BF97" s="68">
        <v>0</v>
      </c>
      <c r="BG97" s="68">
        <v>0</v>
      </c>
      <c r="BH97" s="68">
        <v>0</v>
      </c>
      <c r="BI97" s="68">
        <v>0</v>
      </c>
      <c r="BJ97" s="68">
        <v>0</v>
      </c>
      <c r="BK97" s="68">
        <v>0</v>
      </c>
      <c r="BL97" s="68">
        <v>0</v>
      </c>
      <c r="BM97" s="68">
        <v>0</v>
      </c>
      <c r="BN97" s="68">
        <v>0</v>
      </c>
      <c r="BO97" s="68">
        <v>0</v>
      </c>
      <c r="BP97" s="68">
        <v>0</v>
      </c>
      <c r="BQ97" s="68">
        <v>0</v>
      </c>
      <c r="BR97" s="68">
        <v>0</v>
      </c>
      <c r="BS97" s="68">
        <v>0</v>
      </c>
      <c r="BT97" s="68">
        <v>0</v>
      </c>
      <c r="BU97" s="68">
        <v>0</v>
      </c>
      <c r="BV97" s="68">
        <v>0</v>
      </c>
      <c r="BW97" s="94">
        <v>0</v>
      </c>
      <c r="BX97" s="68">
        <v>0</v>
      </c>
      <c r="BY97" s="68">
        <v>0</v>
      </c>
      <c r="BZ97" s="68">
        <v>0</v>
      </c>
      <c r="CA97" s="68">
        <v>0</v>
      </c>
      <c r="CB97" s="68">
        <v>0</v>
      </c>
      <c r="CC97" s="68">
        <v>0</v>
      </c>
      <c r="CD97" s="68">
        <v>0</v>
      </c>
      <c r="CE97" s="68">
        <v>0</v>
      </c>
      <c r="CF97" s="68">
        <v>0</v>
      </c>
      <c r="CG97" s="68">
        <v>0</v>
      </c>
      <c r="CH97" s="68">
        <v>0</v>
      </c>
      <c r="CI97" s="67"/>
      <c r="CJ97" s="68"/>
      <c r="CK97" s="69"/>
      <c r="CL97" s="69"/>
      <c r="CM97" s="69"/>
      <c r="CN97" s="69"/>
      <c r="CO97" s="69"/>
      <c r="CP97" s="69"/>
      <c r="CQ97" s="69"/>
      <c r="CR97" s="69"/>
      <c r="CS97" s="69"/>
      <c r="CT97" s="69"/>
      <c r="CU97" s="69"/>
      <c r="CV97" s="69"/>
      <c r="CW97" s="69"/>
      <c r="CX97" s="69"/>
      <c r="CY97" s="69"/>
      <c r="CZ97" s="69"/>
      <c r="DA97" s="69"/>
      <c r="DB97" s="69"/>
      <c r="DC97" s="69"/>
      <c r="DD97" s="69"/>
      <c r="DE97" s="69"/>
      <c r="DF97" s="69"/>
      <c r="DG97" s="69"/>
      <c r="DH97" s="69"/>
      <c r="DI97" s="69"/>
      <c r="DJ97" s="69"/>
      <c r="DK97" s="69"/>
      <c r="DL97" s="69"/>
      <c r="DM97" s="69"/>
      <c r="DN97" s="69"/>
      <c r="DO97" s="69"/>
      <c r="DP97" s="69"/>
      <c r="DQ97" s="69"/>
      <c r="DR97" s="69"/>
      <c r="DS97" s="69"/>
      <c r="DT97" s="69"/>
      <c r="DU97" s="69"/>
      <c r="DV97" s="69"/>
      <c r="DW97" s="69"/>
      <c r="DX97" s="69"/>
      <c r="DY97" s="69"/>
      <c r="DZ97" s="69"/>
      <c r="EA97" s="69"/>
      <c r="EB97" s="69"/>
      <c r="EC97" s="69"/>
      <c r="ED97" s="69"/>
      <c r="EE97" s="69"/>
      <c r="EF97" s="69"/>
      <c r="EG97" s="69"/>
      <c r="EH97" s="69"/>
      <c r="EI97" s="69"/>
      <c r="EJ97" s="69"/>
      <c r="EK97" s="69"/>
      <c r="EL97" s="69"/>
      <c r="EM97" s="69"/>
      <c r="EN97" s="69"/>
      <c r="EO97" s="69"/>
      <c r="EP97" s="69"/>
      <c r="EQ97" s="69"/>
      <c r="ER97" s="69"/>
      <c r="ES97" s="69"/>
      <c r="ET97" s="69"/>
      <c r="EU97" s="69"/>
      <c r="EV97" s="69"/>
      <c r="EW97" s="69"/>
      <c r="EX97" s="69"/>
      <c r="EY97" s="69"/>
      <c r="EZ97" s="69"/>
      <c r="FA97" s="69"/>
      <c r="FB97" s="69"/>
      <c r="FC97" s="69"/>
      <c r="FD97" s="69"/>
      <c r="FE97" s="69"/>
      <c r="FF97" s="69"/>
      <c r="FG97" s="69"/>
      <c r="FH97" s="69"/>
      <c r="FI97" s="69"/>
      <c r="FJ97" s="69"/>
      <c r="FK97" s="69"/>
      <c r="FL97" s="69"/>
      <c r="FM97" s="69"/>
      <c r="FN97" s="69"/>
      <c r="FO97" s="69"/>
      <c r="FP97" s="69"/>
      <c r="FQ97" s="69"/>
      <c r="FR97" s="69"/>
      <c r="FS97" s="69"/>
      <c r="FT97" s="69"/>
      <c r="FU97" s="69"/>
      <c r="FV97" s="69"/>
      <c r="FW97" s="69"/>
      <c r="FX97" s="69"/>
      <c r="FY97" s="69"/>
      <c r="FZ97" s="69"/>
      <c r="GA97" s="69"/>
      <c r="GB97" s="69"/>
      <c r="GC97" s="69"/>
      <c r="GD97" s="69"/>
      <c r="GE97" s="69"/>
      <c r="GF97" s="69"/>
      <c r="GG97" s="165"/>
    </row>
    <row r="98" spans="1:189" s="66" customFormat="1" x14ac:dyDescent="0.2">
      <c r="A98"/>
      <c r="B98" s="82">
        <v>42979</v>
      </c>
      <c r="C98" s="68">
        <v>0</v>
      </c>
      <c r="D98" s="68">
        <v>0</v>
      </c>
      <c r="E98" s="68">
        <v>0</v>
      </c>
      <c r="F98" s="68">
        <v>0</v>
      </c>
      <c r="G98" s="68">
        <v>0</v>
      </c>
      <c r="H98" s="68">
        <v>0</v>
      </c>
      <c r="I98" s="68">
        <v>0</v>
      </c>
      <c r="J98" s="68">
        <v>0</v>
      </c>
      <c r="K98" s="68">
        <v>0</v>
      </c>
      <c r="L98" s="68">
        <v>0</v>
      </c>
      <c r="M98" s="68">
        <v>0</v>
      </c>
      <c r="N98" s="68">
        <v>0</v>
      </c>
      <c r="O98" s="68">
        <v>0</v>
      </c>
      <c r="P98" s="68">
        <v>0</v>
      </c>
      <c r="Q98" s="68">
        <v>0</v>
      </c>
      <c r="R98" s="68">
        <v>0</v>
      </c>
      <c r="S98" s="68">
        <v>0</v>
      </c>
      <c r="T98" s="68">
        <v>0</v>
      </c>
      <c r="U98" s="68">
        <v>0</v>
      </c>
      <c r="V98" s="68">
        <v>0</v>
      </c>
      <c r="W98" s="68">
        <v>0</v>
      </c>
      <c r="X98" s="68">
        <v>0</v>
      </c>
      <c r="Y98" s="68">
        <v>0</v>
      </c>
      <c r="Z98" s="68">
        <v>0</v>
      </c>
      <c r="AA98" s="68">
        <v>0</v>
      </c>
      <c r="AB98" s="68">
        <v>0</v>
      </c>
      <c r="AC98" s="68">
        <v>0</v>
      </c>
      <c r="AD98" s="68">
        <v>0</v>
      </c>
      <c r="AE98" s="68">
        <v>0</v>
      </c>
      <c r="AF98" s="68">
        <v>0</v>
      </c>
      <c r="AG98" s="68">
        <v>0</v>
      </c>
      <c r="AH98" s="68">
        <v>0</v>
      </c>
      <c r="AI98" s="68">
        <v>0</v>
      </c>
      <c r="AJ98" s="68">
        <v>0</v>
      </c>
      <c r="AK98" s="68">
        <v>0</v>
      </c>
      <c r="AL98" s="68">
        <v>0</v>
      </c>
      <c r="AM98" s="68">
        <v>0</v>
      </c>
      <c r="AN98" s="68">
        <v>0</v>
      </c>
      <c r="AO98" s="68">
        <v>0</v>
      </c>
      <c r="AP98" s="68">
        <v>0</v>
      </c>
      <c r="AQ98" s="68">
        <v>0</v>
      </c>
      <c r="AR98" s="68">
        <v>0</v>
      </c>
      <c r="AS98" s="68">
        <v>0</v>
      </c>
      <c r="AT98" s="68">
        <v>0</v>
      </c>
      <c r="AU98" s="68">
        <v>0</v>
      </c>
      <c r="AV98" s="68">
        <v>0</v>
      </c>
      <c r="AW98" s="68">
        <v>0</v>
      </c>
      <c r="AX98" s="68">
        <v>0</v>
      </c>
      <c r="AY98" s="68">
        <v>0</v>
      </c>
      <c r="AZ98" s="68">
        <v>0</v>
      </c>
      <c r="BA98" s="68">
        <v>0</v>
      </c>
      <c r="BB98" s="68">
        <v>0</v>
      </c>
      <c r="BC98" s="68">
        <v>0</v>
      </c>
      <c r="BD98" s="68">
        <v>0</v>
      </c>
      <c r="BE98" s="68">
        <v>0</v>
      </c>
      <c r="BF98" s="68">
        <v>0</v>
      </c>
      <c r="BG98" s="68">
        <v>0</v>
      </c>
      <c r="BH98" s="68">
        <v>0</v>
      </c>
      <c r="BI98" s="68">
        <v>0</v>
      </c>
      <c r="BJ98" s="68">
        <v>0</v>
      </c>
      <c r="BK98" s="68">
        <v>0</v>
      </c>
      <c r="BL98" s="68">
        <v>0</v>
      </c>
      <c r="BM98" s="68">
        <v>0</v>
      </c>
      <c r="BN98" s="68">
        <v>0</v>
      </c>
      <c r="BO98" s="68">
        <v>0</v>
      </c>
      <c r="BP98" s="68">
        <v>0</v>
      </c>
      <c r="BQ98" s="68">
        <v>0</v>
      </c>
      <c r="BR98" s="68">
        <v>0</v>
      </c>
      <c r="BS98" s="68">
        <v>0</v>
      </c>
      <c r="BT98" s="68">
        <v>0</v>
      </c>
      <c r="BU98" s="68">
        <v>0</v>
      </c>
      <c r="BV98" s="68">
        <v>0</v>
      </c>
      <c r="BW98" s="68">
        <v>0</v>
      </c>
      <c r="BX98" s="94">
        <v>0</v>
      </c>
      <c r="BY98" s="68">
        <v>0</v>
      </c>
      <c r="BZ98" s="68">
        <v>0</v>
      </c>
      <c r="CA98" s="68">
        <v>0</v>
      </c>
      <c r="CB98" s="68">
        <v>0</v>
      </c>
      <c r="CC98" s="68">
        <v>0</v>
      </c>
      <c r="CD98" s="68">
        <v>0</v>
      </c>
      <c r="CE98" s="68">
        <v>0</v>
      </c>
      <c r="CF98" s="68">
        <v>0</v>
      </c>
      <c r="CG98" s="68">
        <v>0</v>
      </c>
      <c r="CH98" s="68">
        <v>0</v>
      </c>
      <c r="CI98" s="68">
        <v>0</v>
      </c>
      <c r="CJ98" s="67"/>
      <c r="CK98" s="68"/>
      <c r="CL98" s="69"/>
      <c r="CM98" s="69"/>
      <c r="CN98" s="69"/>
      <c r="CO98" s="69"/>
      <c r="CP98" s="69"/>
      <c r="CQ98" s="69"/>
      <c r="CR98" s="69"/>
      <c r="CS98" s="69"/>
      <c r="CT98" s="69"/>
      <c r="CU98" s="69"/>
      <c r="CV98" s="69"/>
      <c r="CW98" s="69"/>
      <c r="CX98" s="69"/>
      <c r="CY98" s="69"/>
      <c r="CZ98" s="69"/>
      <c r="DA98" s="69"/>
      <c r="DB98" s="69"/>
      <c r="DC98" s="69"/>
      <c r="DD98" s="69"/>
      <c r="DE98" s="69"/>
      <c r="DF98" s="69"/>
      <c r="DG98" s="69"/>
      <c r="DH98" s="69"/>
      <c r="DI98" s="69"/>
      <c r="DJ98" s="69"/>
      <c r="DK98" s="69"/>
      <c r="DL98" s="69"/>
      <c r="DM98" s="69"/>
      <c r="DN98" s="69"/>
      <c r="DO98" s="69"/>
      <c r="DP98" s="69"/>
      <c r="DQ98" s="69"/>
      <c r="DR98" s="69"/>
      <c r="DS98" s="69"/>
      <c r="DT98" s="69"/>
      <c r="DU98" s="69"/>
      <c r="DV98" s="69"/>
      <c r="DW98" s="69"/>
      <c r="DX98" s="69"/>
      <c r="DY98" s="69"/>
      <c r="DZ98" s="69"/>
      <c r="EA98" s="69"/>
      <c r="EB98" s="69"/>
      <c r="EC98" s="69"/>
      <c r="ED98" s="69"/>
      <c r="EE98" s="69"/>
      <c r="EF98" s="69"/>
      <c r="EG98" s="69"/>
      <c r="EH98" s="69"/>
      <c r="EI98" s="69"/>
      <c r="EJ98" s="69"/>
      <c r="EK98" s="69"/>
      <c r="EL98" s="69"/>
      <c r="EM98" s="69"/>
      <c r="EN98" s="69"/>
      <c r="EO98" s="69"/>
      <c r="EP98" s="69"/>
      <c r="EQ98" s="69"/>
      <c r="ER98" s="69"/>
      <c r="ES98" s="69"/>
      <c r="ET98" s="69"/>
      <c r="EU98" s="69"/>
      <c r="EV98" s="69"/>
      <c r="EW98" s="69"/>
      <c r="EX98" s="69"/>
      <c r="EY98" s="69"/>
      <c r="EZ98" s="69"/>
      <c r="FA98" s="69"/>
      <c r="FB98" s="69"/>
      <c r="FC98" s="69"/>
      <c r="FD98" s="69"/>
      <c r="FE98" s="69"/>
      <c r="FF98" s="69"/>
      <c r="FG98" s="69"/>
      <c r="FH98" s="69"/>
      <c r="FI98" s="69"/>
      <c r="FJ98" s="69"/>
      <c r="FK98" s="69"/>
      <c r="FL98" s="69"/>
      <c r="FM98" s="69"/>
      <c r="FN98" s="69"/>
      <c r="FO98" s="69"/>
      <c r="FP98" s="69"/>
      <c r="FQ98" s="69"/>
      <c r="FR98" s="69"/>
      <c r="FS98" s="69"/>
      <c r="FT98" s="69"/>
      <c r="FU98" s="69"/>
      <c r="FV98" s="69"/>
      <c r="FW98" s="69"/>
      <c r="FX98" s="69"/>
      <c r="FY98" s="69"/>
      <c r="FZ98" s="69"/>
      <c r="GA98" s="69"/>
      <c r="GB98" s="69"/>
      <c r="GC98" s="69"/>
      <c r="GD98" s="69"/>
      <c r="GE98" s="69"/>
      <c r="GF98" s="69"/>
      <c r="GG98" s="165"/>
    </row>
    <row r="99" spans="1:189" s="66" customFormat="1" x14ac:dyDescent="0.2">
      <c r="A99"/>
      <c r="B99" s="82">
        <v>43009</v>
      </c>
      <c r="C99" s="68">
        <v>0</v>
      </c>
      <c r="D99" s="68">
        <v>0</v>
      </c>
      <c r="E99" s="68">
        <v>0</v>
      </c>
      <c r="F99" s="68">
        <v>0</v>
      </c>
      <c r="G99" s="68">
        <v>0</v>
      </c>
      <c r="H99" s="68">
        <v>0</v>
      </c>
      <c r="I99" s="68">
        <v>0</v>
      </c>
      <c r="J99" s="68">
        <v>0</v>
      </c>
      <c r="K99" s="68">
        <v>0</v>
      </c>
      <c r="L99" s="68">
        <v>0</v>
      </c>
      <c r="M99" s="68">
        <v>0</v>
      </c>
      <c r="N99" s="68">
        <v>0</v>
      </c>
      <c r="O99" s="68">
        <v>0</v>
      </c>
      <c r="P99" s="68">
        <v>0</v>
      </c>
      <c r="Q99" s="68">
        <v>0</v>
      </c>
      <c r="R99" s="68">
        <v>0</v>
      </c>
      <c r="S99" s="68">
        <v>0</v>
      </c>
      <c r="T99" s="68">
        <v>0</v>
      </c>
      <c r="U99" s="68">
        <v>0</v>
      </c>
      <c r="V99" s="68">
        <v>0</v>
      </c>
      <c r="W99" s="68">
        <v>0</v>
      </c>
      <c r="X99" s="68">
        <v>0</v>
      </c>
      <c r="Y99" s="68">
        <v>0</v>
      </c>
      <c r="Z99" s="68">
        <v>0</v>
      </c>
      <c r="AA99" s="68">
        <v>0</v>
      </c>
      <c r="AB99" s="68">
        <v>0</v>
      </c>
      <c r="AC99" s="68">
        <v>0</v>
      </c>
      <c r="AD99" s="68">
        <v>0</v>
      </c>
      <c r="AE99" s="68">
        <v>0</v>
      </c>
      <c r="AF99" s="68">
        <v>0</v>
      </c>
      <c r="AG99" s="68">
        <v>0</v>
      </c>
      <c r="AH99" s="68">
        <v>0</v>
      </c>
      <c r="AI99" s="68">
        <v>0</v>
      </c>
      <c r="AJ99" s="68">
        <v>0</v>
      </c>
      <c r="AK99" s="68">
        <v>0</v>
      </c>
      <c r="AL99" s="68">
        <v>0</v>
      </c>
      <c r="AM99" s="68">
        <v>0</v>
      </c>
      <c r="AN99" s="68">
        <v>0</v>
      </c>
      <c r="AO99" s="68">
        <v>0</v>
      </c>
      <c r="AP99" s="68">
        <v>0</v>
      </c>
      <c r="AQ99" s="68">
        <v>0</v>
      </c>
      <c r="AR99" s="68">
        <v>0</v>
      </c>
      <c r="AS99" s="68">
        <v>0</v>
      </c>
      <c r="AT99" s="68">
        <v>0</v>
      </c>
      <c r="AU99" s="68">
        <v>0</v>
      </c>
      <c r="AV99" s="68">
        <v>0</v>
      </c>
      <c r="AW99" s="68">
        <v>0</v>
      </c>
      <c r="AX99" s="68">
        <v>0</v>
      </c>
      <c r="AY99" s="68">
        <v>0</v>
      </c>
      <c r="AZ99" s="68">
        <v>0</v>
      </c>
      <c r="BA99" s="68">
        <v>0</v>
      </c>
      <c r="BB99" s="68">
        <v>0</v>
      </c>
      <c r="BC99" s="68">
        <v>0</v>
      </c>
      <c r="BD99" s="68">
        <v>0</v>
      </c>
      <c r="BE99" s="68">
        <v>0</v>
      </c>
      <c r="BF99" s="68">
        <v>0</v>
      </c>
      <c r="BG99" s="68">
        <v>0</v>
      </c>
      <c r="BH99" s="68">
        <v>0</v>
      </c>
      <c r="BI99" s="68">
        <v>0</v>
      </c>
      <c r="BJ99" s="68">
        <v>0</v>
      </c>
      <c r="BK99" s="68">
        <v>0</v>
      </c>
      <c r="BL99" s="68">
        <v>0</v>
      </c>
      <c r="BM99" s="68">
        <v>0</v>
      </c>
      <c r="BN99" s="68">
        <v>0</v>
      </c>
      <c r="BO99" s="68">
        <v>0</v>
      </c>
      <c r="BP99" s="68">
        <v>0</v>
      </c>
      <c r="BQ99" s="68">
        <v>0</v>
      </c>
      <c r="BR99" s="68">
        <v>0</v>
      </c>
      <c r="BS99" s="68">
        <v>0</v>
      </c>
      <c r="BT99" s="68">
        <v>0</v>
      </c>
      <c r="BU99" s="68">
        <v>0</v>
      </c>
      <c r="BV99" s="68">
        <v>0</v>
      </c>
      <c r="BW99" s="68">
        <v>0</v>
      </c>
      <c r="BX99" s="68">
        <v>0</v>
      </c>
      <c r="BY99" s="94">
        <v>0</v>
      </c>
      <c r="BZ99" s="68">
        <v>0</v>
      </c>
      <c r="CA99" s="68">
        <v>0</v>
      </c>
      <c r="CB99" s="68">
        <v>0</v>
      </c>
      <c r="CC99" s="68">
        <v>0</v>
      </c>
      <c r="CD99" s="68">
        <v>0</v>
      </c>
      <c r="CE99" s="68">
        <v>0</v>
      </c>
      <c r="CF99" s="68">
        <v>0</v>
      </c>
      <c r="CG99" s="68">
        <v>0</v>
      </c>
      <c r="CH99" s="68">
        <v>0</v>
      </c>
      <c r="CI99" s="68">
        <v>0</v>
      </c>
      <c r="CJ99" s="68">
        <v>0</v>
      </c>
      <c r="CK99" s="67"/>
      <c r="CL99" s="68"/>
      <c r="CM99" s="69"/>
      <c r="CN99" s="69"/>
      <c r="CO99" s="69"/>
      <c r="CP99" s="69"/>
      <c r="CQ99" s="69"/>
      <c r="CR99" s="69"/>
      <c r="CS99" s="69"/>
      <c r="CT99" s="69"/>
      <c r="CU99" s="69"/>
      <c r="CV99" s="69"/>
      <c r="CW99" s="69"/>
      <c r="CX99" s="69"/>
      <c r="CY99" s="69"/>
      <c r="CZ99" s="69"/>
      <c r="DA99" s="69"/>
      <c r="DB99" s="69"/>
      <c r="DC99" s="69"/>
      <c r="DD99" s="69"/>
      <c r="DE99" s="69"/>
      <c r="DF99" s="69"/>
      <c r="DG99" s="69"/>
      <c r="DH99" s="69"/>
      <c r="DI99" s="69"/>
      <c r="DJ99" s="69"/>
      <c r="DK99" s="69"/>
      <c r="DL99" s="69"/>
      <c r="DM99" s="69"/>
      <c r="DN99" s="69"/>
      <c r="DO99" s="69"/>
      <c r="DP99" s="69"/>
      <c r="DQ99" s="69"/>
      <c r="DR99" s="69"/>
      <c r="DS99" s="69"/>
      <c r="DT99" s="69"/>
      <c r="DU99" s="69"/>
      <c r="DV99" s="69"/>
      <c r="DW99" s="69"/>
      <c r="DX99" s="69"/>
      <c r="DY99" s="69"/>
      <c r="DZ99" s="69"/>
      <c r="EA99" s="69"/>
      <c r="EB99" s="69"/>
      <c r="EC99" s="69"/>
      <c r="ED99" s="69"/>
      <c r="EE99" s="69"/>
      <c r="EF99" s="69"/>
      <c r="EG99" s="69"/>
      <c r="EH99" s="69"/>
      <c r="EI99" s="69"/>
      <c r="EJ99" s="69"/>
      <c r="EK99" s="69"/>
      <c r="EL99" s="69"/>
      <c r="EM99" s="69"/>
      <c r="EN99" s="69"/>
      <c r="EO99" s="69"/>
      <c r="EP99" s="69"/>
      <c r="EQ99" s="69"/>
      <c r="ER99" s="69"/>
      <c r="ES99" s="69"/>
      <c r="ET99" s="69"/>
      <c r="EU99" s="69"/>
      <c r="EV99" s="69"/>
      <c r="EW99" s="69"/>
      <c r="EX99" s="69"/>
      <c r="EY99" s="69"/>
      <c r="EZ99" s="69"/>
      <c r="FA99" s="69"/>
      <c r="FB99" s="69"/>
      <c r="FC99" s="69"/>
      <c r="FD99" s="69"/>
      <c r="FE99" s="69"/>
      <c r="FF99" s="69"/>
      <c r="FG99" s="69"/>
      <c r="FH99" s="69"/>
      <c r="FI99" s="69"/>
      <c r="FJ99" s="69"/>
      <c r="FK99" s="69"/>
      <c r="FL99" s="69"/>
      <c r="FM99" s="69"/>
      <c r="FN99" s="69"/>
      <c r="FO99" s="69"/>
      <c r="FP99" s="69"/>
      <c r="FQ99" s="69"/>
      <c r="FR99" s="69"/>
      <c r="FS99" s="69"/>
      <c r="FT99" s="69"/>
      <c r="FU99" s="69"/>
      <c r="FV99" s="69"/>
      <c r="FW99" s="69"/>
      <c r="FX99" s="69"/>
      <c r="FY99" s="69"/>
      <c r="FZ99" s="69"/>
      <c r="GA99" s="69"/>
      <c r="GB99" s="69"/>
      <c r="GC99" s="69"/>
      <c r="GD99" s="69"/>
      <c r="GE99" s="69"/>
      <c r="GF99" s="69"/>
      <c r="GG99" s="165"/>
    </row>
    <row r="100" spans="1:189" s="66" customFormat="1" x14ac:dyDescent="0.2">
      <c r="A100"/>
      <c r="B100" s="82">
        <v>43040</v>
      </c>
      <c r="C100" s="68">
        <v>0</v>
      </c>
      <c r="D100" s="68">
        <v>0</v>
      </c>
      <c r="E100" s="68">
        <v>0</v>
      </c>
      <c r="F100" s="68">
        <v>0</v>
      </c>
      <c r="G100" s="68">
        <v>0</v>
      </c>
      <c r="H100" s="68">
        <v>0</v>
      </c>
      <c r="I100" s="68">
        <v>0</v>
      </c>
      <c r="J100" s="68">
        <v>0</v>
      </c>
      <c r="K100" s="68">
        <v>0</v>
      </c>
      <c r="L100" s="68">
        <v>0</v>
      </c>
      <c r="M100" s="68">
        <v>0</v>
      </c>
      <c r="N100" s="68">
        <v>0</v>
      </c>
      <c r="O100" s="68">
        <v>0</v>
      </c>
      <c r="P100" s="68">
        <v>0</v>
      </c>
      <c r="Q100" s="68">
        <v>0</v>
      </c>
      <c r="R100" s="68">
        <v>0</v>
      </c>
      <c r="S100" s="68">
        <v>0</v>
      </c>
      <c r="T100" s="68">
        <v>0</v>
      </c>
      <c r="U100" s="68">
        <v>0</v>
      </c>
      <c r="V100" s="68">
        <v>0</v>
      </c>
      <c r="W100" s="68">
        <v>0</v>
      </c>
      <c r="X100" s="68">
        <v>0</v>
      </c>
      <c r="Y100" s="68">
        <v>0</v>
      </c>
      <c r="Z100" s="68">
        <v>0</v>
      </c>
      <c r="AA100" s="68">
        <v>0</v>
      </c>
      <c r="AB100" s="68">
        <v>0</v>
      </c>
      <c r="AC100" s="68">
        <v>0</v>
      </c>
      <c r="AD100" s="68">
        <v>0</v>
      </c>
      <c r="AE100" s="68">
        <v>0</v>
      </c>
      <c r="AF100" s="68">
        <v>0</v>
      </c>
      <c r="AG100" s="68">
        <v>0</v>
      </c>
      <c r="AH100" s="68">
        <v>0</v>
      </c>
      <c r="AI100" s="68">
        <v>0</v>
      </c>
      <c r="AJ100" s="68">
        <v>0</v>
      </c>
      <c r="AK100" s="68">
        <v>0</v>
      </c>
      <c r="AL100" s="68">
        <v>0</v>
      </c>
      <c r="AM100" s="68">
        <v>0</v>
      </c>
      <c r="AN100" s="68">
        <v>0</v>
      </c>
      <c r="AO100" s="68">
        <v>0</v>
      </c>
      <c r="AP100" s="68">
        <v>0</v>
      </c>
      <c r="AQ100" s="68">
        <v>0</v>
      </c>
      <c r="AR100" s="68">
        <v>0</v>
      </c>
      <c r="AS100" s="68">
        <v>0</v>
      </c>
      <c r="AT100" s="68">
        <v>0</v>
      </c>
      <c r="AU100" s="68">
        <v>0</v>
      </c>
      <c r="AV100" s="68">
        <v>0</v>
      </c>
      <c r="AW100" s="68">
        <v>0</v>
      </c>
      <c r="AX100" s="68">
        <v>0</v>
      </c>
      <c r="AY100" s="68">
        <v>0</v>
      </c>
      <c r="AZ100" s="68">
        <v>0</v>
      </c>
      <c r="BA100" s="68">
        <v>0</v>
      </c>
      <c r="BB100" s="68">
        <v>0</v>
      </c>
      <c r="BC100" s="68">
        <v>0</v>
      </c>
      <c r="BD100" s="68">
        <v>0</v>
      </c>
      <c r="BE100" s="68">
        <v>0</v>
      </c>
      <c r="BF100" s="68">
        <v>0</v>
      </c>
      <c r="BG100" s="68">
        <v>0</v>
      </c>
      <c r="BH100" s="68">
        <v>0</v>
      </c>
      <c r="BI100" s="68">
        <v>0</v>
      </c>
      <c r="BJ100" s="68">
        <v>0</v>
      </c>
      <c r="BK100" s="68">
        <v>0</v>
      </c>
      <c r="BL100" s="68">
        <v>0</v>
      </c>
      <c r="BM100" s="68">
        <v>0</v>
      </c>
      <c r="BN100" s="68">
        <v>0</v>
      </c>
      <c r="BO100" s="68">
        <v>0</v>
      </c>
      <c r="BP100" s="68">
        <v>0</v>
      </c>
      <c r="BQ100" s="68">
        <v>0</v>
      </c>
      <c r="BR100" s="68">
        <v>0</v>
      </c>
      <c r="BS100" s="68">
        <v>0</v>
      </c>
      <c r="BT100" s="68">
        <v>0</v>
      </c>
      <c r="BU100" s="68">
        <v>0</v>
      </c>
      <c r="BV100" s="68">
        <v>0</v>
      </c>
      <c r="BW100" s="68">
        <v>0</v>
      </c>
      <c r="BX100" s="68">
        <v>0</v>
      </c>
      <c r="BY100" s="68">
        <v>0</v>
      </c>
      <c r="BZ100" s="94">
        <v>0</v>
      </c>
      <c r="CA100" s="68">
        <v>0</v>
      </c>
      <c r="CB100" s="68">
        <v>0</v>
      </c>
      <c r="CC100" s="68">
        <v>0</v>
      </c>
      <c r="CD100" s="68">
        <v>0</v>
      </c>
      <c r="CE100" s="68">
        <v>0</v>
      </c>
      <c r="CF100" s="68">
        <v>0</v>
      </c>
      <c r="CG100" s="68">
        <v>0</v>
      </c>
      <c r="CH100" s="68">
        <v>0</v>
      </c>
      <c r="CI100" s="68">
        <v>0</v>
      </c>
      <c r="CJ100" s="68">
        <v>0</v>
      </c>
      <c r="CK100" s="68">
        <v>0</v>
      </c>
      <c r="CL100" s="67"/>
      <c r="CM100" s="68"/>
      <c r="CN100" s="69"/>
      <c r="CO100" s="69"/>
      <c r="CP100" s="69"/>
      <c r="CQ100" s="69"/>
      <c r="CR100" s="69"/>
      <c r="CS100" s="69"/>
      <c r="CT100" s="69"/>
      <c r="CU100" s="69"/>
      <c r="CV100" s="69"/>
      <c r="CW100" s="69"/>
      <c r="CX100" s="69"/>
      <c r="CY100" s="69"/>
      <c r="CZ100" s="69"/>
      <c r="DA100" s="69"/>
      <c r="DB100" s="69"/>
      <c r="DC100" s="69"/>
      <c r="DD100" s="69"/>
      <c r="DE100" s="69"/>
      <c r="DF100" s="69"/>
      <c r="DG100" s="69"/>
      <c r="DH100" s="69"/>
      <c r="DI100" s="69"/>
      <c r="DJ100" s="69"/>
      <c r="DK100" s="69"/>
      <c r="DL100" s="69"/>
      <c r="DM100" s="69"/>
      <c r="DN100" s="69"/>
      <c r="DO100" s="69"/>
      <c r="DP100" s="69"/>
      <c r="DQ100" s="69"/>
      <c r="DR100" s="69"/>
      <c r="DS100" s="69"/>
      <c r="DT100" s="69"/>
      <c r="DU100" s="69"/>
      <c r="DV100" s="69"/>
      <c r="DW100" s="69"/>
      <c r="DX100" s="69"/>
      <c r="DY100" s="69"/>
      <c r="DZ100" s="69"/>
      <c r="EA100" s="69"/>
      <c r="EB100" s="69"/>
      <c r="EC100" s="69"/>
      <c r="ED100" s="69"/>
      <c r="EE100" s="69"/>
      <c r="EF100" s="69"/>
      <c r="EG100" s="69"/>
      <c r="EH100" s="69"/>
      <c r="EI100" s="69"/>
      <c r="EJ100" s="69"/>
      <c r="EK100" s="69"/>
      <c r="EL100" s="69"/>
      <c r="EM100" s="69"/>
      <c r="EN100" s="69"/>
      <c r="EO100" s="69"/>
      <c r="EP100" s="69"/>
      <c r="EQ100" s="69"/>
      <c r="ER100" s="69"/>
      <c r="ES100" s="69"/>
      <c r="ET100" s="69"/>
      <c r="EU100" s="69"/>
      <c r="EV100" s="69"/>
      <c r="EW100" s="69"/>
      <c r="EX100" s="69"/>
      <c r="EY100" s="69"/>
      <c r="EZ100" s="69"/>
      <c r="FA100" s="69"/>
      <c r="FB100" s="69"/>
      <c r="FC100" s="69"/>
      <c r="FD100" s="69"/>
      <c r="FE100" s="69"/>
      <c r="FF100" s="69"/>
      <c r="FG100" s="69"/>
      <c r="FH100" s="69"/>
      <c r="FI100" s="69"/>
      <c r="FJ100" s="69"/>
      <c r="FK100" s="69"/>
      <c r="FL100" s="69"/>
      <c r="FM100" s="69"/>
      <c r="FN100" s="69"/>
      <c r="FO100" s="69"/>
      <c r="FP100" s="69"/>
      <c r="FQ100" s="69"/>
      <c r="FR100" s="69"/>
      <c r="FS100" s="69"/>
      <c r="FT100" s="69"/>
      <c r="FU100" s="69"/>
      <c r="FV100" s="69"/>
      <c r="FW100" s="69"/>
      <c r="FX100" s="69"/>
      <c r="FY100" s="69"/>
      <c r="FZ100" s="69"/>
      <c r="GA100" s="69"/>
      <c r="GB100" s="69"/>
      <c r="GC100" s="69"/>
      <c r="GD100" s="69"/>
      <c r="GE100" s="69"/>
      <c r="GF100" s="69"/>
      <c r="GG100" s="165"/>
    </row>
    <row r="101" spans="1:189" s="66" customFormat="1" x14ac:dyDescent="0.2">
      <c r="A101"/>
      <c r="B101" s="82">
        <v>43070</v>
      </c>
      <c r="C101" s="68">
        <v>0</v>
      </c>
      <c r="D101" s="68">
        <v>0</v>
      </c>
      <c r="E101" s="68">
        <v>0</v>
      </c>
      <c r="F101" s="68">
        <v>0</v>
      </c>
      <c r="G101" s="68">
        <v>0</v>
      </c>
      <c r="H101" s="68">
        <v>0</v>
      </c>
      <c r="I101" s="68">
        <v>0</v>
      </c>
      <c r="J101" s="68">
        <v>0</v>
      </c>
      <c r="K101" s="68">
        <v>0</v>
      </c>
      <c r="L101" s="68">
        <v>0</v>
      </c>
      <c r="M101" s="68">
        <v>0</v>
      </c>
      <c r="N101" s="68">
        <v>0</v>
      </c>
      <c r="O101" s="68">
        <v>0</v>
      </c>
      <c r="P101" s="68">
        <v>0</v>
      </c>
      <c r="Q101" s="68">
        <v>0</v>
      </c>
      <c r="R101" s="68">
        <v>0</v>
      </c>
      <c r="S101" s="68">
        <v>0</v>
      </c>
      <c r="T101" s="68">
        <v>0</v>
      </c>
      <c r="U101" s="68">
        <v>0</v>
      </c>
      <c r="V101" s="68">
        <v>0</v>
      </c>
      <c r="W101" s="68">
        <v>0</v>
      </c>
      <c r="X101" s="68">
        <v>0</v>
      </c>
      <c r="Y101" s="68">
        <v>0</v>
      </c>
      <c r="Z101" s="68">
        <v>0</v>
      </c>
      <c r="AA101" s="68">
        <v>0</v>
      </c>
      <c r="AB101" s="68">
        <v>0</v>
      </c>
      <c r="AC101" s="68">
        <v>0</v>
      </c>
      <c r="AD101" s="68">
        <v>0</v>
      </c>
      <c r="AE101" s="68">
        <v>0</v>
      </c>
      <c r="AF101" s="68">
        <v>0</v>
      </c>
      <c r="AG101" s="68">
        <v>0</v>
      </c>
      <c r="AH101" s="68">
        <v>0</v>
      </c>
      <c r="AI101" s="68">
        <v>0</v>
      </c>
      <c r="AJ101" s="68">
        <v>0</v>
      </c>
      <c r="AK101" s="68">
        <v>0</v>
      </c>
      <c r="AL101" s="68">
        <v>0</v>
      </c>
      <c r="AM101" s="68">
        <v>0</v>
      </c>
      <c r="AN101" s="68">
        <v>0</v>
      </c>
      <c r="AO101" s="68">
        <v>0</v>
      </c>
      <c r="AP101" s="68">
        <v>0</v>
      </c>
      <c r="AQ101" s="68">
        <v>0</v>
      </c>
      <c r="AR101" s="68">
        <v>0</v>
      </c>
      <c r="AS101" s="68">
        <v>0</v>
      </c>
      <c r="AT101" s="68">
        <v>0</v>
      </c>
      <c r="AU101" s="68">
        <v>0</v>
      </c>
      <c r="AV101" s="68">
        <v>0</v>
      </c>
      <c r="AW101" s="68">
        <v>0</v>
      </c>
      <c r="AX101" s="68">
        <v>0</v>
      </c>
      <c r="AY101" s="68">
        <v>0</v>
      </c>
      <c r="AZ101" s="68">
        <v>0</v>
      </c>
      <c r="BA101" s="68">
        <v>0</v>
      </c>
      <c r="BB101" s="68">
        <v>0</v>
      </c>
      <c r="BC101" s="68">
        <v>0</v>
      </c>
      <c r="BD101" s="68">
        <v>0</v>
      </c>
      <c r="BE101" s="68">
        <v>0</v>
      </c>
      <c r="BF101" s="68">
        <v>0</v>
      </c>
      <c r="BG101" s="68">
        <v>0</v>
      </c>
      <c r="BH101" s="68">
        <v>0</v>
      </c>
      <c r="BI101" s="68">
        <v>0</v>
      </c>
      <c r="BJ101" s="68">
        <v>0</v>
      </c>
      <c r="BK101" s="68">
        <v>0</v>
      </c>
      <c r="BL101" s="68">
        <v>0</v>
      </c>
      <c r="BM101" s="68">
        <v>0</v>
      </c>
      <c r="BN101" s="68">
        <v>0</v>
      </c>
      <c r="BO101" s="68">
        <v>0</v>
      </c>
      <c r="BP101" s="68">
        <v>0</v>
      </c>
      <c r="BQ101" s="68">
        <v>0</v>
      </c>
      <c r="BR101" s="68">
        <v>0</v>
      </c>
      <c r="BS101" s="68">
        <v>0</v>
      </c>
      <c r="BT101" s="68">
        <v>0</v>
      </c>
      <c r="BU101" s="68">
        <v>0</v>
      </c>
      <c r="BV101" s="68">
        <v>0</v>
      </c>
      <c r="BW101" s="68">
        <v>0</v>
      </c>
      <c r="BX101" s="68">
        <v>0</v>
      </c>
      <c r="BY101" s="68">
        <v>0</v>
      </c>
      <c r="BZ101" s="68">
        <v>0</v>
      </c>
      <c r="CA101" s="94">
        <v>0</v>
      </c>
      <c r="CB101" s="68">
        <v>0</v>
      </c>
      <c r="CC101" s="68">
        <v>0</v>
      </c>
      <c r="CD101" s="68">
        <v>0</v>
      </c>
      <c r="CE101" s="68">
        <v>0</v>
      </c>
      <c r="CF101" s="68">
        <v>0</v>
      </c>
      <c r="CG101" s="68">
        <v>0</v>
      </c>
      <c r="CH101" s="68">
        <v>0</v>
      </c>
      <c r="CI101" s="68">
        <v>0</v>
      </c>
      <c r="CJ101" s="68">
        <v>0</v>
      </c>
      <c r="CK101" s="68">
        <v>0</v>
      </c>
      <c r="CL101" s="68">
        <v>0</v>
      </c>
      <c r="CM101" s="67"/>
      <c r="CN101" s="68"/>
      <c r="CO101" s="69"/>
      <c r="CP101" s="69"/>
      <c r="CQ101" s="69"/>
      <c r="CR101" s="69"/>
      <c r="CS101" s="69"/>
      <c r="CT101" s="69"/>
      <c r="CU101" s="69"/>
      <c r="CV101" s="69"/>
      <c r="CW101" s="69"/>
      <c r="CX101" s="69"/>
      <c r="CY101" s="69"/>
      <c r="CZ101" s="69"/>
      <c r="DA101" s="69"/>
      <c r="DB101" s="69"/>
      <c r="DC101" s="69"/>
      <c r="DD101" s="69"/>
      <c r="DE101" s="69"/>
      <c r="DF101" s="69"/>
      <c r="DG101" s="69"/>
      <c r="DH101" s="69"/>
      <c r="DI101" s="69"/>
      <c r="DJ101" s="69"/>
      <c r="DK101" s="69"/>
      <c r="DL101" s="69"/>
      <c r="DM101" s="69"/>
      <c r="DN101" s="69"/>
      <c r="DO101" s="69"/>
      <c r="DP101" s="69"/>
      <c r="DQ101" s="69"/>
      <c r="DR101" s="69"/>
      <c r="DS101" s="69"/>
      <c r="DT101" s="69"/>
      <c r="DU101" s="69"/>
      <c r="DV101" s="69"/>
      <c r="DW101" s="69"/>
      <c r="DX101" s="69"/>
      <c r="DY101" s="69"/>
      <c r="DZ101" s="69"/>
      <c r="EA101" s="69"/>
      <c r="EB101" s="69"/>
      <c r="EC101" s="69"/>
      <c r="ED101" s="69"/>
      <c r="EE101" s="69"/>
      <c r="EF101" s="69"/>
      <c r="EG101" s="69"/>
      <c r="EH101" s="69"/>
      <c r="EI101" s="69"/>
      <c r="EJ101" s="69"/>
      <c r="EK101" s="69"/>
      <c r="EL101" s="69"/>
      <c r="EM101" s="69"/>
      <c r="EN101" s="69"/>
      <c r="EO101" s="69"/>
      <c r="EP101" s="69"/>
      <c r="EQ101" s="69"/>
      <c r="ER101" s="69"/>
      <c r="ES101" s="69"/>
      <c r="ET101" s="69"/>
      <c r="EU101" s="69"/>
      <c r="EV101" s="69"/>
      <c r="EW101" s="69"/>
      <c r="EX101" s="69"/>
      <c r="EY101" s="69"/>
      <c r="EZ101" s="69"/>
      <c r="FA101" s="69"/>
      <c r="FB101" s="69"/>
      <c r="FC101" s="69"/>
      <c r="FD101" s="69"/>
      <c r="FE101" s="69"/>
      <c r="FF101" s="69"/>
      <c r="FG101" s="69"/>
      <c r="FH101" s="69"/>
      <c r="FI101" s="69"/>
      <c r="FJ101" s="69"/>
      <c r="FK101" s="69"/>
      <c r="FL101" s="69"/>
      <c r="FM101" s="69"/>
      <c r="FN101" s="69"/>
      <c r="FO101" s="69"/>
      <c r="FP101" s="69"/>
      <c r="FQ101" s="69"/>
      <c r="FR101" s="69"/>
      <c r="FS101" s="69"/>
      <c r="FT101" s="69"/>
      <c r="FU101" s="69"/>
      <c r="FV101" s="69"/>
      <c r="FW101" s="69"/>
      <c r="FX101" s="69"/>
      <c r="FY101" s="69"/>
      <c r="FZ101" s="69"/>
      <c r="GA101" s="69"/>
      <c r="GB101" s="69"/>
      <c r="GC101" s="69"/>
      <c r="GD101" s="69"/>
      <c r="GE101" s="69"/>
      <c r="GF101" s="69"/>
      <c r="GG101" s="165"/>
    </row>
    <row r="102" spans="1:189" s="66" customFormat="1" x14ac:dyDescent="0.2">
      <c r="A102"/>
      <c r="B102" s="82">
        <v>43101</v>
      </c>
      <c r="C102" s="68">
        <v>0</v>
      </c>
      <c r="D102" s="68">
        <v>0</v>
      </c>
      <c r="E102" s="68">
        <v>0</v>
      </c>
      <c r="F102" s="68">
        <v>0</v>
      </c>
      <c r="G102" s="68">
        <v>0</v>
      </c>
      <c r="H102" s="68">
        <v>0</v>
      </c>
      <c r="I102" s="68">
        <v>0</v>
      </c>
      <c r="J102" s="68">
        <v>0</v>
      </c>
      <c r="K102" s="68">
        <v>0</v>
      </c>
      <c r="L102" s="68">
        <v>0</v>
      </c>
      <c r="M102" s="68">
        <v>0</v>
      </c>
      <c r="N102" s="68">
        <v>0</v>
      </c>
      <c r="O102" s="68">
        <v>0</v>
      </c>
      <c r="P102" s="68">
        <v>0</v>
      </c>
      <c r="Q102" s="68">
        <v>0</v>
      </c>
      <c r="R102" s="68">
        <v>0</v>
      </c>
      <c r="S102" s="68">
        <v>0</v>
      </c>
      <c r="T102" s="68">
        <v>0</v>
      </c>
      <c r="U102" s="68">
        <v>0</v>
      </c>
      <c r="V102" s="68">
        <v>0</v>
      </c>
      <c r="W102" s="68">
        <v>0</v>
      </c>
      <c r="X102" s="68">
        <v>0</v>
      </c>
      <c r="Y102" s="68">
        <v>0</v>
      </c>
      <c r="Z102" s="68">
        <v>0</v>
      </c>
      <c r="AA102" s="68">
        <v>0</v>
      </c>
      <c r="AB102" s="68">
        <v>0</v>
      </c>
      <c r="AC102" s="68">
        <v>0</v>
      </c>
      <c r="AD102" s="68">
        <v>0</v>
      </c>
      <c r="AE102" s="68">
        <v>0</v>
      </c>
      <c r="AF102" s="68">
        <v>0</v>
      </c>
      <c r="AG102" s="68">
        <v>0</v>
      </c>
      <c r="AH102" s="68">
        <v>0</v>
      </c>
      <c r="AI102" s="68">
        <v>0</v>
      </c>
      <c r="AJ102" s="68">
        <v>0</v>
      </c>
      <c r="AK102" s="68">
        <v>0</v>
      </c>
      <c r="AL102" s="68">
        <v>0</v>
      </c>
      <c r="AM102" s="68">
        <v>0</v>
      </c>
      <c r="AN102" s="68">
        <v>0</v>
      </c>
      <c r="AO102" s="68">
        <v>0</v>
      </c>
      <c r="AP102" s="68">
        <v>0</v>
      </c>
      <c r="AQ102" s="68">
        <v>0</v>
      </c>
      <c r="AR102" s="68">
        <v>0</v>
      </c>
      <c r="AS102" s="68">
        <v>0</v>
      </c>
      <c r="AT102" s="68">
        <v>0</v>
      </c>
      <c r="AU102" s="68">
        <v>0</v>
      </c>
      <c r="AV102" s="68">
        <v>0</v>
      </c>
      <c r="AW102" s="68">
        <v>0</v>
      </c>
      <c r="AX102" s="68">
        <v>0</v>
      </c>
      <c r="AY102" s="68">
        <v>0</v>
      </c>
      <c r="AZ102" s="68">
        <v>0</v>
      </c>
      <c r="BA102" s="68">
        <v>0</v>
      </c>
      <c r="BB102" s="68">
        <v>0</v>
      </c>
      <c r="BC102" s="68">
        <v>0</v>
      </c>
      <c r="BD102" s="68">
        <v>0</v>
      </c>
      <c r="BE102" s="68">
        <v>0</v>
      </c>
      <c r="BF102" s="68">
        <v>0</v>
      </c>
      <c r="BG102" s="68">
        <v>0</v>
      </c>
      <c r="BH102" s="68">
        <v>0</v>
      </c>
      <c r="BI102" s="68">
        <v>0</v>
      </c>
      <c r="BJ102" s="68">
        <v>0</v>
      </c>
      <c r="BK102" s="68">
        <v>0</v>
      </c>
      <c r="BL102" s="68">
        <v>0</v>
      </c>
      <c r="BM102" s="68">
        <v>0</v>
      </c>
      <c r="BN102" s="68">
        <v>0</v>
      </c>
      <c r="BO102" s="68">
        <v>0</v>
      </c>
      <c r="BP102" s="68">
        <v>0</v>
      </c>
      <c r="BQ102" s="68">
        <v>0</v>
      </c>
      <c r="BR102" s="68">
        <v>0</v>
      </c>
      <c r="BS102" s="68">
        <v>0</v>
      </c>
      <c r="BT102" s="68">
        <v>0</v>
      </c>
      <c r="BU102" s="68">
        <v>0</v>
      </c>
      <c r="BV102" s="68">
        <v>0</v>
      </c>
      <c r="BW102" s="68">
        <v>0</v>
      </c>
      <c r="BX102" s="68">
        <v>0</v>
      </c>
      <c r="BY102" s="68">
        <v>0</v>
      </c>
      <c r="BZ102" s="68">
        <v>0</v>
      </c>
      <c r="CA102" s="68">
        <v>0</v>
      </c>
      <c r="CB102" s="94">
        <v>0</v>
      </c>
      <c r="CC102" s="68">
        <v>0</v>
      </c>
      <c r="CD102" s="68">
        <v>0</v>
      </c>
      <c r="CE102" s="68">
        <v>0</v>
      </c>
      <c r="CF102" s="68">
        <v>0</v>
      </c>
      <c r="CG102" s="68">
        <v>0</v>
      </c>
      <c r="CH102" s="68">
        <v>0</v>
      </c>
      <c r="CI102" s="68">
        <v>0</v>
      </c>
      <c r="CJ102" s="68">
        <v>0</v>
      </c>
      <c r="CK102" s="68">
        <v>0</v>
      </c>
      <c r="CL102" s="68">
        <v>0</v>
      </c>
      <c r="CM102" s="68">
        <v>0</v>
      </c>
      <c r="CN102" s="67"/>
      <c r="CO102" s="68"/>
      <c r="CP102" s="69"/>
      <c r="CQ102" s="69"/>
      <c r="CR102" s="69"/>
      <c r="CS102" s="69"/>
      <c r="CT102" s="69"/>
      <c r="CU102" s="69"/>
      <c r="CV102" s="69"/>
      <c r="CW102" s="69"/>
      <c r="CX102" s="69"/>
      <c r="CY102" s="69"/>
      <c r="CZ102" s="69"/>
      <c r="DA102" s="69"/>
      <c r="DB102" s="69"/>
      <c r="DC102" s="69"/>
      <c r="DD102" s="69"/>
      <c r="DE102" s="69"/>
      <c r="DF102" s="69"/>
      <c r="DG102" s="69"/>
      <c r="DH102" s="69"/>
      <c r="DI102" s="69"/>
      <c r="DJ102" s="69"/>
      <c r="DK102" s="69"/>
      <c r="DL102" s="69"/>
      <c r="DM102" s="69"/>
      <c r="DN102" s="69"/>
      <c r="DO102" s="69"/>
      <c r="DP102" s="69"/>
      <c r="DQ102" s="69"/>
      <c r="DR102" s="69"/>
      <c r="DS102" s="69"/>
      <c r="DT102" s="69"/>
      <c r="DU102" s="69"/>
      <c r="DV102" s="69"/>
      <c r="DW102" s="69"/>
      <c r="DX102" s="69"/>
      <c r="DY102" s="69"/>
      <c r="DZ102" s="69"/>
      <c r="EA102" s="69"/>
      <c r="EB102" s="69"/>
      <c r="EC102" s="69"/>
      <c r="ED102" s="69"/>
      <c r="EE102" s="69"/>
      <c r="EF102" s="69"/>
      <c r="EG102" s="69"/>
      <c r="EH102" s="69"/>
      <c r="EI102" s="69"/>
      <c r="EJ102" s="69"/>
      <c r="EK102" s="69"/>
      <c r="EL102" s="69"/>
      <c r="EM102" s="69"/>
      <c r="EN102" s="69"/>
      <c r="EO102" s="69"/>
      <c r="EP102" s="69"/>
      <c r="EQ102" s="69"/>
      <c r="ER102" s="69"/>
      <c r="ES102" s="69"/>
      <c r="ET102" s="69"/>
      <c r="EU102" s="69"/>
      <c r="EV102" s="69"/>
      <c r="EW102" s="69"/>
      <c r="EX102" s="69"/>
      <c r="EY102" s="69"/>
      <c r="EZ102" s="69"/>
      <c r="FA102" s="69"/>
      <c r="FB102" s="69"/>
      <c r="FC102" s="69"/>
      <c r="FD102" s="69"/>
      <c r="FE102" s="69"/>
      <c r="FF102" s="69"/>
      <c r="FG102" s="69"/>
      <c r="FH102" s="69"/>
      <c r="FI102" s="69"/>
      <c r="FJ102" s="69"/>
      <c r="FK102" s="69"/>
      <c r="FL102" s="69"/>
      <c r="FM102" s="69"/>
      <c r="FN102" s="69"/>
      <c r="FO102" s="69"/>
      <c r="FP102" s="69"/>
      <c r="FQ102" s="69"/>
      <c r="FR102" s="69"/>
      <c r="FS102" s="69"/>
      <c r="FT102" s="69"/>
      <c r="FU102" s="69"/>
      <c r="FV102" s="69"/>
      <c r="FW102" s="69"/>
      <c r="FX102" s="69"/>
      <c r="FY102" s="69"/>
      <c r="FZ102" s="69"/>
      <c r="GA102" s="69"/>
      <c r="GB102" s="69"/>
      <c r="GC102" s="69"/>
      <c r="GD102" s="69"/>
      <c r="GE102" s="69"/>
      <c r="GF102" s="69"/>
      <c r="GG102" s="165"/>
    </row>
    <row r="103" spans="1:189" s="66" customFormat="1" x14ac:dyDescent="0.2">
      <c r="A103"/>
      <c r="B103" s="82">
        <v>43132</v>
      </c>
      <c r="C103" s="68">
        <v>0</v>
      </c>
      <c r="D103" s="68">
        <v>0</v>
      </c>
      <c r="E103" s="68">
        <v>0</v>
      </c>
      <c r="F103" s="68">
        <v>0</v>
      </c>
      <c r="G103" s="68">
        <v>0</v>
      </c>
      <c r="H103" s="68">
        <v>0</v>
      </c>
      <c r="I103" s="68">
        <v>0</v>
      </c>
      <c r="J103" s="68">
        <v>0</v>
      </c>
      <c r="K103" s="68">
        <v>0</v>
      </c>
      <c r="L103" s="68">
        <v>0</v>
      </c>
      <c r="M103" s="68">
        <v>0</v>
      </c>
      <c r="N103" s="68">
        <v>0</v>
      </c>
      <c r="O103" s="68">
        <v>0</v>
      </c>
      <c r="P103" s="68">
        <v>0</v>
      </c>
      <c r="Q103" s="68">
        <v>0</v>
      </c>
      <c r="R103" s="68">
        <v>0</v>
      </c>
      <c r="S103" s="68">
        <v>0</v>
      </c>
      <c r="T103" s="68">
        <v>0</v>
      </c>
      <c r="U103" s="68">
        <v>0</v>
      </c>
      <c r="V103" s="68">
        <v>0</v>
      </c>
      <c r="W103" s="68">
        <v>0</v>
      </c>
      <c r="X103" s="68">
        <v>0</v>
      </c>
      <c r="Y103" s="68">
        <v>0</v>
      </c>
      <c r="Z103" s="68">
        <v>0</v>
      </c>
      <c r="AA103" s="68">
        <v>0</v>
      </c>
      <c r="AB103" s="68">
        <v>0</v>
      </c>
      <c r="AC103" s="68">
        <v>0</v>
      </c>
      <c r="AD103" s="68">
        <v>0</v>
      </c>
      <c r="AE103" s="68">
        <v>0</v>
      </c>
      <c r="AF103" s="68">
        <v>0</v>
      </c>
      <c r="AG103" s="68">
        <v>0</v>
      </c>
      <c r="AH103" s="68">
        <v>0</v>
      </c>
      <c r="AI103" s="68">
        <v>0</v>
      </c>
      <c r="AJ103" s="68">
        <v>0</v>
      </c>
      <c r="AK103" s="68">
        <v>0</v>
      </c>
      <c r="AL103" s="68">
        <v>0</v>
      </c>
      <c r="AM103" s="68">
        <v>0</v>
      </c>
      <c r="AN103" s="68">
        <v>0</v>
      </c>
      <c r="AO103" s="68">
        <v>0</v>
      </c>
      <c r="AP103" s="68">
        <v>0</v>
      </c>
      <c r="AQ103" s="68">
        <v>0</v>
      </c>
      <c r="AR103" s="68">
        <v>0</v>
      </c>
      <c r="AS103" s="68">
        <v>0</v>
      </c>
      <c r="AT103" s="68">
        <v>0</v>
      </c>
      <c r="AU103" s="68">
        <v>0</v>
      </c>
      <c r="AV103" s="68">
        <v>0</v>
      </c>
      <c r="AW103" s="68">
        <v>0</v>
      </c>
      <c r="AX103" s="68">
        <v>0</v>
      </c>
      <c r="AY103" s="68">
        <v>0</v>
      </c>
      <c r="AZ103" s="68">
        <v>0</v>
      </c>
      <c r="BA103" s="68">
        <v>0</v>
      </c>
      <c r="BB103" s="68">
        <v>0</v>
      </c>
      <c r="BC103" s="68">
        <v>0</v>
      </c>
      <c r="BD103" s="68">
        <v>0</v>
      </c>
      <c r="BE103" s="68">
        <v>0</v>
      </c>
      <c r="BF103" s="68">
        <v>0</v>
      </c>
      <c r="BG103" s="68">
        <v>0</v>
      </c>
      <c r="BH103" s="68">
        <v>0</v>
      </c>
      <c r="BI103" s="68">
        <v>0</v>
      </c>
      <c r="BJ103" s="68">
        <v>0</v>
      </c>
      <c r="BK103" s="68">
        <v>0</v>
      </c>
      <c r="BL103" s="68">
        <v>0</v>
      </c>
      <c r="BM103" s="68">
        <v>0</v>
      </c>
      <c r="BN103" s="68">
        <v>0</v>
      </c>
      <c r="BO103" s="68">
        <v>0</v>
      </c>
      <c r="BP103" s="68">
        <v>0</v>
      </c>
      <c r="BQ103" s="68">
        <v>0</v>
      </c>
      <c r="BR103" s="68">
        <v>0</v>
      </c>
      <c r="BS103" s="68">
        <v>0</v>
      </c>
      <c r="BT103" s="68">
        <v>0</v>
      </c>
      <c r="BU103" s="68">
        <v>0</v>
      </c>
      <c r="BV103" s="68">
        <v>0</v>
      </c>
      <c r="BW103" s="68">
        <v>0</v>
      </c>
      <c r="BX103" s="68">
        <v>0</v>
      </c>
      <c r="BY103" s="68">
        <v>0</v>
      </c>
      <c r="BZ103" s="68">
        <v>0</v>
      </c>
      <c r="CA103" s="68">
        <v>0</v>
      </c>
      <c r="CB103" s="68">
        <v>0</v>
      </c>
      <c r="CC103" s="94">
        <v>0</v>
      </c>
      <c r="CD103" s="68">
        <v>0</v>
      </c>
      <c r="CE103" s="68">
        <v>0</v>
      </c>
      <c r="CF103" s="68">
        <v>0</v>
      </c>
      <c r="CG103" s="68">
        <v>0</v>
      </c>
      <c r="CH103" s="68">
        <v>0</v>
      </c>
      <c r="CI103" s="68">
        <v>0</v>
      </c>
      <c r="CJ103" s="68">
        <v>0</v>
      </c>
      <c r="CK103" s="68">
        <v>0</v>
      </c>
      <c r="CL103" s="68">
        <v>0</v>
      </c>
      <c r="CM103" s="68">
        <v>0</v>
      </c>
      <c r="CN103" s="68">
        <v>0</v>
      </c>
      <c r="CO103" s="67"/>
      <c r="CP103" s="68"/>
      <c r="CQ103" s="69"/>
      <c r="CR103" s="69"/>
      <c r="CS103" s="69"/>
      <c r="CT103" s="69"/>
      <c r="CU103" s="69"/>
      <c r="CV103" s="69"/>
      <c r="CW103" s="69"/>
      <c r="CX103" s="69"/>
      <c r="CY103" s="69"/>
      <c r="CZ103" s="69"/>
      <c r="DA103" s="69"/>
      <c r="DB103" s="69"/>
      <c r="DC103" s="69"/>
      <c r="DD103" s="69"/>
      <c r="DE103" s="69"/>
      <c r="DF103" s="69"/>
      <c r="DG103" s="69"/>
      <c r="DH103" s="69"/>
      <c r="DI103" s="69"/>
      <c r="DJ103" s="69"/>
      <c r="DK103" s="69"/>
      <c r="DL103" s="69"/>
      <c r="DM103" s="69"/>
      <c r="DN103" s="69"/>
      <c r="DO103" s="69"/>
      <c r="DP103" s="69"/>
      <c r="DQ103" s="69"/>
      <c r="DR103" s="69"/>
      <c r="DS103" s="69"/>
      <c r="DT103" s="69"/>
      <c r="DU103" s="69"/>
      <c r="DV103" s="69"/>
      <c r="DW103" s="69"/>
      <c r="DX103" s="69"/>
      <c r="DY103" s="69"/>
      <c r="DZ103" s="69"/>
      <c r="EA103" s="69"/>
      <c r="EB103" s="69"/>
      <c r="EC103" s="69"/>
      <c r="ED103" s="69"/>
      <c r="EE103" s="69"/>
      <c r="EF103" s="69"/>
      <c r="EG103" s="69"/>
      <c r="EH103" s="69"/>
      <c r="EI103" s="69"/>
      <c r="EJ103" s="69"/>
      <c r="EK103" s="69"/>
      <c r="EL103" s="69"/>
      <c r="EM103" s="69"/>
      <c r="EN103" s="69"/>
      <c r="EO103" s="69"/>
      <c r="EP103" s="69"/>
      <c r="EQ103" s="69"/>
      <c r="ER103" s="69"/>
      <c r="ES103" s="69"/>
      <c r="ET103" s="69"/>
      <c r="EU103" s="69"/>
      <c r="EV103" s="69"/>
      <c r="EW103" s="69"/>
      <c r="EX103" s="69"/>
      <c r="EY103" s="69"/>
      <c r="EZ103" s="69"/>
      <c r="FA103" s="69"/>
      <c r="FB103" s="69"/>
      <c r="FC103" s="69"/>
      <c r="FD103" s="69"/>
      <c r="FE103" s="69"/>
      <c r="FF103" s="69"/>
      <c r="FG103" s="69"/>
      <c r="FH103" s="69"/>
      <c r="FI103" s="69"/>
      <c r="FJ103" s="69"/>
      <c r="FK103" s="69"/>
      <c r="FL103" s="69"/>
      <c r="FM103" s="69"/>
      <c r="FN103" s="69"/>
      <c r="FO103" s="69"/>
      <c r="FP103" s="69"/>
      <c r="FQ103" s="69"/>
      <c r="FR103" s="69"/>
      <c r="FS103" s="69"/>
      <c r="FT103" s="69"/>
      <c r="FU103" s="69"/>
      <c r="FV103" s="69"/>
      <c r="FW103" s="69"/>
      <c r="FX103" s="69"/>
      <c r="FY103" s="69"/>
      <c r="FZ103" s="69"/>
      <c r="GA103" s="69"/>
      <c r="GB103" s="69"/>
      <c r="GC103" s="69"/>
      <c r="GD103" s="69"/>
      <c r="GE103" s="69"/>
      <c r="GF103" s="69"/>
      <c r="GG103" s="165"/>
    </row>
    <row r="104" spans="1:189" s="66" customFormat="1" x14ac:dyDescent="0.2">
      <c r="A104"/>
      <c r="B104" s="82">
        <v>43160</v>
      </c>
      <c r="C104" s="68">
        <v>0</v>
      </c>
      <c r="D104" s="68">
        <v>0</v>
      </c>
      <c r="E104" s="68">
        <v>0</v>
      </c>
      <c r="F104" s="68">
        <v>0</v>
      </c>
      <c r="G104" s="68">
        <v>0</v>
      </c>
      <c r="H104" s="68">
        <v>0</v>
      </c>
      <c r="I104" s="68">
        <v>0</v>
      </c>
      <c r="J104" s="68">
        <v>0</v>
      </c>
      <c r="K104" s="68">
        <v>0</v>
      </c>
      <c r="L104" s="68">
        <v>0</v>
      </c>
      <c r="M104" s="68">
        <v>0</v>
      </c>
      <c r="N104" s="68">
        <v>0</v>
      </c>
      <c r="O104" s="68">
        <v>0</v>
      </c>
      <c r="P104" s="68">
        <v>0</v>
      </c>
      <c r="Q104" s="68">
        <v>0</v>
      </c>
      <c r="R104" s="68">
        <v>0</v>
      </c>
      <c r="S104" s="68">
        <v>0</v>
      </c>
      <c r="T104" s="68">
        <v>0</v>
      </c>
      <c r="U104" s="68">
        <v>0</v>
      </c>
      <c r="V104" s="68">
        <v>0</v>
      </c>
      <c r="W104" s="68">
        <v>0</v>
      </c>
      <c r="X104" s="68">
        <v>0</v>
      </c>
      <c r="Y104" s="68">
        <v>0</v>
      </c>
      <c r="Z104" s="68">
        <v>0</v>
      </c>
      <c r="AA104" s="68">
        <v>0</v>
      </c>
      <c r="AB104" s="68">
        <v>0</v>
      </c>
      <c r="AC104" s="68">
        <v>0</v>
      </c>
      <c r="AD104" s="68">
        <v>0</v>
      </c>
      <c r="AE104" s="68">
        <v>0</v>
      </c>
      <c r="AF104" s="68">
        <v>0</v>
      </c>
      <c r="AG104" s="68">
        <v>0</v>
      </c>
      <c r="AH104" s="68">
        <v>0</v>
      </c>
      <c r="AI104" s="68">
        <v>0</v>
      </c>
      <c r="AJ104" s="68">
        <v>0</v>
      </c>
      <c r="AK104" s="68">
        <v>0</v>
      </c>
      <c r="AL104" s="68">
        <v>0</v>
      </c>
      <c r="AM104" s="68">
        <v>0</v>
      </c>
      <c r="AN104" s="68">
        <v>0</v>
      </c>
      <c r="AO104" s="68">
        <v>0</v>
      </c>
      <c r="AP104" s="68">
        <v>0</v>
      </c>
      <c r="AQ104" s="68">
        <v>0</v>
      </c>
      <c r="AR104" s="68">
        <v>0</v>
      </c>
      <c r="AS104" s="68">
        <v>0</v>
      </c>
      <c r="AT104" s="68">
        <v>0</v>
      </c>
      <c r="AU104" s="68">
        <v>0</v>
      </c>
      <c r="AV104" s="68">
        <v>0</v>
      </c>
      <c r="AW104" s="68">
        <v>0</v>
      </c>
      <c r="AX104" s="68">
        <v>0</v>
      </c>
      <c r="AY104" s="68">
        <v>0</v>
      </c>
      <c r="AZ104" s="68">
        <v>0</v>
      </c>
      <c r="BA104" s="68">
        <v>0</v>
      </c>
      <c r="BB104" s="68">
        <v>0</v>
      </c>
      <c r="BC104" s="68">
        <v>0</v>
      </c>
      <c r="BD104" s="68">
        <v>0</v>
      </c>
      <c r="BE104" s="68">
        <v>0</v>
      </c>
      <c r="BF104" s="68">
        <v>0</v>
      </c>
      <c r="BG104" s="68">
        <v>0</v>
      </c>
      <c r="BH104" s="68">
        <v>0</v>
      </c>
      <c r="BI104" s="68">
        <v>0</v>
      </c>
      <c r="BJ104" s="68">
        <v>0</v>
      </c>
      <c r="BK104" s="68">
        <v>0</v>
      </c>
      <c r="BL104" s="68">
        <v>0</v>
      </c>
      <c r="BM104" s="68">
        <v>0</v>
      </c>
      <c r="BN104" s="68">
        <v>0</v>
      </c>
      <c r="BO104" s="68">
        <v>0</v>
      </c>
      <c r="BP104" s="68">
        <v>0</v>
      </c>
      <c r="BQ104" s="68">
        <v>0</v>
      </c>
      <c r="BR104" s="68">
        <v>0</v>
      </c>
      <c r="BS104" s="68">
        <v>0</v>
      </c>
      <c r="BT104" s="68">
        <v>0</v>
      </c>
      <c r="BU104" s="68">
        <v>0</v>
      </c>
      <c r="BV104" s="68">
        <v>0</v>
      </c>
      <c r="BW104" s="68">
        <v>0</v>
      </c>
      <c r="BX104" s="68">
        <v>0</v>
      </c>
      <c r="BY104" s="68">
        <v>0</v>
      </c>
      <c r="BZ104" s="68">
        <v>0</v>
      </c>
      <c r="CA104" s="68">
        <v>0</v>
      </c>
      <c r="CB104" s="68">
        <v>0</v>
      </c>
      <c r="CC104" s="68">
        <v>0</v>
      </c>
      <c r="CD104" s="94">
        <v>0</v>
      </c>
      <c r="CE104" s="68">
        <v>0</v>
      </c>
      <c r="CF104" s="68">
        <v>0</v>
      </c>
      <c r="CG104" s="68">
        <v>0</v>
      </c>
      <c r="CH104" s="68">
        <v>0</v>
      </c>
      <c r="CI104" s="68">
        <v>0</v>
      </c>
      <c r="CJ104" s="68">
        <v>0</v>
      </c>
      <c r="CK104" s="68">
        <v>0</v>
      </c>
      <c r="CL104" s="68">
        <v>0</v>
      </c>
      <c r="CM104" s="68">
        <v>0</v>
      </c>
      <c r="CN104" s="68">
        <v>0</v>
      </c>
      <c r="CO104" s="68">
        <v>0</v>
      </c>
      <c r="CP104" s="67"/>
      <c r="CQ104" s="68"/>
      <c r="CR104" s="69"/>
      <c r="CS104" s="69"/>
      <c r="CT104" s="69"/>
      <c r="CU104" s="69"/>
      <c r="CV104" s="69"/>
      <c r="CW104" s="69"/>
      <c r="CX104" s="69"/>
      <c r="CY104" s="69"/>
      <c r="CZ104" s="69"/>
      <c r="DA104" s="69"/>
      <c r="DB104" s="69"/>
      <c r="DC104" s="69"/>
      <c r="DD104" s="69"/>
      <c r="DE104" s="69"/>
      <c r="DF104" s="69"/>
      <c r="DG104" s="69"/>
      <c r="DH104" s="69"/>
      <c r="DI104" s="69"/>
      <c r="DJ104" s="69"/>
      <c r="DK104" s="69"/>
      <c r="DL104" s="69"/>
      <c r="DM104" s="69"/>
      <c r="DN104" s="69"/>
      <c r="DO104" s="69"/>
      <c r="DP104" s="69"/>
      <c r="DQ104" s="69"/>
      <c r="DR104" s="69"/>
      <c r="DS104" s="69"/>
      <c r="DT104" s="69"/>
      <c r="DU104" s="69"/>
      <c r="DV104" s="69"/>
      <c r="DW104" s="69"/>
      <c r="DX104" s="69"/>
      <c r="DY104" s="69"/>
      <c r="DZ104" s="69"/>
      <c r="EA104" s="69"/>
      <c r="EB104" s="69"/>
      <c r="EC104" s="69"/>
      <c r="ED104" s="69"/>
      <c r="EE104" s="69"/>
      <c r="EF104" s="69"/>
      <c r="EG104" s="69"/>
      <c r="EH104" s="69"/>
      <c r="EI104" s="69"/>
      <c r="EJ104" s="69"/>
      <c r="EK104" s="69"/>
      <c r="EL104" s="69"/>
      <c r="EM104" s="69"/>
      <c r="EN104" s="69"/>
      <c r="EO104" s="69"/>
      <c r="EP104" s="69"/>
      <c r="EQ104" s="69"/>
      <c r="ER104" s="69"/>
      <c r="ES104" s="69"/>
      <c r="ET104" s="69"/>
      <c r="EU104" s="69"/>
      <c r="EV104" s="69"/>
      <c r="EW104" s="69"/>
      <c r="EX104" s="69"/>
      <c r="EY104" s="69"/>
      <c r="EZ104" s="69"/>
      <c r="FA104" s="69"/>
      <c r="FB104" s="69"/>
      <c r="FC104" s="69"/>
      <c r="FD104" s="69"/>
      <c r="FE104" s="69"/>
      <c r="FF104" s="69"/>
      <c r="FG104" s="69"/>
      <c r="FH104" s="69"/>
      <c r="FI104" s="69"/>
      <c r="FJ104" s="69"/>
      <c r="FK104" s="69"/>
      <c r="FL104" s="69"/>
      <c r="FM104" s="69"/>
      <c r="FN104" s="69"/>
      <c r="FO104" s="69"/>
      <c r="FP104" s="69"/>
      <c r="FQ104" s="69"/>
      <c r="FR104" s="69"/>
      <c r="FS104" s="69"/>
      <c r="FT104" s="69"/>
      <c r="FU104" s="69"/>
      <c r="FV104" s="69"/>
      <c r="FW104" s="69"/>
      <c r="FX104" s="69"/>
      <c r="FY104" s="69"/>
      <c r="FZ104" s="69"/>
      <c r="GA104" s="69"/>
      <c r="GB104" s="69"/>
      <c r="GC104" s="69"/>
      <c r="GD104" s="69"/>
      <c r="GE104" s="69"/>
      <c r="GF104" s="69"/>
      <c r="GG104" s="165"/>
    </row>
    <row r="105" spans="1:189" s="66" customFormat="1" x14ac:dyDescent="0.2">
      <c r="A105"/>
      <c r="B105" s="82">
        <v>43191</v>
      </c>
      <c r="C105" s="68">
        <v>0</v>
      </c>
      <c r="D105" s="68">
        <v>0</v>
      </c>
      <c r="E105" s="68">
        <v>0</v>
      </c>
      <c r="F105" s="68">
        <v>0</v>
      </c>
      <c r="G105" s="68">
        <v>0</v>
      </c>
      <c r="H105" s="68">
        <v>0</v>
      </c>
      <c r="I105" s="68">
        <v>0</v>
      </c>
      <c r="J105" s="68">
        <v>0</v>
      </c>
      <c r="K105" s="68">
        <v>0</v>
      </c>
      <c r="L105" s="68">
        <v>0</v>
      </c>
      <c r="M105" s="68">
        <v>0</v>
      </c>
      <c r="N105" s="68">
        <v>0</v>
      </c>
      <c r="O105" s="68">
        <v>0</v>
      </c>
      <c r="P105" s="68">
        <v>0</v>
      </c>
      <c r="Q105" s="68">
        <v>0</v>
      </c>
      <c r="R105" s="68">
        <v>0</v>
      </c>
      <c r="S105" s="68">
        <v>0</v>
      </c>
      <c r="T105" s="68">
        <v>0</v>
      </c>
      <c r="U105" s="68">
        <v>0</v>
      </c>
      <c r="V105" s="68">
        <v>0</v>
      </c>
      <c r="W105" s="68">
        <v>0</v>
      </c>
      <c r="X105" s="68">
        <v>0</v>
      </c>
      <c r="Y105" s="68">
        <v>0</v>
      </c>
      <c r="Z105" s="68">
        <v>0</v>
      </c>
      <c r="AA105" s="68">
        <v>0</v>
      </c>
      <c r="AB105" s="68">
        <v>0</v>
      </c>
      <c r="AC105" s="68">
        <v>0</v>
      </c>
      <c r="AD105" s="68">
        <v>0</v>
      </c>
      <c r="AE105" s="68">
        <v>0</v>
      </c>
      <c r="AF105" s="68">
        <v>0</v>
      </c>
      <c r="AG105" s="68">
        <v>0</v>
      </c>
      <c r="AH105" s="68">
        <v>0</v>
      </c>
      <c r="AI105" s="68">
        <v>0</v>
      </c>
      <c r="AJ105" s="68">
        <v>0</v>
      </c>
      <c r="AK105" s="68">
        <v>0</v>
      </c>
      <c r="AL105" s="68">
        <v>0</v>
      </c>
      <c r="AM105" s="68">
        <v>0</v>
      </c>
      <c r="AN105" s="68">
        <v>0</v>
      </c>
      <c r="AO105" s="68">
        <v>0</v>
      </c>
      <c r="AP105" s="68">
        <v>0</v>
      </c>
      <c r="AQ105" s="68">
        <v>0</v>
      </c>
      <c r="AR105" s="68">
        <v>0</v>
      </c>
      <c r="AS105" s="68">
        <v>0</v>
      </c>
      <c r="AT105" s="68">
        <v>0</v>
      </c>
      <c r="AU105" s="68">
        <v>0</v>
      </c>
      <c r="AV105" s="68">
        <v>0</v>
      </c>
      <c r="AW105" s="68">
        <v>0</v>
      </c>
      <c r="AX105" s="68">
        <v>0</v>
      </c>
      <c r="AY105" s="68">
        <v>0</v>
      </c>
      <c r="AZ105" s="68">
        <v>0</v>
      </c>
      <c r="BA105" s="68">
        <v>0</v>
      </c>
      <c r="BB105" s="68">
        <v>0</v>
      </c>
      <c r="BC105" s="68">
        <v>0</v>
      </c>
      <c r="BD105" s="68">
        <v>0</v>
      </c>
      <c r="BE105" s="68">
        <v>0</v>
      </c>
      <c r="BF105" s="68">
        <v>0</v>
      </c>
      <c r="BG105" s="68">
        <v>0</v>
      </c>
      <c r="BH105" s="68">
        <v>0</v>
      </c>
      <c r="BI105" s="68">
        <v>0</v>
      </c>
      <c r="BJ105" s="68">
        <v>0</v>
      </c>
      <c r="BK105" s="68">
        <v>0</v>
      </c>
      <c r="BL105" s="68">
        <v>0</v>
      </c>
      <c r="BM105" s="68">
        <v>0</v>
      </c>
      <c r="BN105" s="68">
        <v>0</v>
      </c>
      <c r="BO105" s="68">
        <v>0</v>
      </c>
      <c r="BP105" s="68">
        <v>0</v>
      </c>
      <c r="BQ105" s="68">
        <v>0</v>
      </c>
      <c r="BR105" s="68">
        <v>0</v>
      </c>
      <c r="BS105" s="68">
        <v>0</v>
      </c>
      <c r="BT105" s="68">
        <v>0</v>
      </c>
      <c r="BU105" s="68">
        <v>0</v>
      </c>
      <c r="BV105" s="68">
        <v>0</v>
      </c>
      <c r="BW105" s="68">
        <v>0</v>
      </c>
      <c r="BX105" s="68">
        <v>0</v>
      </c>
      <c r="BY105" s="68">
        <v>0</v>
      </c>
      <c r="BZ105" s="68">
        <v>0</v>
      </c>
      <c r="CA105" s="68">
        <v>0</v>
      </c>
      <c r="CB105" s="68">
        <v>0</v>
      </c>
      <c r="CC105" s="68">
        <v>0</v>
      </c>
      <c r="CD105" s="68">
        <v>0</v>
      </c>
      <c r="CE105" s="94">
        <v>0</v>
      </c>
      <c r="CF105" s="68">
        <v>0</v>
      </c>
      <c r="CG105" s="68">
        <v>0</v>
      </c>
      <c r="CH105" s="68">
        <v>0</v>
      </c>
      <c r="CI105" s="68">
        <v>0</v>
      </c>
      <c r="CJ105" s="68">
        <v>0</v>
      </c>
      <c r="CK105" s="68">
        <v>0</v>
      </c>
      <c r="CL105" s="68">
        <v>0</v>
      </c>
      <c r="CM105" s="68">
        <v>0</v>
      </c>
      <c r="CN105" s="68">
        <v>0</v>
      </c>
      <c r="CO105" s="68">
        <v>0</v>
      </c>
      <c r="CP105" s="68">
        <v>0</v>
      </c>
      <c r="CQ105" s="67"/>
      <c r="CR105" s="68"/>
      <c r="CS105" s="69"/>
      <c r="CT105" s="69"/>
      <c r="CU105" s="69"/>
      <c r="CV105" s="69"/>
      <c r="CW105" s="69"/>
      <c r="CX105" s="69"/>
      <c r="CY105" s="69"/>
      <c r="CZ105" s="69"/>
      <c r="DA105" s="69"/>
      <c r="DB105" s="69"/>
      <c r="DC105" s="69"/>
      <c r="DD105" s="69"/>
      <c r="DE105" s="69"/>
      <c r="DF105" s="69"/>
      <c r="DG105" s="69"/>
      <c r="DH105" s="69"/>
      <c r="DI105" s="69"/>
      <c r="DJ105" s="69"/>
      <c r="DK105" s="69"/>
      <c r="DL105" s="69"/>
      <c r="DM105" s="69"/>
      <c r="DN105" s="69"/>
      <c r="DO105" s="69"/>
      <c r="DP105" s="69"/>
      <c r="DQ105" s="69"/>
      <c r="DR105" s="69"/>
      <c r="DS105" s="69"/>
      <c r="DT105" s="69"/>
      <c r="DU105" s="69"/>
      <c r="DV105" s="69"/>
      <c r="DW105" s="69"/>
      <c r="DX105" s="69"/>
      <c r="DY105" s="69"/>
      <c r="DZ105" s="69"/>
      <c r="EA105" s="69"/>
      <c r="EB105" s="69"/>
      <c r="EC105" s="69"/>
      <c r="ED105" s="69"/>
      <c r="EE105" s="69"/>
      <c r="EF105" s="69"/>
      <c r="EG105" s="69"/>
      <c r="EH105" s="69"/>
      <c r="EI105" s="69"/>
      <c r="EJ105" s="69"/>
      <c r="EK105" s="69"/>
      <c r="EL105" s="69"/>
      <c r="EM105" s="69"/>
      <c r="EN105" s="69"/>
      <c r="EO105" s="69"/>
      <c r="EP105" s="69"/>
      <c r="EQ105" s="69"/>
      <c r="ER105" s="69"/>
      <c r="ES105" s="69"/>
      <c r="ET105" s="69"/>
      <c r="EU105" s="69"/>
      <c r="EV105" s="69"/>
      <c r="EW105" s="69"/>
      <c r="EX105" s="69"/>
      <c r="EY105" s="69"/>
      <c r="EZ105" s="69"/>
      <c r="FA105" s="69"/>
      <c r="FB105" s="69"/>
      <c r="FC105" s="69"/>
      <c r="FD105" s="69"/>
      <c r="FE105" s="69"/>
      <c r="FF105" s="69"/>
      <c r="FG105" s="69"/>
      <c r="FH105" s="69"/>
      <c r="FI105" s="69"/>
      <c r="FJ105" s="69"/>
      <c r="FK105" s="69"/>
      <c r="FL105" s="69"/>
      <c r="FM105" s="69"/>
      <c r="FN105" s="69"/>
      <c r="FO105" s="69"/>
      <c r="FP105" s="69"/>
      <c r="FQ105" s="69"/>
      <c r="FR105" s="69"/>
      <c r="FS105" s="69"/>
      <c r="FT105" s="69"/>
      <c r="FU105" s="69"/>
      <c r="FV105" s="69"/>
      <c r="FW105" s="69"/>
      <c r="FX105" s="69"/>
      <c r="FY105" s="69"/>
      <c r="FZ105" s="69"/>
      <c r="GA105" s="69"/>
      <c r="GB105" s="69"/>
      <c r="GC105" s="69"/>
      <c r="GD105" s="69"/>
      <c r="GE105" s="69"/>
      <c r="GF105" s="69"/>
      <c r="GG105" s="165"/>
    </row>
    <row r="106" spans="1:189" s="66" customFormat="1" x14ac:dyDescent="0.2">
      <c r="A106"/>
      <c r="B106" s="82">
        <v>43221</v>
      </c>
      <c r="C106" s="68">
        <v>0</v>
      </c>
      <c r="D106" s="68">
        <v>0</v>
      </c>
      <c r="E106" s="68">
        <v>0</v>
      </c>
      <c r="F106" s="68">
        <v>0</v>
      </c>
      <c r="G106" s="68">
        <v>0</v>
      </c>
      <c r="H106" s="68">
        <v>0</v>
      </c>
      <c r="I106" s="68">
        <v>0</v>
      </c>
      <c r="J106" s="68">
        <v>0</v>
      </c>
      <c r="K106" s="68">
        <v>0</v>
      </c>
      <c r="L106" s="68">
        <v>0</v>
      </c>
      <c r="M106" s="68">
        <v>0</v>
      </c>
      <c r="N106" s="68">
        <v>0</v>
      </c>
      <c r="O106" s="68">
        <v>0</v>
      </c>
      <c r="P106" s="68">
        <v>0</v>
      </c>
      <c r="Q106" s="68">
        <v>0</v>
      </c>
      <c r="R106" s="68">
        <v>0</v>
      </c>
      <c r="S106" s="68">
        <v>0</v>
      </c>
      <c r="T106" s="68">
        <v>0</v>
      </c>
      <c r="U106" s="68">
        <v>0</v>
      </c>
      <c r="V106" s="68">
        <v>0</v>
      </c>
      <c r="W106" s="68">
        <v>0</v>
      </c>
      <c r="X106" s="68">
        <v>0</v>
      </c>
      <c r="Y106" s="68">
        <v>0</v>
      </c>
      <c r="Z106" s="68">
        <v>0</v>
      </c>
      <c r="AA106" s="68">
        <v>0</v>
      </c>
      <c r="AB106" s="68">
        <v>0</v>
      </c>
      <c r="AC106" s="68">
        <v>0</v>
      </c>
      <c r="AD106" s="68">
        <v>0</v>
      </c>
      <c r="AE106" s="68">
        <v>0</v>
      </c>
      <c r="AF106" s="68">
        <v>0</v>
      </c>
      <c r="AG106" s="68">
        <v>0</v>
      </c>
      <c r="AH106" s="68">
        <v>0</v>
      </c>
      <c r="AI106" s="68">
        <v>0</v>
      </c>
      <c r="AJ106" s="68">
        <v>0</v>
      </c>
      <c r="AK106" s="68">
        <v>0</v>
      </c>
      <c r="AL106" s="68">
        <v>0</v>
      </c>
      <c r="AM106" s="68">
        <v>0</v>
      </c>
      <c r="AN106" s="68">
        <v>0</v>
      </c>
      <c r="AO106" s="68">
        <v>0</v>
      </c>
      <c r="AP106" s="68">
        <v>0</v>
      </c>
      <c r="AQ106" s="68">
        <v>0</v>
      </c>
      <c r="AR106" s="68">
        <v>0</v>
      </c>
      <c r="AS106" s="68">
        <v>0</v>
      </c>
      <c r="AT106" s="68">
        <v>0</v>
      </c>
      <c r="AU106" s="68">
        <v>0</v>
      </c>
      <c r="AV106" s="68">
        <v>0</v>
      </c>
      <c r="AW106" s="68">
        <v>0</v>
      </c>
      <c r="AX106" s="68">
        <v>0</v>
      </c>
      <c r="AY106" s="68">
        <v>0</v>
      </c>
      <c r="AZ106" s="68">
        <v>0</v>
      </c>
      <c r="BA106" s="68">
        <v>0</v>
      </c>
      <c r="BB106" s="68">
        <v>0</v>
      </c>
      <c r="BC106" s="68">
        <v>0</v>
      </c>
      <c r="BD106" s="68">
        <v>0</v>
      </c>
      <c r="BE106" s="68">
        <v>0</v>
      </c>
      <c r="BF106" s="68">
        <v>0</v>
      </c>
      <c r="BG106" s="68">
        <v>0</v>
      </c>
      <c r="BH106" s="68">
        <v>0</v>
      </c>
      <c r="BI106" s="68">
        <v>0</v>
      </c>
      <c r="BJ106" s="68">
        <v>0</v>
      </c>
      <c r="BK106" s="68">
        <v>0</v>
      </c>
      <c r="BL106" s="68">
        <v>0</v>
      </c>
      <c r="BM106" s="68">
        <v>0</v>
      </c>
      <c r="BN106" s="68">
        <v>0</v>
      </c>
      <c r="BO106" s="68">
        <v>0</v>
      </c>
      <c r="BP106" s="68">
        <v>0</v>
      </c>
      <c r="BQ106" s="68">
        <v>0</v>
      </c>
      <c r="BR106" s="68">
        <v>0</v>
      </c>
      <c r="BS106" s="68">
        <v>0</v>
      </c>
      <c r="BT106" s="68">
        <v>0</v>
      </c>
      <c r="BU106" s="68">
        <v>0</v>
      </c>
      <c r="BV106" s="68">
        <v>0</v>
      </c>
      <c r="BW106" s="68">
        <v>0</v>
      </c>
      <c r="BX106" s="68">
        <v>0</v>
      </c>
      <c r="BY106" s="68">
        <v>0</v>
      </c>
      <c r="BZ106" s="68">
        <v>0</v>
      </c>
      <c r="CA106" s="68">
        <v>0</v>
      </c>
      <c r="CB106" s="68">
        <v>0</v>
      </c>
      <c r="CC106" s="68">
        <v>0</v>
      </c>
      <c r="CD106" s="68">
        <v>0</v>
      </c>
      <c r="CE106" s="68">
        <v>0</v>
      </c>
      <c r="CF106" s="94">
        <v>0</v>
      </c>
      <c r="CG106" s="68">
        <v>0</v>
      </c>
      <c r="CH106" s="68">
        <v>0</v>
      </c>
      <c r="CI106" s="68">
        <v>0</v>
      </c>
      <c r="CJ106" s="68">
        <v>0</v>
      </c>
      <c r="CK106" s="68">
        <v>0</v>
      </c>
      <c r="CL106" s="68">
        <v>0</v>
      </c>
      <c r="CM106" s="68">
        <v>0</v>
      </c>
      <c r="CN106" s="68">
        <v>0</v>
      </c>
      <c r="CO106" s="68">
        <v>0</v>
      </c>
      <c r="CP106" s="68">
        <v>0</v>
      </c>
      <c r="CQ106" s="68">
        <v>0</v>
      </c>
      <c r="CR106" s="67"/>
      <c r="CS106" s="68"/>
      <c r="CT106" s="69"/>
      <c r="CU106" s="69"/>
      <c r="CV106" s="69"/>
      <c r="CW106" s="69"/>
      <c r="CX106" s="69"/>
      <c r="CY106" s="69"/>
      <c r="CZ106" s="69"/>
      <c r="DA106" s="69"/>
      <c r="DB106" s="69"/>
      <c r="DC106" s="69"/>
      <c r="DD106" s="69"/>
      <c r="DE106" s="69"/>
      <c r="DF106" s="69"/>
      <c r="DG106" s="69"/>
      <c r="DH106" s="69"/>
      <c r="DI106" s="69"/>
      <c r="DJ106" s="69"/>
      <c r="DK106" s="69"/>
      <c r="DL106" s="69"/>
      <c r="DM106" s="69"/>
      <c r="DN106" s="69"/>
      <c r="DO106" s="69"/>
      <c r="DP106" s="69"/>
      <c r="DQ106" s="69"/>
      <c r="DR106" s="69"/>
      <c r="DS106" s="69"/>
      <c r="DT106" s="69"/>
      <c r="DU106" s="69"/>
      <c r="DV106" s="69"/>
      <c r="DW106" s="69"/>
      <c r="DX106" s="69"/>
      <c r="DY106" s="69"/>
      <c r="DZ106" s="69"/>
      <c r="EA106" s="69"/>
      <c r="EB106" s="69"/>
      <c r="EC106" s="69"/>
      <c r="ED106" s="69"/>
      <c r="EE106" s="69"/>
      <c r="EF106" s="69"/>
      <c r="EG106" s="69"/>
      <c r="EH106" s="69"/>
      <c r="EI106" s="69"/>
      <c r="EJ106" s="69"/>
      <c r="EK106" s="69"/>
      <c r="EL106" s="69"/>
      <c r="EM106" s="69"/>
      <c r="EN106" s="69"/>
      <c r="EO106" s="69"/>
      <c r="EP106" s="69"/>
      <c r="EQ106" s="69"/>
      <c r="ER106" s="69"/>
      <c r="ES106" s="69"/>
      <c r="ET106" s="69"/>
      <c r="EU106" s="69"/>
      <c r="EV106" s="69"/>
      <c r="EW106" s="69"/>
      <c r="EX106" s="69"/>
      <c r="EY106" s="69"/>
      <c r="EZ106" s="69"/>
      <c r="FA106" s="69"/>
      <c r="FB106" s="69"/>
      <c r="FC106" s="69"/>
      <c r="FD106" s="69"/>
      <c r="FE106" s="69"/>
      <c r="FF106" s="69"/>
      <c r="FG106" s="69"/>
      <c r="FH106" s="69"/>
      <c r="FI106" s="69"/>
      <c r="FJ106" s="69"/>
      <c r="FK106" s="69"/>
      <c r="FL106" s="69"/>
      <c r="FM106" s="69"/>
      <c r="FN106" s="69"/>
      <c r="FO106" s="69"/>
      <c r="FP106" s="69"/>
      <c r="FQ106" s="69"/>
      <c r="FR106" s="69"/>
      <c r="FS106" s="69"/>
      <c r="FT106" s="69"/>
      <c r="FU106" s="69"/>
      <c r="FV106" s="69"/>
      <c r="FW106" s="69"/>
      <c r="FX106" s="69"/>
      <c r="FY106" s="69"/>
      <c r="FZ106" s="69"/>
      <c r="GA106" s="69"/>
      <c r="GB106" s="69"/>
      <c r="GC106" s="69"/>
      <c r="GD106" s="69"/>
      <c r="GE106" s="69"/>
      <c r="GF106" s="69"/>
      <c r="GG106" s="165"/>
    </row>
    <row r="107" spans="1:189" s="66" customFormat="1" x14ac:dyDescent="0.2">
      <c r="A107"/>
      <c r="B107" s="82">
        <v>43252</v>
      </c>
      <c r="C107" s="68">
        <v>0</v>
      </c>
      <c r="D107" s="68">
        <v>0</v>
      </c>
      <c r="E107" s="68">
        <v>0</v>
      </c>
      <c r="F107" s="68">
        <v>0</v>
      </c>
      <c r="G107" s="68">
        <v>0</v>
      </c>
      <c r="H107" s="68">
        <v>0</v>
      </c>
      <c r="I107" s="68">
        <v>0</v>
      </c>
      <c r="J107" s="68">
        <v>0</v>
      </c>
      <c r="K107" s="68">
        <v>0</v>
      </c>
      <c r="L107" s="68">
        <v>0</v>
      </c>
      <c r="M107" s="68">
        <v>0</v>
      </c>
      <c r="N107" s="68">
        <v>0</v>
      </c>
      <c r="O107" s="68">
        <v>0</v>
      </c>
      <c r="P107" s="68">
        <v>0</v>
      </c>
      <c r="Q107" s="68">
        <v>0</v>
      </c>
      <c r="R107" s="68">
        <v>0</v>
      </c>
      <c r="S107" s="68">
        <v>0</v>
      </c>
      <c r="T107" s="68">
        <v>0</v>
      </c>
      <c r="U107" s="68">
        <v>0</v>
      </c>
      <c r="V107" s="68">
        <v>0</v>
      </c>
      <c r="W107" s="68">
        <v>0</v>
      </c>
      <c r="X107" s="68">
        <v>0</v>
      </c>
      <c r="Y107" s="68">
        <v>0</v>
      </c>
      <c r="Z107" s="68">
        <v>0</v>
      </c>
      <c r="AA107" s="68">
        <v>0</v>
      </c>
      <c r="AB107" s="68">
        <v>0</v>
      </c>
      <c r="AC107" s="68">
        <v>0</v>
      </c>
      <c r="AD107" s="68">
        <v>0</v>
      </c>
      <c r="AE107" s="68">
        <v>0</v>
      </c>
      <c r="AF107" s="68">
        <v>0</v>
      </c>
      <c r="AG107" s="68">
        <v>0</v>
      </c>
      <c r="AH107" s="68">
        <v>0</v>
      </c>
      <c r="AI107" s="68">
        <v>0</v>
      </c>
      <c r="AJ107" s="68">
        <v>0</v>
      </c>
      <c r="AK107" s="68">
        <v>0</v>
      </c>
      <c r="AL107" s="68">
        <v>0</v>
      </c>
      <c r="AM107" s="68">
        <v>0</v>
      </c>
      <c r="AN107" s="68">
        <v>0</v>
      </c>
      <c r="AO107" s="68">
        <v>0</v>
      </c>
      <c r="AP107" s="68">
        <v>0</v>
      </c>
      <c r="AQ107" s="68">
        <v>0</v>
      </c>
      <c r="AR107" s="68">
        <v>0</v>
      </c>
      <c r="AS107" s="68">
        <v>0</v>
      </c>
      <c r="AT107" s="68">
        <v>0</v>
      </c>
      <c r="AU107" s="68">
        <v>0</v>
      </c>
      <c r="AV107" s="68">
        <v>0</v>
      </c>
      <c r="AW107" s="68">
        <v>0</v>
      </c>
      <c r="AX107" s="68">
        <v>0</v>
      </c>
      <c r="AY107" s="68">
        <v>0</v>
      </c>
      <c r="AZ107" s="68">
        <v>0</v>
      </c>
      <c r="BA107" s="68">
        <v>0</v>
      </c>
      <c r="BB107" s="68">
        <v>0</v>
      </c>
      <c r="BC107" s="68">
        <v>0</v>
      </c>
      <c r="BD107" s="68">
        <v>0</v>
      </c>
      <c r="BE107" s="68">
        <v>0</v>
      </c>
      <c r="BF107" s="68">
        <v>0</v>
      </c>
      <c r="BG107" s="68">
        <v>0</v>
      </c>
      <c r="BH107" s="68">
        <v>0</v>
      </c>
      <c r="BI107" s="68">
        <v>0</v>
      </c>
      <c r="BJ107" s="68">
        <v>0</v>
      </c>
      <c r="BK107" s="68">
        <v>0</v>
      </c>
      <c r="BL107" s="68">
        <v>0</v>
      </c>
      <c r="BM107" s="68">
        <v>0</v>
      </c>
      <c r="BN107" s="68">
        <v>0</v>
      </c>
      <c r="BO107" s="68">
        <v>0</v>
      </c>
      <c r="BP107" s="68">
        <v>0</v>
      </c>
      <c r="BQ107" s="68">
        <v>0</v>
      </c>
      <c r="BR107" s="68">
        <v>0</v>
      </c>
      <c r="BS107" s="68">
        <v>0</v>
      </c>
      <c r="BT107" s="68">
        <v>0</v>
      </c>
      <c r="BU107" s="68">
        <v>0</v>
      </c>
      <c r="BV107" s="68">
        <v>0</v>
      </c>
      <c r="BW107" s="68">
        <v>0</v>
      </c>
      <c r="BX107" s="68">
        <v>0</v>
      </c>
      <c r="BY107" s="68">
        <v>0</v>
      </c>
      <c r="BZ107" s="68">
        <v>0</v>
      </c>
      <c r="CA107" s="68">
        <v>0</v>
      </c>
      <c r="CB107" s="68">
        <v>0</v>
      </c>
      <c r="CC107" s="68">
        <v>0</v>
      </c>
      <c r="CD107" s="68">
        <v>0</v>
      </c>
      <c r="CE107" s="68">
        <v>0</v>
      </c>
      <c r="CF107" s="68">
        <v>0</v>
      </c>
      <c r="CG107" s="94">
        <v>0</v>
      </c>
      <c r="CH107" s="68">
        <v>0</v>
      </c>
      <c r="CI107" s="68">
        <v>0</v>
      </c>
      <c r="CJ107" s="68">
        <v>0</v>
      </c>
      <c r="CK107" s="68">
        <v>0</v>
      </c>
      <c r="CL107" s="68">
        <v>0</v>
      </c>
      <c r="CM107" s="68">
        <v>0</v>
      </c>
      <c r="CN107" s="68">
        <v>0</v>
      </c>
      <c r="CO107" s="68">
        <v>0</v>
      </c>
      <c r="CP107" s="68">
        <v>0</v>
      </c>
      <c r="CQ107" s="68">
        <v>0</v>
      </c>
      <c r="CR107" s="68">
        <v>0</v>
      </c>
      <c r="CS107" s="67"/>
      <c r="CT107" s="68"/>
      <c r="CU107" s="69"/>
      <c r="CV107" s="69"/>
      <c r="CW107" s="69"/>
      <c r="CX107" s="69"/>
      <c r="CY107" s="69"/>
      <c r="CZ107" s="69"/>
      <c r="DA107" s="69"/>
      <c r="DB107" s="69"/>
      <c r="DC107" s="69"/>
      <c r="DD107" s="69"/>
      <c r="DE107" s="69"/>
      <c r="DF107" s="69"/>
      <c r="DG107" s="69"/>
      <c r="DH107" s="69"/>
      <c r="DI107" s="69"/>
      <c r="DJ107" s="69"/>
      <c r="DK107" s="69"/>
      <c r="DL107" s="69"/>
      <c r="DM107" s="69"/>
      <c r="DN107" s="69"/>
      <c r="DO107" s="69"/>
      <c r="DP107" s="69"/>
      <c r="DQ107" s="69"/>
      <c r="DR107" s="69"/>
      <c r="DS107" s="69"/>
      <c r="DT107" s="69"/>
      <c r="DU107" s="69"/>
      <c r="DV107" s="69"/>
      <c r="DW107" s="69"/>
      <c r="DX107" s="69"/>
      <c r="DY107" s="69"/>
      <c r="DZ107" s="69"/>
      <c r="EA107" s="69"/>
      <c r="EB107" s="69"/>
      <c r="EC107" s="69"/>
      <c r="ED107" s="69"/>
      <c r="EE107" s="69"/>
      <c r="EF107" s="69"/>
      <c r="EG107" s="69"/>
      <c r="EH107" s="69"/>
      <c r="EI107" s="69"/>
      <c r="EJ107" s="69"/>
      <c r="EK107" s="69"/>
      <c r="EL107" s="69"/>
      <c r="EM107" s="69"/>
      <c r="EN107" s="69"/>
      <c r="EO107" s="69"/>
      <c r="EP107" s="69"/>
      <c r="EQ107" s="69"/>
      <c r="ER107" s="69"/>
      <c r="ES107" s="69"/>
      <c r="ET107" s="69"/>
      <c r="EU107" s="69"/>
      <c r="EV107" s="69"/>
      <c r="EW107" s="69"/>
      <c r="EX107" s="69"/>
      <c r="EY107" s="69"/>
      <c r="EZ107" s="69"/>
      <c r="FA107" s="69"/>
      <c r="FB107" s="69"/>
      <c r="FC107" s="69"/>
      <c r="FD107" s="69"/>
      <c r="FE107" s="69"/>
      <c r="FF107" s="69"/>
      <c r="FG107" s="69"/>
      <c r="FH107" s="69"/>
      <c r="FI107" s="69"/>
      <c r="FJ107" s="69"/>
      <c r="FK107" s="69"/>
      <c r="FL107" s="69"/>
      <c r="FM107" s="69"/>
      <c r="FN107" s="69"/>
      <c r="FO107" s="69"/>
      <c r="FP107" s="69"/>
      <c r="FQ107" s="69"/>
      <c r="FR107" s="69"/>
      <c r="FS107" s="69"/>
      <c r="FT107" s="69"/>
      <c r="FU107" s="69"/>
      <c r="FV107" s="69"/>
      <c r="FW107" s="69"/>
      <c r="FX107" s="69"/>
      <c r="FY107" s="69"/>
      <c r="FZ107" s="69"/>
      <c r="GA107" s="69"/>
      <c r="GB107" s="69"/>
      <c r="GC107" s="69"/>
      <c r="GD107" s="69"/>
      <c r="GE107" s="69"/>
      <c r="GF107" s="69"/>
      <c r="GG107" s="165"/>
    </row>
    <row r="108" spans="1:189" s="66" customFormat="1" x14ac:dyDescent="0.2">
      <c r="A108"/>
      <c r="B108" s="82">
        <v>43282</v>
      </c>
      <c r="C108" s="68">
        <v>0</v>
      </c>
      <c r="D108" s="68">
        <v>0</v>
      </c>
      <c r="E108" s="68">
        <v>0</v>
      </c>
      <c r="F108" s="68">
        <v>0</v>
      </c>
      <c r="G108" s="68">
        <v>0</v>
      </c>
      <c r="H108" s="68">
        <v>0</v>
      </c>
      <c r="I108" s="68">
        <v>0</v>
      </c>
      <c r="J108" s="68">
        <v>0</v>
      </c>
      <c r="K108" s="68">
        <v>0</v>
      </c>
      <c r="L108" s="68">
        <v>0</v>
      </c>
      <c r="M108" s="68">
        <v>0</v>
      </c>
      <c r="N108" s="68">
        <v>0</v>
      </c>
      <c r="O108" s="68">
        <v>0</v>
      </c>
      <c r="P108" s="68">
        <v>0</v>
      </c>
      <c r="Q108" s="68">
        <v>0</v>
      </c>
      <c r="R108" s="68">
        <v>0</v>
      </c>
      <c r="S108" s="68">
        <v>0</v>
      </c>
      <c r="T108" s="68">
        <v>0</v>
      </c>
      <c r="U108" s="68">
        <v>0</v>
      </c>
      <c r="V108" s="68">
        <v>0</v>
      </c>
      <c r="W108" s="68">
        <v>0</v>
      </c>
      <c r="X108" s="68">
        <v>0</v>
      </c>
      <c r="Y108" s="68">
        <v>0</v>
      </c>
      <c r="Z108" s="68">
        <v>0</v>
      </c>
      <c r="AA108" s="68">
        <v>0</v>
      </c>
      <c r="AB108" s="68">
        <v>0</v>
      </c>
      <c r="AC108" s="68">
        <v>0</v>
      </c>
      <c r="AD108" s="68">
        <v>0</v>
      </c>
      <c r="AE108" s="68">
        <v>0</v>
      </c>
      <c r="AF108" s="68">
        <v>0</v>
      </c>
      <c r="AG108" s="68">
        <v>0</v>
      </c>
      <c r="AH108" s="68">
        <v>0</v>
      </c>
      <c r="AI108" s="68">
        <v>0</v>
      </c>
      <c r="AJ108" s="68">
        <v>0</v>
      </c>
      <c r="AK108" s="68">
        <v>0</v>
      </c>
      <c r="AL108" s="68">
        <v>0</v>
      </c>
      <c r="AM108" s="68">
        <v>0</v>
      </c>
      <c r="AN108" s="68">
        <v>0</v>
      </c>
      <c r="AO108" s="68">
        <v>0</v>
      </c>
      <c r="AP108" s="68">
        <v>0</v>
      </c>
      <c r="AQ108" s="68">
        <v>0</v>
      </c>
      <c r="AR108" s="68">
        <v>0</v>
      </c>
      <c r="AS108" s="68">
        <v>0</v>
      </c>
      <c r="AT108" s="68">
        <v>0</v>
      </c>
      <c r="AU108" s="68">
        <v>0</v>
      </c>
      <c r="AV108" s="68">
        <v>0</v>
      </c>
      <c r="AW108" s="68">
        <v>0</v>
      </c>
      <c r="AX108" s="68">
        <v>0</v>
      </c>
      <c r="AY108" s="68">
        <v>0</v>
      </c>
      <c r="AZ108" s="68">
        <v>0</v>
      </c>
      <c r="BA108" s="68">
        <v>0</v>
      </c>
      <c r="BB108" s="68">
        <v>0</v>
      </c>
      <c r="BC108" s="68">
        <v>0</v>
      </c>
      <c r="BD108" s="68">
        <v>0</v>
      </c>
      <c r="BE108" s="68">
        <v>0</v>
      </c>
      <c r="BF108" s="68">
        <v>0</v>
      </c>
      <c r="BG108" s="68">
        <v>0</v>
      </c>
      <c r="BH108" s="68">
        <v>0</v>
      </c>
      <c r="BI108" s="68">
        <v>0</v>
      </c>
      <c r="BJ108" s="68">
        <v>0</v>
      </c>
      <c r="BK108" s="68">
        <v>0</v>
      </c>
      <c r="BL108" s="68">
        <v>0</v>
      </c>
      <c r="BM108" s="68">
        <v>0</v>
      </c>
      <c r="BN108" s="68">
        <v>0</v>
      </c>
      <c r="BO108" s="68">
        <v>0</v>
      </c>
      <c r="BP108" s="68">
        <v>0</v>
      </c>
      <c r="BQ108" s="68">
        <v>0</v>
      </c>
      <c r="BR108" s="68">
        <v>0</v>
      </c>
      <c r="BS108" s="68">
        <v>0</v>
      </c>
      <c r="BT108" s="68">
        <v>0</v>
      </c>
      <c r="BU108" s="68">
        <v>0</v>
      </c>
      <c r="BV108" s="68">
        <v>0</v>
      </c>
      <c r="BW108" s="68">
        <v>0</v>
      </c>
      <c r="BX108" s="68">
        <v>0</v>
      </c>
      <c r="BY108" s="68">
        <v>0</v>
      </c>
      <c r="BZ108" s="68">
        <v>0</v>
      </c>
      <c r="CA108" s="68">
        <v>0</v>
      </c>
      <c r="CB108" s="68">
        <v>0</v>
      </c>
      <c r="CC108" s="68">
        <v>0</v>
      </c>
      <c r="CD108" s="68">
        <v>0</v>
      </c>
      <c r="CE108" s="68">
        <v>0</v>
      </c>
      <c r="CF108" s="68">
        <v>0</v>
      </c>
      <c r="CG108" s="68">
        <v>0</v>
      </c>
      <c r="CH108" s="94">
        <v>0</v>
      </c>
      <c r="CI108" s="68">
        <v>0</v>
      </c>
      <c r="CJ108" s="68">
        <v>0</v>
      </c>
      <c r="CK108" s="68">
        <v>0</v>
      </c>
      <c r="CL108" s="68">
        <v>0</v>
      </c>
      <c r="CM108" s="68">
        <v>0</v>
      </c>
      <c r="CN108" s="68">
        <v>0</v>
      </c>
      <c r="CO108" s="68">
        <v>0</v>
      </c>
      <c r="CP108" s="68">
        <v>0</v>
      </c>
      <c r="CQ108" s="68">
        <v>0</v>
      </c>
      <c r="CR108" s="68">
        <v>0</v>
      </c>
      <c r="CS108" s="68">
        <v>0</v>
      </c>
      <c r="CT108" s="67"/>
      <c r="CU108" s="68"/>
      <c r="CV108" s="69"/>
      <c r="CW108" s="69"/>
      <c r="CX108" s="69"/>
      <c r="CY108" s="69"/>
      <c r="CZ108" s="69"/>
      <c r="DA108" s="69"/>
      <c r="DB108" s="69"/>
      <c r="DC108" s="69"/>
      <c r="DD108" s="69"/>
      <c r="DE108" s="69"/>
      <c r="DF108" s="69"/>
      <c r="DG108" s="69"/>
      <c r="DH108" s="69"/>
      <c r="DI108" s="69"/>
      <c r="DJ108" s="69"/>
      <c r="DK108" s="69"/>
      <c r="DL108" s="69"/>
      <c r="DM108" s="69"/>
      <c r="DN108" s="69"/>
      <c r="DO108" s="69"/>
      <c r="DP108" s="69"/>
      <c r="DQ108" s="69"/>
      <c r="DR108" s="69"/>
      <c r="DS108" s="69"/>
      <c r="DT108" s="69"/>
      <c r="DU108" s="69"/>
      <c r="DV108" s="69"/>
      <c r="DW108" s="69"/>
      <c r="DX108" s="69"/>
      <c r="DY108" s="69"/>
      <c r="DZ108" s="69"/>
      <c r="EA108" s="69"/>
      <c r="EB108" s="69"/>
      <c r="EC108" s="69"/>
      <c r="ED108" s="69"/>
      <c r="EE108" s="69"/>
      <c r="EF108" s="69"/>
      <c r="EG108" s="69"/>
      <c r="EH108" s="69"/>
      <c r="EI108" s="69"/>
      <c r="EJ108" s="69"/>
      <c r="EK108" s="69"/>
      <c r="EL108" s="69"/>
      <c r="EM108" s="69"/>
      <c r="EN108" s="69"/>
      <c r="EO108" s="69"/>
      <c r="EP108" s="69"/>
      <c r="EQ108" s="69"/>
      <c r="ER108" s="69"/>
      <c r="ES108" s="69"/>
      <c r="ET108" s="69"/>
      <c r="EU108" s="69"/>
      <c r="EV108" s="69"/>
      <c r="EW108" s="69"/>
      <c r="EX108" s="69"/>
      <c r="EY108" s="69"/>
      <c r="EZ108" s="69"/>
      <c r="FA108" s="69"/>
      <c r="FB108" s="69"/>
      <c r="FC108" s="69"/>
      <c r="FD108" s="69"/>
      <c r="FE108" s="69"/>
      <c r="FF108" s="69"/>
      <c r="FG108" s="69"/>
      <c r="FH108" s="69"/>
      <c r="FI108" s="69"/>
      <c r="FJ108" s="69"/>
      <c r="FK108" s="69"/>
      <c r="FL108" s="69"/>
      <c r="FM108" s="69"/>
      <c r="FN108" s="69"/>
      <c r="FO108" s="69"/>
      <c r="FP108" s="69"/>
      <c r="FQ108" s="69"/>
      <c r="FR108" s="69"/>
      <c r="FS108" s="69"/>
      <c r="FT108" s="69"/>
      <c r="FU108" s="69"/>
      <c r="FV108" s="69"/>
      <c r="FW108" s="69"/>
      <c r="FX108" s="69"/>
      <c r="FY108" s="69"/>
      <c r="FZ108" s="69"/>
      <c r="GA108" s="69"/>
      <c r="GB108" s="69"/>
      <c r="GC108" s="69"/>
      <c r="GD108" s="69"/>
      <c r="GE108" s="69"/>
      <c r="GF108" s="69"/>
      <c r="GG108" s="165"/>
    </row>
    <row r="109" spans="1:189" s="66" customFormat="1" x14ac:dyDescent="0.2">
      <c r="A109"/>
      <c r="B109" s="82">
        <v>43313</v>
      </c>
      <c r="C109" s="68">
        <v>0</v>
      </c>
      <c r="D109" s="68">
        <v>0</v>
      </c>
      <c r="E109" s="68">
        <v>0</v>
      </c>
      <c r="F109" s="68">
        <v>0</v>
      </c>
      <c r="G109" s="68">
        <v>0</v>
      </c>
      <c r="H109" s="68">
        <v>0</v>
      </c>
      <c r="I109" s="68">
        <v>0</v>
      </c>
      <c r="J109" s="68">
        <v>0</v>
      </c>
      <c r="K109" s="68">
        <v>0</v>
      </c>
      <c r="L109" s="68">
        <v>0</v>
      </c>
      <c r="M109" s="68">
        <v>0</v>
      </c>
      <c r="N109" s="68">
        <v>0</v>
      </c>
      <c r="O109" s="68">
        <v>0</v>
      </c>
      <c r="P109" s="68">
        <v>0</v>
      </c>
      <c r="Q109" s="68">
        <v>0</v>
      </c>
      <c r="R109" s="68">
        <v>0</v>
      </c>
      <c r="S109" s="68">
        <v>0</v>
      </c>
      <c r="T109" s="68">
        <v>0</v>
      </c>
      <c r="U109" s="68">
        <v>0</v>
      </c>
      <c r="V109" s="68">
        <v>0</v>
      </c>
      <c r="W109" s="68">
        <v>0</v>
      </c>
      <c r="X109" s="68">
        <v>0</v>
      </c>
      <c r="Y109" s="68">
        <v>0</v>
      </c>
      <c r="Z109" s="68">
        <v>0</v>
      </c>
      <c r="AA109" s="68">
        <v>0</v>
      </c>
      <c r="AB109" s="68">
        <v>0</v>
      </c>
      <c r="AC109" s="68">
        <v>0</v>
      </c>
      <c r="AD109" s="68">
        <v>0</v>
      </c>
      <c r="AE109" s="68">
        <v>0</v>
      </c>
      <c r="AF109" s="68">
        <v>0</v>
      </c>
      <c r="AG109" s="68">
        <v>0</v>
      </c>
      <c r="AH109" s="68">
        <v>0</v>
      </c>
      <c r="AI109" s="68">
        <v>0</v>
      </c>
      <c r="AJ109" s="68">
        <v>0</v>
      </c>
      <c r="AK109" s="68">
        <v>0</v>
      </c>
      <c r="AL109" s="68">
        <v>0</v>
      </c>
      <c r="AM109" s="68">
        <v>0</v>
      </c>
      <c r="AN109" s="68">
        <v>0</v>
      </c>
      <c r="AO109" s="68">
        <v>0</v>
      </c>
      <c r="AP109" s="68">
        <v>0</v>
      </c>
      <c r="AQ109" s="68">
        <v>0</v>
      </c>
      <c r="AR109" s="68">
        <v>0</v>
      </c>
      <c r="AS109" s="68">
        <v>0</v>
      </c>
      <c r="AT109" s="68">
        <v>0</v>
      </c>
      <c r="AU109" s="68">
        <v>0</v>
      </c>
      <c r="AV109" s="68">
        <v>0</v>
      </c>
      <c r="AW109" s="68">
        <v>0</v>
      </c>
      <c r="AX109" s="68">
        <v>0</v>
      </c>
      <c r="AY109" s="68">
        <v>0</v>
      </c>
      <c r="AZ109" s="68">
        <v>0</v>
      </c>
      <c r="BA109" s="68">
        <v>0</v>
      </c>
      <c r="BB109" s="68">
        <v>0</v>
      </c>
      <c r="BC109" s="68">
        <v>0</v>
      </c>
      <c r="BD109" s="68">
        <v>0</v>
      </c>
      <c r="BE109" s="68">
        <v>0</v>
      </c>
      <c r="BF109" s="68">
        <v>0</v>
      </c>
      <c r="BG109" s="68">
        <v>0</v>
      </c>
      <c r="BH109" s="68">
        <v>0</v>
      </c>
      <c r="BI109" s="68">
        <v>0</v>
      </c>
      <c r="BJ109" s="68">
        <v>0</v>
      </c>
      <c r="BK109" s="68">
        <v>0</v>
      </c>
      <c r="BL109" s="68">
        <v>0</v>
      </c>
      <c r="BM109" s="68">
        <v>0</v>
      </c>
      <c r="BN109" s="68">
        <v>0</v>
      </c>
      <c r="BO109" s="68">
        <v>0</v>
      </c>
      <c r="BP109" s="68">
        <v>0</v>
      </c>
      <c r="BQ109" s="68">
        <v>0</v>
      </c>
      <c r="BR109" s="68">
        <v>0</v>
      </c>
      <c r="BS109" s="68">
        <v>0</v>
      </c>
      <c r="BT109" s="68">
        <v>0</v>
      </c>
      <c r="BU109" s="68">
        <v>0</v>
      </c>
      <c r="BV109" s="68">
        <v>0</v>
      </c>
      <c r="BW109" s="68">
        <v>0</v>
      </c>
      <c r="BX109" s="68">
        <v>0</v>
      </c>
      <c r="BY109" s="68">
        <v>0</v>
      </c>
      <c r="BZ109" s="68">
        <v>0</v>
      </c>
      <c r="CA109" s="68">
        <v>0</v>
      </c>
      <c r="CB109" s="68">
        <v>0</v>
      </c>
      <c r="CC109" s="68">
        <v>0</v>
      </c>
      <c r="CD109" s="68">
        <v>0</v>
      </c>
      <c r="CE109" s="68">
        <v>0</v>
      </c>
      <c r="CF109" s="68">
        <v>0</v>
      </c>
      <c r="CG109" s="68">
        <v>0</v>
      </c>
      <c r="CH109" s="68">
        <v>0</v>
      </c>
      <c r="CI109" s="94">
        <v>0</v>
      </c>
      <c r="CJ109" s="68">
        <v>0</v>
      </c>
      <c r="CK109" s="68">
        <v>0</v>
      </c>
      <c r="CL109" s="68">
        <v>0</v>
      </c>
      <c r="CM109" s="68">
        <v>0</v>
      </c>
      <c r="CN109" s="68">
        <v>0</v>
      </c>
      <c r="CO109" s="68">
        <v>0</v>
      </c>
      <c r="CP109" s="68">
        <v>0</v>
      </c>
      <c r="CQ109" s="68">
        <v>0</v>
      </c>
      <c r="CR109" s="68">
        <v>0</v>
      </c>
      <c r="CS109" s="68">
        <v>0</v>
      </c>
      <c r="CT109" s="68">
        <v>0</v>
      </c>
      <c r="CU109" s="67"/>
      <c r="CV109" s="68"/>
      <c r="CW109" s="69"/>
      <c r="CX109" s="69"/>
      <c r="CY109" s="69"/>
      <c r="CZ109" s="69"/>
      <c r="DA109" s="69"/>
      <c r="DB109" s="69"/>
      <c r="DC109" s="69"/>
      <c r="DD109" s="69"/>
      <c r="DE109" s="69"/>
      <c r="DF109" s="69"/>
      <c r="DG109" s="69"/>
      <c r="DH109" s="69"/>
      <c r="DI109" s="69"/>
      <c r="DJ109" s="69"/>
      <c r="DK109" s="69"/>
      <c r="DL109" s="69"/>
      <c r="DM109" s="69"/>
      <c r="DN109" s="69"/>
      <c r="DO109" s="69"/>
      <c r="DP109" s="69"/>
      <c r="DQ109" s="69"/>
      <c r="DR109" s="69"/>
      <c r="DS109" s="69"/>
      <c r="DT109" s="69"/>
      <c r="DU109" s="69"/>
      <c r="DV109" s="69"/>
      <c r="DW109" s="69"/>
      <c r="DX109" s="69"/>
      <c r="DY109" s="69"/>
      <c r="DZ109" s="69"/>
      <c r="EA109" s="69"/>
      <c r="EB109" s="69"/>
      <c r="EC109" s="69"/>
      <c r="ED109" s="69"/>
      <c r="EE109" s="69"/>
      <c r="EF109" s="69"/>
      <c r="EG109" s="69"/>
      <c r="EH109" s="69"/>
      <c r="EI109" s="69"/>
      <c r="EJ109" s="69"/>
      <c r="EK109" s="69"/>
      <c r="EL109" s="69"/>
      <c r="EM109" s="69"/>
      <c r="EN109" s="69"/>
      <c r="EO109" s="69"/>
      <c r="EP109" s="69"/>
      <c r="EQ109" s="69"/>
      <c r="ER109" s="69"/>
      <c r="ES109" s="69"/>
      <c r="ET109" s="69"/>
      <c r="EU109" s="69"/>
      <c r="EV109" s="69"/>
      <c r="EW109" s="69"/>
      <c r="EX109" s="69"/>
      <c r="EY109" s="69"/>
      <c r="EZ109" s="69"/>
      <c r="FA109" s="69"/>
      <c r="FB109" s="69"/>
      <c r="FC109" s="69"/>
      <c r="FD109" s="69"/>
      <c r="FE109" s="69"/>
      <c r="FF109" s="69"/>
      <c r="FG109" s="69"/>
      <c r="FH109" s="69"/>
      <c r="FI109" s="69"/>
      <c r="FJ109" s="69"/>
      <c r="FK109" s="69"/>
      <c r="FL109" s="69"/>
      <c r="FM109" s="69"/>
      <c r="FN109" s="69"/>
      <c r="FO109" s="69"/>
      <c r="FP109" s="69"/>
      <c r="FQ109" s="69"/>
      <c r="FR109" s="69"/>
      <c r="FS109" s="69"/>
      <c r="FT109" s="69"/>
      <c r="FU109" s="69"/>
      <c r="FV109" s="69"/>
      <c r="FW109" s="69"/>
      <c r="FX109" s="69"/>
      <c r="FY109" s="69"/>
      <c r="FZ109" s="69"/>
      <c r="GA109" s="69"/>
      <c r="GB109" s="69"/>
      <c r="GC109" s="69"/>
      <c r="GD109" s="69"/>
      <c r="GE109" s="69"/>
      <c r="GF109" s="69"/>
      <c r="GG109" s="165"/>
    </row>
    <row r="110" spans="1:189" s="66" customFormat="1" x14ac:dyDescent="0.2">
      <c r="A110"/>
      <c r="B110" s="82">
        <v>43344</v>
      </c>
      <c r="C110" s="68">
        <v>0</v>
      </c>
      <c r="D110" s="68">
        <v>0</v>
      </c>
      <c r="E110" s="68">
        <v>0</v>
      </c>
      <c r="F110" s="68">
        <v>0</v>
      </c>
      <c r="G110" s="68">
        <v>0</v>
      </c>
      <c r="H110" s="68">
        <v>0</v>
      </c>
      <c r="I110" s="68">
        <v>0</v>
      </c>
      <c r="J110" s="68">
        <v>0</v>
      </c>
      <c r="K110" s="68">
        <v>0</v>
      </c>
      <c r="L110" s="68">
        <v>0</v>
      </c>
      <c r="M110" s="68">
        <v>0</v>
      </c>
      <c r="N110" s="68">
        <v>0</v>
      </c>
      <c r="O110" s="68">
        <v>0</v>
      </c>
      <c r="P110" s="68">
        <v>0</v>
      </c>
      <c r="Q110" s="68">
        <v>0</v>
      </c>
      <c r="R110" s="68">
        <v>0</v>
      </c>
      <c r="S110" s="68">
        <v>0</v>
      </c>
      <c r="T110" s="68">
        <v>0</v>
      </c>
      <c r="U110" s="68">
        <v>0</v>
      </c>
      <c r="V110" s="68">
        <v>0</v>
      </c>
      <c r="W110" s="68">
        <v>0</v>
      </c>
      <c r="X110" s="68">
        <v>0</v>
      </c>
      <c r="Y110" s="68">
        <v>0</v>
      </c>
      <c r="Z110" s="68">
        <v>0</v>
      </c>
      <c r="AA110" s="68">
        <v>0</v>
      </c>
      <c r="AB110" s="68">
        <v>0</v>
      </c>
      <c r="AC110" s="68">
        <v>0</v>
      </c>
      <c r="AD110" s="68">
        <v>0</v>
      </c>
      <c r="AE110" s="68">
        <v>0</v>
      </c>
      <c r="AF110" s="68">
        <v>0</v>
      </c>
      <c r="AG110" s="68">
        <v>0</v>
      </c>
      <c r="AH110" s="68">
        <v>0</v>
      </c>
      <c r="AI110" s="68">
        <v>0</v>
      </c>
      <c r="AJ110" s="68">
        <v>0</v>
      </c>
      <c r="AK110" s="68">
        <v>0</v>
      </c>
      <c r="AL110" s="68">
        <v>0</v>
      </c>
      <c r="AM110" s="68">
        <v>0</v>
      </c>
      <c r="AN110" s="68">
        <v>0</v>
      </c>
      <c r="AO110" s="68">
        <v>0</v>
      </c>
      <c r="AP110" s="68">
        <v>0</v>
      </c>
      <c r="AQ110" s="68">
        <v>0</v>
      </c>
      <c r="AR110" s="68">
        <v>0</v>
      </c>
      <c r="AS110" s="68">
        <v>0</v>
      </c>
      <c r="AT110" s="68">
        <v>0</v>
      </c>
      <c r="AU110" s="68">
        <v>0</v>
      </c>
      <c r="AV110" s="68">
        <v>0</v>
      </c>
      <c r="AW110" s="68">
        <v>0</v>
      </c>
      <c r="AX110" s="68">
        <v>0</v>
      </c>
      <c r="AY110" s="68">
        <v>0</v>
      </c>
      <c r="AZ110" s="68">
        <v>0</v>
      </c>
      <c r="BA110" s="68">
        <v>0</v>
      </c>
      <c r="BB110" s="68">
        <v>0</v>
      </c>
      <c r="BC110" s="68">
        <v>0</v>
      </c>
      <c r="BD110" s="68">
        <v>0</v>
      </c>
      <c r="BE110" s="68">
        <v>0</v>
      </c>
      <c r="BF110" s="68">
        <v>0</v>
      </c>
      <c r="BG110" s="68">
        <v>0</v>
      </c>
      <c r="BH110" s="68">
        <v>0</v>
      </c>
      <c r="BI110" s="68">
        <v>0</v>
      </c>
      <c r="BJ110" s="68">
        <v>0</v>
      </c>
      <c r="BK110" s="68">
        <v>0</v>
      </c>
      <c r="BL110" s="68">
        <v>0</v>
      </c>
      <c r="BM110" s="68">
        <v>0</v>
      </c>
      <c r="BN110" s="68">
        <v>0</v>
      </c>
      <c r="BO110" s="68">
        <v>0</v>
      </c>
      <c r="BP110" s="68">
        <v>0</v>
      </c>
      <c r="BQ110" s="68">
        <v>0</v>
      </c>
      <c r="BR110" s="68">
        <v>0</v>
      </c>
      <c r="BS110" s="68">
        <v>0</v>
      </c>
      <c r="BT110" s="68">
        <v>0</v>
      </c>
      <c r="BU110" s="68">
        <v>0</v>
      </c>
      <c r="BV110" s="68">
        <v>0</v>
      </c>
      <c r="BW110" s="68">
        <v>0</v>
      </c>
      <c r="BX110" s="68">
        <v>0</v>
      </c>
      <c r="BY110" s="68">
        <v>0</v>
      </c>
      <c r="BZ110" s="68">
        <v>0</v>
      </c>
      <c r="CA110" s="68">
        <v>0</v>
      </c>
      <c r="CB110" s="68">
        <v>0</v>
      </c>
      <c r="CC110" s="68">
        <v>0</v>
      </c>
      <c r="CD110" s="68">
        <v>0</v>
      </c>
      <c r="CE110" s="68">
        <v>0</v>
      </c>
      <c r="CF110" s="68">
        <v>0</v>
      </c>
      <c r="CG110" s="68">
        <v>0</v>
      </c>
      <c r="CH110" s="68">
        <v>0</v>
      </c>
      <c r="CI110" s="68">
        <v>0</v>
      </c>
      <c r="CJ110" s="94">
        <v>0</v>
      </c>
      <c r="CK110" s="68">
        <v>0</v>
      </c>
      <c r="CL110" s="68">
        <v>0</v>
      </c>
      <c r="CM110" s="68">
        <v>0</v>
      </c>
      <c r="CN110" s="68">
        <v>0</v>
      </c>
      <c r="CO110" s="68">
        <v>0</v>
      </c>
      <c r="CP110" s="68">
        <v>0</v>
      </c>
      <c r="CQ110" s="68">
        <v>0</v>
      </c>
      <c r="CR110" s="68">
        <v>0</v>
      </c>
      <c r="CS110" s="68">
        <v>0</v>
      </c>
      <c r="CT110" s="68">
        <v>0</v>
      </c>
      <c r="CU110" s="68">
        <v>0</v>
      </c>
      <c r="CV110" s="67"/>
      <c r="CW110" s="68"/>
      <c r="CX110" s="69"/>
      <c r="CY110" s="69"/>
      <c r="CZ110" s="69"/>
      <c r="DA110" s="69"/>
      <c r="DB110" s="69"/>
      <c r="DC110" s="69"/>
      <c r="DD110" s="69"/>
      <c r="DE110" s="69"/>
      <c r="DF110" s="69"/>
      <c r="DG110" s="69"/>
      <c r="DH110" s="69"/>
      <c r="DI110" s="69"/>
      <c r="DJ110" s="69"/>
      <c r="DK110" s="69"/>
      <c r="DL110" s="69"/>
      <c r="DM110" s="69"/>
      <c r="DN110" s="69"/>
      <c r="DO110" s="69"/>
      <c r="DP110" s="69"/>
      <c r="DQ110" s="69"/>
      <c r="DR110" s="69"/>
      <c r="DS110" s="69"/>
      <c r="DT110" s="69"/>
      <c r="DU110" s="69"/>
      <c r="DV110" s="69"/>
      <c r="DW110" s="69"/>
      <c r="DX110" s="69"/>
      <c r="DY110" s="69"/>
      <c r="DZ110" s="69"/>
      <c r="EA110" s="69"/>
      <c r="EB110" s="69"/>
      <c r="EC110" s="69"/>
      <c r="ED110" s="69"/>
      <c r="EE110" s="69"/>
      <c r="EF110" s="69"/>
      <c r="EG110" s="69"/>
      <c r="EH110" s="69"/>
      <c r="EI110" s="69"/>
      <c r="EJ110" s="69"/>
      <c r="EK110" s="69"/>
      <c r="EL110" s="69"/>
      <c r="EM110" s="69"/>
      <c r="EN110" s="69"/>
      <c r="EO110" s="69"/>
      <c r="EP110" s="69"/>
      <c r="EQ110" s="69"/>
      <c r="ER110" s="69"/>
      <c r="ES110" s="69"/>
      <c r="ET110" s="69"/>
      <c r="EU110" s="69"/>
      <c r="EV110" s="69"/>
      <c r="EW110" s="69"/>
      <c r="EX110" s="69"/>
      <c r="EY110" s="69"/>
      <c r="EZ110" s="69"/>
      <c r="FA110" s="69"/>
      <c r="FB110" s="69"/>
      <c r="FC110" s="69"/>
      <c r="FD110" s="69"/>
      <c r="FE110" s="69"/>
      <c r="FF110" s="69"/>
      <c r="FG110" s="69"/>
      <c r="FH110" s="69"/>
      <c r="FI110" s="69"/>
      <c r="FJ110" s="69"/>
      <c r="FK110" s="69"/>
      <c r="FL110" s="69"/>
      <c r="FM110" s="69"/>
      <c r="FN110" s="69"/>
      <c r="FO110" s="69"/>
      <c r="FP110" s="69"/>
      <c r="FQ110" s="69"/>
      <c r="FR110" s="69"/>
      <c r="FS110" s="69"/>
      <c r="FT110" s="69"/>
      <c r="FU110" s="69"/>
      <c r="FV110" s="69"/>
      <c r="FW110" s="69"/>
      <c r="FX110" s="69"/>
      <c r="FY110" s="69"/>
      <c r="FZ110" s="69"/>
      <c r="GA110" s="69"/>
      <c r="GB110" s="69"/>
      <c r="GC110" s="69"/>
      <c r="GD110" s="69"/>
      <c r="GE110" s="69"/>
      <c r="GF110" s="69"/>
      <c r="GG110" s="165"/>
    </row>
    <row r="111" spans="1:189" s="66" customFormat="1" x14ac:dyDescent="0.2">
      <c r="A111"/>
      <c r="B111" s="82">
        <v>43374</v>
      </c>
      <c r="C111" s="68">
        <v>0</v>
      </c>
      <c r="D111" s="68">
        <v>0</v>
      </c>
      <c r="E111" s="68">
        <v>0</v>
      </c>
      <c r="F111" s="68">
        <v>0</v>
      </c>
      <c r="G111" s="68">
        <v>0</v>
      </c>
      <c r="H111" s="68">
        <v>0</v>
      </c>
      <c r="I111" s="68">
        <v>0</v>
      </c>
      <c r="J111" s="68">
        <v>0</v>
      </c>
      <c r="K111" s="68">
        <v>0</v>
      </c>
      <c r="L111" s="68">
        <v>0</v>
      </c>
      <c r="M111" s="68">
        <v>0</v>
      </c>
      <c r="N111" s="68">
        <v>0</v>
      </c>
      <c r="O111" s="68">
        <v>0</v>
      </c>
      <c r="P111" s="68">
        <v>0</v>
      </c>
      <c r="Q111" s="68">
        <v>0</v>
      </c>
      <c r="R111" s="68">
        <v>0</v>
      </c>
      <c r="S111" s="68">
        <v>0</v>
      </c>
      <c r="T111" s="68">
        <v>0</v>
      </c>
      <c r="U111" s="68">
        <v>0</v>
      </c>
      <c r="V111" s="68">
        <v>0</v>
      </c>
      <c r="W111" s="68">
        <v>0</v>
      </c>
      <c r="X111" s="68">
        <v>0</v>
      </c>
      <c r="Y111" s="68">
        <v>0</v>
      </c>
      <c r="Z111" s="68">
        <v>0</v>
      </c>
      <c r="AA111" s="68">
        <v>0</v>
      </c>
      <c r="AB111" s="68">
        <v>0</v>
      </c>
      <c r="AC111" s="68">
        <v>0</v>
      </c>
      <c r="AD111" s="68">
        <v>0</v>
      </c>
      <c r="AE111" s="68">
        <v>0</v>
      </c>
      <c r="AF111" s="68">
        <v>0</v>
      </c>
      <c r="AG111" s="68">
        <v>0</v>
      </c>
      <c r="AH111" s="68">
        <v>0</v>
      </c>
      <c r="AI111" s="68">
        <v>0</v>
      </c>
      <c r="AJ111" s="68">
        <v>0</v>
      </c>
      <c r="AK111" s="68">
        <v>0</v>
      </c>
      <c r="AL111" s="68">
        <v>0</v>
      </c>
      <c r="AM111" s="68">
        <v>0</v>
      </c>
      <c r="AN111" s="68">
        <v>0</v>
      </c>
      <c r="AO111" s="68">
        <v>0</v>
      </c>
      <c r="AP111" s="68">
        <v>0</v>
      </c>
      <c r="AQ111" s="68">
        <v>0</v>
      </c>
      <c r="AR111" s="68">
        <v>0</v>
      </c>
      <c r="AS111" s="68">
        <v>0</v>
      </c>
      <c r="AT111" s="68">
        <v>0</v>
      </c>
      <c r="AU111" s="68">
        <v>0</v>
      </c>
      <c r="AV111" s="68">
        <v>0</v>
      </c>
      <c r="AW111" s="68">
        <v>0</v>
      </c>
      <c r="AX111" s="68">
        <v>0</v>
      </c>
      <c r="AY111" s="68">
        <v>0</v>
      </c>
      <c r="AZ111" s="68">
        <v>0</v>
      </c>
      <c r="BA111" s="68">
        <v>0</v>
      </c>
      <c r="BB111" s="68">
        <v>0</v>
      </c>
      <c r="BC111" s="68">
        <v>0</v>
      </c>
      <c r="BD111" s="68">
        <v>0</v>
      </c>
      <c r="BE111" s="68">
        <v>0</v>
      </c>
      <c r="BF111" s="68">
        <v>0</v>
      </c>
      <c r="BG111" s="68">
        <v>0</v>
      </c>
      <c r="BH111" s="68">
        <v>0</v>
      </c>
      <c r="BI111" s="68">
        <v>0</v>
      </c>
      <c r="BJ111" s="68">
        <v>0</v>
      </c>
      <c r="BK111" s="68">
        <v>0</v>
      </c>
      <c r="BL111" s="68">
        <v>0</v>
      </c>
      <c r="BM111" s="68">
        <v>0</v>
      </c>
      <c r="BN111" s="68">
        <v>0</v>
      </c>
      <c r="BO111" s="68">
        <v>0</v>
      </c>
      <c r="BP111" s="68">
        <v>0</v>
      </c>
      <c r="BQ111" s="68">
        <v>0</v>
      </c>
      <c r="BR111" s="68">
        <v>0</v>
      </c>
      <c r="BS111" s="68">
        <v>0</v>
      </c>
      <c r="BT111" s="68">
        <v>0</v>
      </c>
      <c r="BU111" s="68">
        <v>0</v>
      </c>
      <c r="BV111" s="68">
        <v>0</v>
      </c>
      <c r="BW111" s="68">
        <v>0</v>
      </c>
      <c r="BX111" s="68">
        <v>0</v>
      </c>
      <c r="BY111" s="68">
        <v>0</v>
      </c>
      <c r="BZ111" s="68">
        <v>0</v>
      </c>
      <c r="CA111" s="68">
        <v>0</v>
      </c>
      <c r="CB111" s="68">
        <v>0</v>
      </c>
      <c r="CC111" s="68">
        <v>0</v>
      </c>
      <c r="CD111" s="68">
        <v>0</v>
      </c>
      <c r="CE111" s="68">
        <v>0</v>
      </c>
      <c r="CF111" s="68">
        <v>0</v>
      </c>
      <c r="CG111" s="68">
        <v>0</v>
      </c>
      <c r="CH111" s="68">
        <v>0</v>
      </c>
      <c r="CI111" s="68">
        <v>0</v>
      </c>
      <c r="CJ111" s="68">
        <v>0</v>
      </c>
      <c r="CK111" s="94">
        <v>0</v>
      </c>
      <c r="CL111" s="68">
        <v>0</v>
      </c>
      <c r="CM111" s="68">
        <v>0</v>
      </c>
      <c r="CN111" s="68">
        <v>0</v>
      </c>
      <c r="CO111" s="68">
        <v>0</v>
      </c>
      <c r="CP111" s="68">
        <v>0</v>
      </c>
      <c r="CQ111" s="68">
        <v>0</v>
      </c>
      <c r="CR111" s="68">
        <v>0</v>
      </c>
      <c r="CS111" s="68">
        <v>0</v>
      </c>
      <c r="CT111" s="68">
        <v>0</v>
      </c>
      <c r="CU111" s="68">
        <v>0</v>
      </c>
      <c r="CV111" s="68">
        <v>0</v>
      </c>
      <c r="CW111" s="67"/>
      <c r="CX111" s="68"/>
      <c r="CY111" s="69"/>
      <c r="CZ111" s="69"/>
      <c r="DA111" s="69"/>
      <c r="DB111" s="69"/>
      <c r="DC111" s="69"/>
      <c r="DD111" s="69"/>
      <c r="DE111" s="69"/>
      <c r="DF111" s="69"/>
      <c r="DG111" s="69"/>
      <c r="DH111" s="69"/>
      <c r="DI111" s="69"/>
      <c r="DJ111" s="69"/>
      <c r="DK111" s="69"/>
      <c r="DL111" s="69"/>
      <c r="DM111" s="69"/>
      <c r="DN111" s="69"/>
      <c r="DO111" s="69"/>
      <c r="DP111" s="69"/>
      <c r="DQ111" s="69"/>
      <c r="DR111" s="69"/>
      <c r="DS111" s="69"/>
      <c r="DT111" s="69"/>
      <c r="DU111" s="69"/>
      <c r="DV111" s="69"/>
      <c r="DW111" s="69"/>
      <c r="DX111" s="69"/>
      <c r="DY111" s="69"/>
      <c r="DZ111" s="69"/>
      <c r="EA111" s="69"/>
      <c r="EB111" s="69"/>
      <c r="EC111" s="69"/>
      <c r="ED111" s="69"/>
      <c r="EE111" s="69"/>
      <c r="EF111" s="69"/>
      <c r="EG111" s="69"/>
      <c r="EH111" s="69"/>
      <c r="EI111" s="69"/>
      <c r="EJ111" s="69"/>
      <c r="EK111" s="69"/>
      <c r="EL111" s="69"/>
      <c r="EM111" s="69"/>
      <c r="EN111" s="69"/>
      <c r="EO111" s="69"/>
      <c r="EP111" s="69"/>
      <c r="EQ111" s="69"/>
      <c r="ER111" s="69"/>
      <c r="ES111" s="69"/>
      <c r="ET111" s="69"/>
      <c r="EU111" s="69"/>
      <c r="EV111" s="69"/>
      <c r="EW111" s="69"/>
      <c r="EX111" s="69"/>
      <c r="EY111" s="69"/>
      <c r="EZ111" s="69"/>
      <c r="FA111" s="69"/>
      <c r="FB111" s="69"/>
      <c r="FC111" s="69"/>
      <c r="FD111" s="69"/>
      <c r="FE111" s="69"/>
      <c r="FF111" s="69"/>
      <c r="FG111" s="69"/>
      <c r="FH111" s="69"/>
      <c r="FI111" s="69"/>
      <c r="FJ111" s="69"/>
      <c r="FK111" s="69"/>
      <c r="FL111" s="69"/>
      <c r="FM111" s="69"/>
      <c r="FN111" s="69"/>
      <c r="FO111" s="69"/>
      <c r="FP111" s="69"/>
      <c r="FQ111" s="69"/>
      <c r="FR111" s="69"/>
      <c r="FS111" s="69"/>
      <c r="FT111" s="69"/>
      <c r="FU111" s="69"/>
      <c r="FV111" s="69"/>
      <c r="FW111" s="69"/>
      <c r="FX111" s="69"/>
      <c r="FY111" s="69"/>
      <c r="FZ111" s="69"/>
      <c r="GA111" s="69"/>
      <c r="GB111" s="69"/>
      <c r="GC111" s="69"/>
      <c r="GD111" s="69"/>
      <c r="GE111" s="69"/>
      <c r="GF111" s="69"/>
      <c r="GG111" s="165"/>
    </row>
    <row r="112" spans="1:189" s="66" customFormat="1" x14ac:dyDescent="0.2">
      <c r="A112"/>
      <c r="B112" s="82">
        <v>43405</v>
      </c>
      <c r="C112" s="68">
        <v>0</v>
      </c>
      <c r="D112" s="68">
        <v>0</v>
      </c>
      <c r="E112" s="68">
        <v>0</v>
      </c>
      <c r="F112" s="68">
        <v>0</v>
      </c>
      <c r="G112" s="68">
        <v>0</v>
      </c>
      <c r="H112" s="68">
        <v>0</v>
      </c>
      <c r="I112" s="68">
        <v>0</v>
      </c>
      <c r="J112" s="68">
        <v>0</v>
      </c>
      <c r="K112" s="68">
        <v>0</v>
      </c>
      <c r="L112" s="68">
        <v>0</v>
      </c>
      <c r="M112" s="68">
        <v>0</v>
      </c>
      <c r="N112" s="68">
        <v>0</v>
      </c>
      <c r="O112" s="68">
        <v>0</v>
      </c>
      <c r="P112" s="68">
        <v>0</v>
      </c>
      <c r="Q112" s="68">
        <v>0</v>
      </c>
      <c r="R112" s="68">
        <v>0</v>
      </c>
      <c r="S112" s="68">
        <v>0</v>
      </c>
      <c r="T112" s="68">
        <v>0</v>
      </c>
      <c r="U112" s="68">
        <v>0</v>
      </c>
      <c r="V112" s="68">
        <v>0</v>
      </c>
      <c r="W112" s="68">
        <v>0</v>
      </c>
      <c r="X112" s="68">
        <v>0</v>
      </c>
      <c r="Y112" s="68">
        <v>0</v>
      </c>
      <c r="Z112" s="68">
        <v>0</v>
      </c>
      <c r="AA112" s="68">
        <v>0</v>
      </c>
      <c r="AB112" s="68">
        <v>0</v>
      </c>
      <c r="AC112" s="68">
        <v>0</v>
      </c>
      <c r="AD112" s="68">
        <v>0</v>
      </c>
      <c r="AE112" s="68">
        <v>0</v>
      </c>
      <c r="AF112" s="68">
        <v>0</v>
      </c>
      <c r="AG112" s="68">
        <v>0</v>
      </c>
      <c r="AH112" s="68">
        <v>0</v>
      </c>
      <c r="AI112" s="68">
        <v>0</v>
      </c>
      <c r="AJ112" s="68">
        <v>0</v>
      </c>
      <c r="AK112" s="68">
        <v>0</v>
      </c>
      <c r="AL112" s="68">
        <v>0</v>
      </c>
      <c r="AM112" s="68">
        <v>0</v>
      </c>
      <c r="AN112" s="68">
        <v>0</v>
      </c>
      <c r="AO112" s="68">
        <v>0</v>
      </c>
      <c r="AP112" s="68">
        <v>0</v>
      </c>
      <c r="AQ112" s="68">
        <v>0</v>
      </c>
      <c r="AR112" s="68">
        <v>0</v>
      </c>
      <c r="AS112" s="68">
        <v>0</v>
      </c>
      <c r="AT112" s="68">
        <v>0</v>
      </c>
      <c r="AU112" s="68">
        <v>0</v>
      </c>
      <c r="AV112" s="68">
        <v>0</v>
      </c>
      <c r="AW112" s="68">
        <v>0</v>
      </c>
      <c r="AX112" s="68">
        <v>0</v>
      </c>
      <c r="AY112" s="68">
        <v>0</v>
      </c>
      <c r="AZ112" s="68">
        <v>0</v>
      </c>
      <c r="BA112" s="68">
        <v>0</v>
      </c>
      <c r="BB112" s="68">
        <v>0</v>
      </c>
      <c r="BC112" s="68">
        <v>0</v>
      </c>
      <c r="BD112" s="68">
        <v>0</v>
      </c>
      <c r="BE112" s="68">
        <v>0</v>
      </c>
      <c r="BF112" s="68">
        <v>0</v>
      </c>
      <c r="BG112" s="68">
        <v>0</v>
      </c>
      <c r="BH112" s="68">
        <v>0</v>
      </c>
      <c r="BI112" s="68">
        <v>0</v>
      </c>
      <c r="BJ112" s="68">
        <v>0</v>
      </c>
      <c r="BK112" s="68">
        <v>0</v>
      </c>
      <c r="BL112" s="68">
        <v>0</v>
      </c>
      <c r="BM112" s="68">
        <v>0</v>
      </c>
      <c r="BN112" s="68">
        <v>0</v>
      </c>
      <c r="BO112" s="68">
        <v>0</v>
      </c>
      <c r="BP112" s="68">
        <v>0</v>
      </c>
      <c r="BQ112" s="68">
        <v>0</v>
      </c>
      <c r="BR112" s="68">
        <v>0</v>
      </c>
      <c r="BS112" s="68">
        <v>0</v>
      </c>
      <c r="BT112" s="68">
        <v>0</v>
      </c>
      <c r="BU112" s="68">
        <v>0</v>
      </c>
      <c r="BV112" s="68">
        <v>0</v>
      </c>
      <c r="BW112" s="68">
        <v>0</v>
      </c>
      <c r="BX112" s="68">
        <v>0</v>
      </c>
      <c r="BY112" s="68">
        <v>0</v>
      </c>
      <c r="BZ112" s="68">
        <v>0</v>
      </c>
      <c r="CA112" s="68">
        <v>0</v>
      </c>
      <c r="CB112" s="68">
        <v>0</v>
      </c>
      <c r="CC112" s="68">
        <v>0</v>
      </c>
      <c r="CD112" s="68">
        <v>0</v>
      </c>
      <c r="CE112" s="68">
        <v>0</v>
      </c>
      <c r="CF112" s="68">
        <v>0</v>
      </c>
      <c r="CG112" s="68">
        <v>0</v>
      </c>
      <c r="CH112" s="68">
        <v>0</v>
      </c>
      <c r="CI112" s="68">
        <v>0</v>
      </c>
      <c r="CJ112" s="68">
        <v>0</v>
      </c>
      <c r="CK112" s="68">
        <v>0</v>
      </c>
      <c r="CL112" s="94">
        <v>0</v>
      </c>
      <c r="CM112" s="68">
        <v>0</v>
      </c>
      <c r="CN112" s="68">
        <v>0</v>
      </c>
      <c r="CO112" s="68">
        <v>0</v>
      </c>
      <c r="CP112" s="68">
        <v>0</v>
      </c>
      <c r="CQ112" s="68">
        <v>0</v>
      </c>
      <c r="CR112" s="68">
        <v>0</v>
      </c>
      <c r="CS112" s="68">
        <v>0</v>
      </c>
      <c r="CT112" s="68">
        <v>0</v>
      </c>
      <c r="CU112" s="68">
        <v>0</v>
      </c>
      <c r="CV112" s="68">
        <v>0</v>
      </c>
      <c r="CW112" s="68">
        <v>0</v>
      </c>
      <c r="CX112" s="67"/>
      <c r="CY112" s="68"/>
      <c r="CZ112" s="69"/>
      <c r="DA112" s="69"/>
      <c r="DB112" s="69"/>
      <c r="DC112" s="69"/>
      <c r="DD112" s="69"/>
      <c r="DE112" s="69"/>
      <c r="DF112" s="69"/>
      <c r="DG112" s="69"/>
      <c r="DH112" s="69"/>
      <c r="DI112" s="69"/>
      <c r="DJ112" s="69"/>
      <c r="DK112" s="69"/>
      <c r="DL112" s="69"/>
      <c r="DM112" s="69"/>
      <c r="DN112" s="69"/>
      <c r="DO112" s="69"/>
      <c r="DP112" s="69"/>
      <c r="DQ112" s="69"/>
      <c r="DR112" s="69"/>
      <c r="DS112" s="69"/>
      <c r="DT112" s="69"/>
      <c r="DU112" s="69"/>
      <c r="DV112" s="69"/>
      <c r="DW112" s="69"/>
      <c r="DX112" s="69"/>
      <c r="DY112" s="69"/>
      <c r="DZ112" s="69"/>
      <c r="EA112" s="69"/>
      <c r="EB112" s="69"/>
      <c r="EC112" s="69"/>
      <c r="ED112" s="69"/>
      <c r="EE112" s="69"/>
      <c r="EF112" s="69"/>
      <c r="EG112" s="69"/>
      <c r="EH112" s="69"/>
      <c r="EI112" s="69"/>
      <c r="EJ112" s="69"/>
      <c r="EK112" s="69"/>
      <c r="EL112" s="69"/>
      <c r="EM112" s="69"/>
      <c r="EN112" s="69"/>
      <c r="EO112" s="69"/>
      <c r="EP112" s="69"/>
      <c r="EQ112" s="69"/>
      <c r="ER112" s="69"/>
      <c r="ES112" s="69"/>
      <c r="ET112" s="69"/>
      <c r="EU112" s="69"/>
      <c r="EV112" s="69"/>
      <c r="EW112" s="69"/>
      <c r="EX112" s="69"/>
      <c r="EY112" s="69"/>
      <c r="EZ112" s="69"/>
      <c r="FA112" s="69"/>
      <c r="FB112" s="69"/>
      <c r="FC112" s="69"/>
      <c r="FD112" s="69"/>
      <c r="FE112" s="69"/>
      <c r="FF112" s="69"/>
      <c r="FG112" s="69"/>
      <c r="FH112" s="69"/>
      <c r="FI112" s="69"/>
      <c r="FJ112" s="69"/>
      <c r="FK112" s="69"/>
      <c r="FL112" s="69"/>
      <c r="FM112" s="69"/>
      <c r="FN112" s="69"/>
      <c r="FO112" s="69"/>
      <c r="FP112" s="69"/>
      <c r="FQ112" s="69"/>
      <c r="FR112" s="69"/>
      <c r="FS112" s="69"/>
      <c r="FT112" s="69"/>
      <c r="FU112" s="69"/>
      <c r="FV112" s="69"/>
      <c r="FW112" s="69"/>
      <c r="FX112" s="69"/>
      <c r="FY112" s="69"/>
      <c r="FZ112" s="69"/>
      <c r="GA112" s="69"/>
      <c r="GB112" s="69"/>
      <c r="GC112" s="69"/>
      <c r="GD112" s="69"/>
      <c r="GE112" s="69"/>
      <c r="GF112" s="69"/>
      <c r="GG112" s="165"/>
    </row>
    <row r="113" spans="1:189" s="66" customFormat="1" x14ac:dyDescent="0.2">
      <c r="A113"/>
      <c r="B113" s="82">
        <v>43435</v>
      </c>
      <c r="C113" s="68">
        <v>0</v>
      </c>
      <c r="D113" s="68">
        <v>0</v>
      </c>
      <c r="E113" s="68">
        <v>0</v>
      </c>
      <c r="F113" s="68">
        <v>0</v>
      </c>
      <c r="G113" s="68">
        <v>0</v>
      </c>
      <c r="H113" s="68">
        <v>0</v>
      </c>
      <c r="I113" s="68">
        <v>0</v>
      </c>
      <c r="J113" s="68">
        <v>0</v>
      </c>
      <c r="K113" s="68">
        <v>0</v>
      </c>
      <c r="L113" s="68">
        <v>0</v>
      </c>
      <c r="M113" s="68">
        <v>0</v>
      </c>
      <c r="N113" s="68">
        <v>0</v>
      </c>
      <c r="O113" s="68">
        <v>0</v>
      </c>
      <c r="P113" s="68">
        <v>0</v>
      </c>
      <c r="Q113" s="68">
        <v>0</v>
      </c>
      <c r="R113" s="68">
        <v>0</v>
      </c>
      <c r="S113" s="68">
        <v>0</v>
      </c>
      <c r="T113" s="68">
        <v>0</v>
      </c>
      <c r="U113" s="68">
        <v>0</v>
      </c>
      <c r="V113" s="68">
        <v>0</v>
      </c>
      <c r="W113" s="68">
        <v>0</v>
      </c>
      <c r="X113" s="68">
        <v>0</v>
      </c>
      <c r="Y113" s="68">
        <v>0</v>
      </c>
      <c r="Z113" s="68">
        <v>0</v>
      </c>
      <c r="AA113" s="68">
        <v>0</v>
      </c>
      <c r="AB113" s="68">
        <v>0</v>
      </c>
      <c r="AC113" s="68">
        <v>0</v>
      </c>
      <c r="AD113" s="68">
        <v>0</v>
      </c>
      <c r="AE113" s="68">
        <v>0</v>
      </c>
      <c r="AF113" s="68">
        <v>0</v>
      </c>
      <c r="AG113" s="68">
        <v>0</v>
      </c>
      <c r="AH113" s="68">
        <v>0</v>
      </c>
      <c r="AI113" s="68">
        <v>0</v>
      </c>
      <c r="AJ113" s="68">
        <v>0</v>
      </c>
      <c r="AK113" s="68">
        <v>0</v>
      </c>
      <c r="AL113" s="68">
        <v>0</v>
      </c>
      <c r="AM113" s="68">
        <v>0</v>
      </c>
      <c r="AN113" s="68">
        <v>0</v>
      </c>
      <c r="AO113" s="68">
        <v>0</v>
      </c>
      <c r="AP113" s="68">
        <v>0</v>
      </c>
      <c r="AQ113" s="68">
        <v>0</v>
      </c>
      <c r="AR113" s="68">
        <v>0</v>
      </c>
      <c r="AS113" s="68">
        <v>0</v>
      </c>
      <c r="AT113" s="68">
        <v>0</v>
      </c>
      <c r="AU113" s="68">
        <v>0</v>
      </c>
      <c r="AV113" s="68">
        <v>0</v>
      </c>
      <c r="AW113" s="68">
        <v>0</v>
      </c>
      <c r="AX113" s="68">
        <v>0</v>
      </c>
      <c r="AY113" s="68">
        <v>0</v>
      </c>
      <c r="AZ113" s="68">
        <v>0</v>
      </c>
      <c r="BA113" s="68">
        <v>0</v>
      </c>
      <c r="BB113" s="68">
        <v>0</v>
      </c>
      <c r="BC113" s="68">
        <v>0</v>
      </c>
      <c r="BD113" s="68">
        <v>0</v>
      </c>
      <c r="BE113" s="68">
        <v>0</v>
      </c>
      <c r="BF113" s="68">
        <v>0</v>
      </c>
      <c r="BG113" s="68">
        <v>0</v>
      </c>
      <c r="BH113" s="68">
        <v>0</v>
      </c>
      <c r="BI113" s="68">
        <v>0</v>
      </c>
      <c r="BJ113" s="68">
        <v>0</v>
      </c>
      <c r="BK113" s="68">
        <v>0</v>
      </c>
      <c r="BL113" s="68">
        <v>0</v>
      </c>
      <c r="BM113" s="68">
        <v>0</v>
      </c>
      <c r="BN113" s="68">
        <v>0</v>
      </c>
      <c r="BO113" s="68">
        <v>0</v>
      </c>
      <c r="BP113" s="68">
        <v>0</v>
      </c>
      <c r="BQ113" s="68">
        <v>0</v>
      </c>
      <c r="BR113" s="68">
        <v>0</v>
      </c>
      <c r="BS113" s="68">
        <v>0</v>
      </c>
      <c r="BT113" s="68">
        <v>0</v>
      </c>
      <c r="BU113" s="68">
        <v>0</v>
      </c>
      <c r="BV113" s="68">
        <v>0</v>
      </c>
      <c r="BW113" s="68">
        <v>0</v>
      </c>
      <c r="BX113" s="68">
        <v>0</v>
      </c>
      <c r="BY113" s="68">
        <v>0</v>
      </c>
      <c r="BZ113" s="68">
        <v>0</v>
      </c>
      <c r="CA113" s="68">
        <v>0</v>
      </c>
      <c r="CB113" s="68">
        <v>0</v>
      </c>
      <c r="CC113" s="68">
        <v>0</v>
      </c>
      <c r="CD113" s="68">
        <v>0</v>
      </c>
      <c r="CE113" s="68">
        <v>0</v>
      </c>
      <c r="CF113" s="68">
        <v>0</v>
      </c>
      <c r="CG113" s="68">
        <v>0</v>
      </c>
      <c r="CH113" s="68">
        <v>0</v>
      </c>
      <c r="CI113" s="68">
        <v>0</v>
      </c>
      <c r="CJ113" s="68">
        <v>0</v>
      </c>
      <c r="CK113" s="68">
        <v>0</v>
      </c>
      <c r="CL113" s="68">
        <v>0</v>
      </c>
      <c r="CM113" s="94">
        <v>0</v>
      </c>
      <c r="CN113" s="68">
        <v>0</v>
      </c>
      <c r="CO113" s="68">
        <v>0</v>
      </c>
      <c r="CP113" s="68">
        <v>0</v>
      </c>
      <c r="CQ113" s="68">
        <v>0</v>
      </c>
      <c r="CR113" s="68">
        <v>0</v>
      </c>
      <c r="CS113" s="68">
        <v>0</v>
      </c>
      <c r="CT113" s="68">
        <v>0</v>
      </c>
      <c r="CU113" s="68">
        <v>0</v>
      </c>
      <c r="CV113" s="68">
        <v>0</v>
      </c>
      <c r="CW113" s="68">
        <v>0</v>
      </c>
      <c r="CX113" s="68">
        <v>0</v>
      </c>
      <c r="CY113" s="67"/>
      <c r="CZ113" s="68"/>
      <c r="DA113" s="69"/>
      <c r="DB113" s="69"/>
      <c r="DC113" s="69"/>
      <c r="DD113" s="69"/>
      <c r="DE113" s="69"/>
      <c r="DF113" s="69"/>
      <c r="DG113" s="69"/>
      <c r="DH113" s="69"/>
      <c r="DI113" s="69"/>
      <c r="DJ113" s="69"/>
      <c r="DK113" s="69"/>
      <c r="DL113" s="69"/>
      <c r="DM113" s="69"/>
      <c r="DN113" s="69"/>
      <c r="DO113" s="69"/>
      <c r="DP113" s="69"/>
      <c r="DQ113" s="69"/>
      <c r="DR113" s="69"/>
      <c r="DS113" s="69"/>
      <c r="DT113" s="69"/>
      <c r="DU113" s="69"/>
      <c r="DV113" s="69"/>
      <c r="DW113" s="69"/>
      <c r="DX113" s="69"/>
      <c r="DY113" s="69"/>
      <c r="DZ113" s="69"/>
      <c r="EA113" s="69"/>
      <c r="EB113" s="69"/>
      <c r="EC113" s="69"/>
      <c r="ED113" s="69"/>
      <c r="EE113" s="69"/>
      <c r="EF113" s="69"/>
      <c r="EG113" s="69"/>
      <c r="EH113" s="69"/>
      <c r="EI113" s="69"/>
      <c r="EJ113" s="69"/>
      <c r="EK113" s="69"/>
      <c r="EL113" s="69"/>
      <c r="EM113" s="69"/>
      <c r="EN113" s="69"/>
      <c r="EO113" s="69"/>
      <c r="EP113" s="69"/>
      <c r="EQ113" s="69"/>
      <c r="ER113" s="69"/>
      <c r="ES113" s="69"/>
      <c r="ET113" s="69"/>
      <c r="EU113" s="69"/>
      <c r="EV113" s="69"/>
      <c r="EW113" s="69"/>
      <c r="EX113" s="69"/>
      <c r="EY113" s="69"/>
      <c r="EZ113" s="69"/>
      <c r="FA113" s="69"/>
      <c r="FB113" s="69"/>
      <c r="FC113" s="69"/>
      <c r="FD113" s="69"/>
      <c r="FE113" s="69"/>
      <c r="FF113" s="69"/>
      <c r="FG113" s="69"/>
      <c r="FH113" s="69"/>
      <c r="FI113" s="69"/>
      <c r="FJ113" s="69"/>
      <c r="FK113" s="69"/>
      <c r="FL113" s="69"/>
      <c r="FM113" s="69"/>
      <c r="FN113" s="69"/>
      <c r="FO113" s="69"/>
      <c r="FP113" s="69"/>
      <c r="FQ113" s="69"/>
      <c r="FR113" s="69"/>
      <c r="FS113" s="69"/>
      <c r="FT113" s="69"/>
      <c r="FU113" s="69"/>
      <c r="FV113" s="69"/>
      <c r="FW113" s="69"/>
      <c r="FX113" s="69"/>
      <c r="FY113" s="69"/>
      <c r="FZ113" s="69"/>
      <c r="GA113" s="69"/>
      <c r="GB113" s="69"/>
      <c r="GC113" s="69"/>
      <c r="GD113" s="69"/>
      <c r="GE113" s="69"/>
      <c r="GF113" s="69"/>
      <c r="GG113" s="165"/>
    </row>
    <row r="114" spans="1:189" s="66" customFormat="1" x14ac:dyDescent="0.2">
      <c r="A114"/>
      <c r="B114" s="82">
        <v>43466</v>
      </c>
      <c r="C114" s="68">
        <v>0</v>
      </c>
      <c r="D114" s="68">
        <v>0</v>
      </c>
      <c r="E114" s="68">
        <v>0</v>
      </c>
      <c r="F114" s="68">
        <v>0</v>
      </c>
      <c r="G114" s="68">
        <v>0</v>
      </c>
      <c r="H114" s="68">
        <v>0</v>
      </c>
      <c r="I114" s="68">
        <v>0</v>
      </c>
      <c r="J114" s="68">
        <v>0</v>
      </c>
      <c r="K114" s="68">
        <v>0</v>
      </c>
      <c r="L114" s="68">
        <v>0</v>
      </c>
      <c r="M114" s="68">
        <v>0</v>
      </c>
      <c r="N114" s="68">
        <v>0</v>
      </c>
      <c r="O114" s="68">
        <v>0</v>
      </c>
      <c r="P114" s="68">
        <v>0</v>
      </c>
      <c r="Q114" s="68">
        <v>0</v>
      </c>
      <c r="R114" s="68">
        <v>0</v>
      </c>
      <c r="S114" s="68">
        <v>0</v>
      </c>
      <c r="T114" s="68">
        <v>0</v>
      </c>
      <c r="U114" s="68">
        <v>0</v>
      </c>
      <c r="V114" s="68">
        <v>0</v>
      </c>
      <c r="W114" s="68">
        <v>0</v>
      </c>
      <c r="X114" s="68">
        <v>0</v>
      </c>
      <c r="Y114" s="68">
        <v>0</v>
      </c>
      <c r="Z114" s="68">
        <v>0</v>
      </c>
      <c r="AA114" s="68">
        <v>0</v>
      </c>
      <c r="AB114" s="68">
        <v>0</v>
      </c>
      <c r="AC114" s="68">
        <v>0</v>
      </c>
      <c r="AD114" s="68">
        <v>0</v>
      </c>
      <c r="AE114" s="68">
        <v>0</v>
      </c>
      <c r="AF114" s="68">
        <v>0</v>
      </c>
      <c r="AG114" s="68">
        <v>0</v>
      </c>
      <c r="AH114" s="68">
        <v>0</v>
      </c>
      <c r="AI114" s="68">
        <v>0</v>
      </c>
      <c r="AJ114" s="68">
        <v>0</v>
      </c>
      <c r="AK114" s="68">
        <v>0</v>
      </c>
      <c r="AL114" s="68">
        <v>0</v>
      </c>
      <c r="AM114" s="68">
        <v>0</v>
      </c>
      <c r="AN114" s="68">
        <v>0</v>
      </c>
      <c r="AO114" s="68">
        <v>0</v>
      </c>
      <c r="AP114" s="68">
        <v>0</v>
      </c>
      <c r="AQ114" s="68">
        <v>0</v>
      </c>
      <c r="AR114" s="68">
        <v>0</v>
      </c>
      <c r="AS114" s="68">
        <v>0</v>
      </c>
      <c r="AT114" s="68">
        <v>0</v>
      </c>
      <c r="AU114" s="68">
        <v>0</v>
      </c>
      <c r="AV114" s="68">
        <v>0</v>
      </c>
      <c r="AW114" s="68">
        <v>0</v>
      </c>
      <c r="AX114" s="68">
        <v>0</v>
      </c>
      <c r="AY114" s="68">
        <v>0</v>
      </c>
      <c r="AZ114" s="68">
        <v>0</v>
      </c>
      <c r="BA114" s="68">
        <v>0</v>
      </c>
      <c r="BB114" s="68">
        <v>0</v>
      </c>
      <c r="BC114" s="68">
        <v>0</v>
      </c>
      <c r="BD114" s="68">
        <v>0</v>
      </c>
      <c r="BE114" s="68">
        <v>0</v>
      </c>
      <c r="BF114" s="68">
        <v>0</v>
      </c>
      <c r="BG114" s="68">
        <v>0</v>
      </c>
      <c r="BH114" s="68">
        <v>0</v>
      </c>
      <c r="BI114" s="68">
        <v>0</v>
      </c>
      <c r="BJ114" s="68">
        <v>0</v>
      </c>
      <c r="BK114" s="68">
        <v>0</v>
      </c>
      <c r="BL114" s="68">
        <v>0</v>
      </c>
      <c r="BM114" s="68">
        <v>0</v>
      </c>
      <c r="BN114" s="68">
        <v>0</v>
      </c>
      <c r="BO114" s="68">
        <v>0</v>
      </c>
      <c r="BP114" s="68">
        <v>0</v>
      </c>
      <c r="BQ114" s="68">
        <v>0</v>
      </c>
      <c r="BR114" s="68">
        <v>0</v>
      </c>
      <c r="BS114" s="68">
        <v>0</v>
      </c>
      <c r="BT114" s="68">
        <v>0</v>
      </c>
      <c r="BU114" s="68">
        <v>0</v>
      </c>
      <c r="BV114" s="68">
        <v>0</v>
      </c>
      <c r="BW114" s="68">
        <v>0</v>
      </c>
      <c r="BX114" s="68">
        <v>0</v>
      </c>
      <c r="BY114" s="68">
        <v>0</v>
      </c>
      <c r="BZ114" s="68">
        <v>0</v>
      </c>
      <c r="CA114" s="68">
        <v>0</v>
      </c>
      <c r="CB114" s="68">
        <v>0</v>
      </c>
      <c r="CC114" s="68">
        <v>0</v>
      </c>
      <c r="CD114" s="68">
        <v>0</v>
      </c>
      <c r="CE114" s="68">
        <v>0</v>
      </c>
      <c r="CF114" s="68">
        <v>0</v>
      </c>
      <c r="CG114" s="68">
        <v>0</v>
      </c>
      <c r="CH114" s="68">
        <v>0</v>
      </c>
      <c r="CI114" s="68">
        <v>0</v>
      </c>
      <c r="CJ114" s="68">
        <v>0</v>
      </c>
      <c r="CK114" s="68">
        <v>0</v>
      </c>
      <c r="CL114" s="68">
        <v>0</v>
      </c>
      <c r="CM114" s="68">
        <v>0</v>
      </c>
      <c r="CN114" s="94">
        <v>0</v>
      </c>
      <c r="CO114" s="68">
        <v>0</v>
      </c>
      <c r="CP114" s="68">
        <v>0</v>
      </c>
      <c r="CQ114" s="68">
        <v>0</v>
      </c>
      <c r="CR114" s="68">
        <v>0</v>
      </c>
      <c r="CS114" s="68">
        <v>0</v>
      </c>
      <c r="CT114" s="68">
        <v>0</v>
      </c>
      <c r="CU114" s="68">
        <v>0</v>
      </c>
      <c r="CV114" s="68">
        <v>0</v>
      </c>
      <c r="CW114" s="68">
        <v>0</v>
      </c>
      <c r="CX114" s="68">
        <v>0</v>
      </c>
      <c r="CY114" s="68">
        <v>0</v>
      </c>
      <c r="CZ114" s="67"/>
      <c r="DA114" s="68"/>
      <c r="DB114" s="69"/>
      <c r="DC114" s="69"/>
      <c r="DD114" s="69"/>
      <c r="DE114" s="69"/>
      <c r="DF114" s="69"/>
      <c r="DG114" s="69"/>
      <c r="DH114" s="69"/>
      <c r="DI114" s="69"/>
      <c r="DJ114" s="69"/>
      <c r="DK114" s="69"/>
      <c r="DL114" s="69"/>
      <c r="DM114" s="69"/>
      <c r="DN114" s="69"/>
      <c r="DO114" s="69"/>
      <c r="DP114" s="69"/>
      <c r="DQ114" s="69"/>
      <c r="DR114" s="69"/>
      <c r="DS114" s="69"/>
      <c r="DT114" s="69"/>
      <c r="DU114" s="69"/>
      <c r="DV114" s="69"/>
      <c r="DW114" s="69"/>
      <c r="DX114" s="69"/>
      <c r="DY114" s="69"/>
      <c r="DZ114" s="69"/>
      <c r="EA114" s="69"/>
      <c r="EB114" s="69"/>
      <c r="EC114" s="69"/>
      <c r="ED114" s="69"/>
      <c r="EE114" s="69"/>
      <c r="EF114" s="69"/>
      <c r="EG114" s="69"/>
      <c r="EH114" s="69"/>
      <c r="EI114" s="69"/>
      <c r="EJ114" s="69"/>
      <c r="EK114" s="69"/>
      <c r="EL114" s="69"/>
      <c r="EM114" s="69"/>
      <c r="EN114" s="69"/>
      <c r="EO114" s="69"/>
      <c r="EP114" s="69"/>
      <c r="EQ114" s="69"/>
      <c r="ER114" s="69"/>
      <c r="ES114" s="69"/>
      <c r="ET114" s="69"/>
      <c r="EU114" s="69"/>
      <c r="EV114" s="69"/>
      <c r="EW114" s="69"/>
      <c r="EX114" s="69"/>
      <c r="EY114" s="69"/>
      <c r="EZ114" s="69"/>
      <c r="FA114" s="69"/>
      <c r="FB114" s="69"/>
      <c r="FC114" s="69"/>
      <c r="FD114" s="69"/>
      <c r="FE114" s="69"/>
      <c r="FF114" s="69"/>
      <c r="FG114" s="69"/>
      <c r="FH114" s="69"/>
      <c r="FI114" s="69"/>
      <c r="FJ114" s="69"/>
      <c r="FK114" s="69"/>
      <c r="FL114" s="69"/>
      <c r="FM114" s="69"/>
      <c r="FN114" s="69"/>
      <c r="FO114" s="69"/>
      <c r="FP114" s="69"/>
      <c r="FQ114" s="69"/>
      <c r="FR114" s="69"/>
      <c r="FS114" s="69"/>
      <c r="FT114" s="69"/>
      <c r="FU114" s="69"/>
      <c r="FV114" s="69"/>
      <c r="FW114" s="69"/>
      <c r="FX114" s="69"/>
      <c r="FY114" s="69"/>
      <c r="FZ114" s="69"/>
      <c r="GA114" s="69"/>
      <c r="GB114" s="69"/>
      <c r="GC114" s="69"/>
      <c r="GD114" s="69"/>
      <c r="GE114" s="69"/>
      <c r="GF114" s="69"/>
      <c r="GG114" s="165"/>
    </row>
    <row r="115" spans="1:189" s="66" customFormat="1" x14ac:dyDescent="0.2">
      <c r="A115"/>
      <c r="B115" s="82">
        <v>43497</v>
      </c>
      <c r="C115" s="68">
        <v>0</v>
      </c>
      <c r="D115" s="68">
        <v>0</v>
      </c>
      <c r="E115" s="68">
        <v>0</v>
      </c>
      <c r="F115" s="68">
        <v>0</v>
      </c>
      <c r="G115" s="68">
        <v>0</v>
      </c>
      <c r="H115" s="68">
        <v>0</v>
      </c>
      <c r="I115" s="68">
        <v>0</v>
      </c>
      <c r="J115" s="68">
        <v>0</v>
      </c>
      <c r="K115" s="68">
        <v>0</v>
      </c>
      <c r="L115" s="68">
        <v>0</v>
      </c>
      <c r="M115" s="68">
        <v>0</v>
      </c>
      <c r="N115" s="68">
        <v>0</v>
      </c>
      <c r="O115" s="68">
        <v>0</v>
      </c>
      <c r="P115" s="68">
        <v>0</v>
      </c>
      <c r="Q115" s="68">
        <v>0</v>
      </c>
      <c r="R115" s="68">
        <v>0</v>
      </c>
      <c r="S115" s="68">
        <v>0</v>
      </c>
      <c r="T115" s="68">
        <v>0</v>
      </c>
      <c r="U115" s="68">
        <v>0</v>
      </c>
      <c r="V115" s="68">
        <v>-9.9999999999994316E-2</v>
      </c>
      <c r="W115" s="68">
        <v>0</v>
      </c>
      <c r="X115" s="68">
        <v>0</v>
      </c>
      <c r="Y115" s="68">
        <v>0</v>
      </c>
      <c r="Z115" s="68">
        <v>0</v>
      </c>
      <c r="AA115" s="68">
        <v>0</v>
      </c>
      <c r="AB115" s="68">
        <v>0</v>
      </c>
      <c r="AC115" s="68">
        <v>0</v>
      </c>
      <c r="AD115" s="68">
        <v>0</v>
      </c>
      <c r="AE115" s="68">
        <v>0</v>
      </c>
      <c r="AF115" s="68">
        <v>0</v>
      </c>
      <c r="AG115" s="68">
        <v>0</v>
      </c>
      <c r="AH115" s="68">
        <v>0</v>
      </c>
      <c r="AI115" s="68">
        <v>0</v>
      </c>
      <c r="AJ115" s="68">
        <v>0</v>
      </c>
      <c r="AK115" s="68">
        <v>0</v>
      </c>
      <c r="AL115" s="68">
        <v>0</v>
      </c>
      <c r="AM115" s="68">
        <v>0</v>
      </c>
      <c r="AN115" s="68">
        <v>0</v>
      </c>
      <c r="AO115" s="68">
        <v>0</v>
      </c>
      <c r="AP115" s="68">
        <v>0</v>
      </c>
      <c r="AQ115" s="68">
        <v>0</v>
      </c>
      <c r="AR115" s="68">
        <v>0</v>
      </c>
      <c r="AS115" s="68">
        <v>0</v>
      </c>
      <c r="AT115" s="68">
        <v>0</v>
      </c>
      <c r="AU115" s="68">
        <v>0</v>
      </c>
      <c r="AV115" s="68">
        <v>0</v>
      </c>
      <c r="AW115" s="68">
        <v>0</v>
      </c>
      <c r="AX115" s="68">
        <v>0</v>
      </c>
      <c r="AY115" s="68">
        <v>0</v>
      </c>
      <c r="AZ115" s="68">
        <v>0</v>
      </c>
      <c r="BA115" s="68">
        <v>0</v>
      </c>
      <c r="BB115" s="68">
        <v>0</v>
      </c>
      <c r="BC115" s="68">
        <v>0</v>
      </c>
      <c r="BD115" s="68">
        <v>0</v>
      </c>
      <c r="BE115" s="68">
        <v>0</v>
      </c>
      <c r="BF115" s="68">
        <v>0</v>
      </c>
      <c r="BG115" s="68">
        <v>0</v>
      </c>
      <c r="BH115" s="68">
        <v>0</v>
      </c>
      <c r="BI115" s="68">
        <v>0</v>
      </c>
      <c r="BJ115" s="68">
        <v>0</v>
      </c>
      <c r="BK115" s="68">
        <v>0</v>
      </c>
      <c r="BL115" s="68">
        <v>0</v>
      </c>
      <c r="BM115" s="68">
        <v>0</v>
      </c>
      <c r="BN115" s="68">
        <v>0</v>
      </c>
      <c r="BO115" s="68">
        <v>0</v>
      </c>
      <c r="BP115" s="68">
        <v>-9.9999999999994316E-2</v>
      </c>
      <c r="BQ115" s="68">
        <v>0</v>
      </c>
      <c r="BR115" s="68">
        <v>0</v>
      </c>
      <c r="BS115" s="68">
        <v>0</v>
      </c>
      <c r="BT115" s="68">
        <v>-0.10000000000000853</v>
      </c>
      <c r="BU115" s="68">
        <v>0</v>
      </c>
      <c r="BV115" s="68">
        <v>0</v>
      </c>
      <c r="BW115" s="68">
        <v>0</v>
      </c>
      <c r="BX115" s="68">
        <v>0</v>
      </c>
      <c r="BY115" s="68">
        <v>0</v>
      </c>
      <c r="BZ115" s="68">
        <v>0</v>
      </c>
      <c r="CA115" s="68">
        <v>0</v>
      </c>
      <c r="CB115" s="68">
        <v>-9.9999999999994316E-2</v>
      </c>
      <c r="CC115" s="68">
        <v>0</v>
      </c>
      <c r="CD115" s="68">
        <v>-9.9999999999994316E-2</v>
      </c>
      <c r="CE115" s="68">
        <v>0</v>
      </c>
      <c r="CF115" s="68">
        <v>0</v>
      </c>
      <c r="CG115" s="68">
        <v>0</v>
      </c>
      <c r="CH115" s="68">
        <v>0</v>
      </c>
      <c r="CI115" s="68">
        <v>0</v>
      </c>
      <c r="CJ115" s="68">
        <v>0</v>
      </c>
      <c r="CK115" s="68">
        <v>0</v>
      </c>
      <c r="CL115" s="68">
        <v>0</v>
      </c>
      <c r="CM115" s="68">
        <v>0</v>
      </c>
      <c r="CN115" s="68">
        <v>0</v>
      </c>
      <c r="CO115" s="94">
        <v>0</v>
      </c>
      <c r="CP115" s="68">
        <v>0</v>
      </c>
      <c r="CQ115" s="68">
        <v>0</v>
      </c>
      <c r="CR115" s="68">
        <v>0</v>
      </c>
      <c r="CS115" s="68">
        <v>0</v>
      </c>
      <c r="CT115" s="68">
        <v>-0.10000000000000853</v>
      </c>
      <c r="CU115" s="68">
        <v>-9.9999999999994316E-2</v>
      </c>
      <c r="CV115" s="68">
        <v>0</v>
      </c>
      <c r="CW115" s="68">
        <v>9.9999999999994316E-2</v>
      </c>
      <c r="CX115" s="68">
        <v>9.9999999999994316E-2</v>
      </c>
      <c r="CY115" s="68">
        <v>0</v>
      </c>
      <c r="CZ115" s="68">
        <v>0</v>
      </c>
      <c r="DA115" s="67"/>
      <c r="DB115" s="68"/>
      <c r="DC115" s="69"/>
      <c r="DD115" s="69"/>
      <c r="DE115" s="69"/>
      <c r="DF115" s="69"/>
      <c r="DG115" s="69"/>
      <c r="DH115" s="69"/>
      <c r="DI115" s="69"/>
      <c r="DJ115" s="69"/>
      <c r="DK115" s="69"/>
      <c r="DL115" s="69"/>
      <c r="DM115" s="69"/>
      <c r="DN115" s="69"/>
      <c r="DO115" s="69"/>
      <c r="DP115" s="69"/>
      <c r="DQ115" s="69"/>
      <c r="DR115" s="69"/>
      <c r="DS115" s="69"/>
      <c r="DT115" s="69"/>
      <c r="DU115" s="69"/>
      <c r="DV115" s="69"/>
      <c r="DW115" s="69"/>
      <c r="DX115" s="69"/>
      <c r="DY115" s="69"/>
      <c r="DZ115" s="69"/>
      <c r="EA115" s="69"/>
      <c r="EB115" s="69"/>
      <c r="EC115" s="69"/>
      <c r="ED115" s="69"/>
      <c r="EE115" s="69"/>
      <c r="EF115" s="69"/>
      <c r="EG115" s="69"/>
      <c r="EH115" s="69"/>
      <c r="EI115" s="69"/>
      <c r="EJ115" s="69"/>
      <c r="EK115" s="69"/>
      <c r="EL115" s="69"/>
      <c r="EM115" s="69"/>
      <c r="EN115" s="69"/>
      <c r="EO115" s="69"/>
      <c r="EP115" s="69"/>
      <c r="EQ115" s="69"/>
      <c r="ER115" s="69"/>
      <c r="ES115" s="69"/>
      <c r="ET115" s="69"/>
      <c r="EU115" s="69"/>
      <c r="EV115" s="69"/>
      <c r="EW115" s="69"/>
      <c r="EX115" s="69"/>
      <c r="EY115" s="69"/>
      <c r="EZ115" s="69"/>
      <c r="FA115" s="69"/>
      <c r="FB115" s="69"/>
      <c r="FC115" s="69"/>
      <c r="FD115" s="69"/>
      <c r="FE115" s="69"/>
      <c r="FF115" s="69"/>
      <c r="FG115" s="69"/>
      <c r="FH115" s="69"/>
      <c r="FI115" s="69"/>
      <c r="FJ115" s="69"/>
      <c r="FK115" s="69"/>
      <c r="FL115" s="69"/>
      <c r="FM115" s="69"/>
      <c r="FN115" s="69"/>
      <c r="FO115" s="69"/>
      <c r="FP115" s="69"/>
      <c r="FQ115" s="69"/>
      <c r="FR115" s="69"/>
      <c r="FS115" s="69"/>
      <c r="FT115" s="69"/>
      <c r="FU115" s="69"/>
      <c r="FV115" s="69"/>
      <c r="FW115" s="69"/>
      <c r="FX115" s="69"/>
      <c r="FY115" s="69"/>
      <c r="FZ115" s="69"/>
      <c r="GA115" s="69"/>
      <c r="GB115" s="69"/>
      <c r="GC115" s="69"/>
      <c r="GD115" s="69"/>
      <c r="GE115" s="69"/>
      <c r="GF115" s="69"/>
      <c r="GG115" s="165"/>
    </row>
    <row r="116" spans="1:189" s="66" customFormat="1" x14ac:dyDescent="0.2">
      <c r="A116"/>
      <c r="B116" s="82">
        <v>43525</v>
      </c>
      <c r="C116" s="68">
        <v>0</v>
      </c>
      <c r="D116" s="68">
        <v>0</v>
      </c>
      <c r="E116" s="68">
        <v>0</v>
      </c>
      <c r="F116" s="68">
        <v>0</v>
      </c>
      <c r="G116" s="68">
        <v>0</v>
      </c>
      <c r="H116" s="68">
        <v>0</v>
      </c>
      <c r="I116" s="68">
        <v>0</v>
      </c>
      <c r="J116" s="68">
        <v>0</v>
      </c>
      <c r="K116" s="68">
        <v>0</v>
      </c>
      <c r="L116" s="68">
        <v>0</v>
      </c>
      <c r="M116" s="68">
        <v>0</v>
      </c>
      <c r="N116" s="68">
        <v>0</v>
      </c>
      <c r="O116" s="68">
        <v>0</v>
      </c>
      <c r="P116" s="68">
        <v>0</v>
      </c>
      <c r="Q116" s="68">
        <v>0</v>
      </c>
      <c r="R116" s="68">
        <v>0</v>
      </c>
      <c r="S116" s="68">
        <v>0</v>
      </c>
      <c r="T116" s="68">
        <v>0</v>
      </c>
      <c r="U116" s="68">
        <v>0</v>
      </c>
      <c r="V116" s="68">
        <v>0</v>
      </c>
      <c r="W116" s="68">
        <v>0</v>
      </c>
      <c r="X116" s="68">
        <v>0</v>
      </c>
      <c r="Y116" s="68">
        <v>0</v>
      </c>
      <c r="Z116" s="68">
        <v>0</v>
      </c>
      <c r="AA116" s="68">
        <v>0</v>
      </c>
      <c r="AB116" s="68">
        <v>0</v>
      </c>
      <c r="AC116" s="68">
        <v>0</v>
      </c>
      <c r="AD116" s="68">
        <v>0</v>
      </c>
      <c r="AE116" s="68">
        <v>0</v>
      </c>
      <c r="AF116" s="68">
        <v>0</v>
      </c>
      <c r="AG116" s="68">
        <v>0</v>
      </c>
      <c r="AH116" s="68">
        <v>0</v>
      </c>
      <c r="AI116" s="68">
        <v>0</v>
      </c>
      <c r="AJ116" s="68">
        <v>0</v>
      </c>
      <c r="AK116" s="68">
        <v>0</v>
      </c>
      <c r="AL116" s="68">
        <v>0</v>
      </c>
      <c r="AM116" s="68">
        <v>0</v>
      </c>
      <c r="AN116" s="68">
        <v>0</v>
      </c>
      <c r="AO116" s="68">
        <v>0</v>
      </c>
      <c r="AP116" s="68">
        <v>0</v>
      </c>
      <c r="AQ116" s="68">
        <v>0</v>
      </c>
      <c r="AR116" s="68">
        <v>0</v>
      </c>
      <c r="AS116" s="68">
        <v>0</v>
      </c>
      <c r="AT116" s="68">
        <v>0</v>
      </c>
      <c r="AU116" s="68">
        <v>0</v>
      </c>
      <c r="AV116" s="68">
        <v>0</v>
      </c>
      <c r="AW116" s="68">
        <v>0</v>
      </c>
      <c r="AX116" s="68">
        <v>0</v>
      </c>
      <c r="AY116" s="68">
        <v>0</v>
      </c>
      <c r="AZ116" s="68">
        <v>0</v>
      </c>
      <c r="BA116" s="68">
        <v>0</v>
      </c>
      <c r="BB116" s="68">
        <v>0</v>
      </c>
      <c r="BC116" s="68">
        <v>0</v>
      </c>
      <c r="BD116" s="68">
        <v>0</v>
      </c>
      <c r="BE116" s="68">
        <v>0</v>
      </c>
      <c r="BF116" s="68">
        <v>0</v>
      </c>
      <c r="BG116" s="68">
        <v>0</v>
      </c>
      <c r="BH116" s="68">
        <v>0</v>
      </c>
      <c r="BI116" s="68">
        <v>0</v>
      </c>
      <c r="BJ116" s="68">
        <v>0</v>
      </c>
      <c r="BK116" s="68">
        <v>0</v>
      </c>
      <c r="BL116" s="68">
        <v>0</v>
      </c>
      <c r="BM116" s="68">
        <v>0</v>
      </c>
      <c r="BN116" s="68">
        <v>0</v>
      </c>
      <c r="BO116" s="68">
        <v>0</v>
      </c>
      <c r="BP116" s="68">
        <v>0</v>
      </c>
      <c r="BQ116" s="68">
        <v>0</v>
      </c>
      <c r="BR116" s="68">
        <v>0</v>
      </c>
      <c r="BS116" s="68">
        <v>0</v>
      </c>
      <c r="BT116" s="68">
        <v>0</v>
      </c>
      <c r="BU116" s="68">
        <v>0</v>
      </c>
      <c r="BV116" s="68">
        <v>0</v>
      </c>
      <c r="BW116" s="68">
        <v>0</v>
      </c>
      <c r="BX116" s="68">
        <v>0</v>
      </c>
      <c r="BY116" s="68">
        <v>0</v>
      </c>
      <c r="BZ116" s="68">
        <v>0</v>
      </c>
      <c r="CA116" s="68">
        <v>0</v>
      </c>
      <c r="CB116" s="68">
        <v>0</v>
      </c>
      <c r="CC116" s="68">
        <v>0</v>
      </c>
      <c r="CD116" s="68">
        <v>0</v>
      </c>
      <c r="CE116" s="68">
        <v>0</v>
      </c>
      <c r="CF116" s="68">
        <v>0</v>
      </c>
      <c r="CG116" s="68">
        <v>0</v>
      </c>
      <c r="CH116" s="68">
        <v>0</v>
      </c>
      <c r="CI116" s="68">
        <v>0</v>
      </c>
      <c r="CJ116" s="68">
        <v>0</v>
      </c>
      <c r="CK116" s="68">
        <v>0</v>
      </c>
      <c r="CL116" s="68">
        <v>0</v>
      </c>
      <c r="CM116" s="68">
        <v>0</v>
      </c>
      <c r="CN116" s="68">
        <v>0</v>
      </c>
      <c r="CO116" s="68">
        <v>0</v>
      </c>
      <c r="CP116" s="94">
        <v>0</v>
      </c>
      <c r="CQ116" s="68">
        <v>0</v>
      </c>
      <c r="CR116" s="68">
        <v>0</v>
      </c>
      <c r="CS116" s="68">
        <v>0</v>
      </c>
      <c r="CT116" s="68">
        <v>0</v>
      </c>
      <c r="CU116" s="68">
        <v>0</v>
      </c>
      <c r="CV116" s="68">
        <v>0</v>
      </c>
      <c r="CW116" s="68">
        <v>0</v>
      </c>
      <c r="CX116" s="68">
        <v>0</v>
      </c>
      <c r="CY116" s="68">
        <v>0</v>
      </c>
      <c r="CZ116" s="68">
        <v>0</v>
      </c>
      <c r="DA116" s="68">
        <v>0</v>
      </c>
      <c r="DB116" s="67"/>
      <c r="DC116" s="68"/>
      <c r="DD116" s="69"/>
      <c r="DE116" s="69"/>
      <c r="DF116" s="69"/>
      <c r="DG116" s="69"/>
      <c r="DH116" s="69"/>
      <c r="DI116" s="69"/>
      <c r="DJ116" s="69"/>
      <c r="DK116" s="69"/>
      <c r="DL116" s="69"/>
      <c r="DM116" s="69"/>
      <c r="DN116" s="69"/>
      <c r="DO116" s="69"/>
      <c r="DP116" s="69"/>
      <c r="DQ116" s="69"/>
      <c r="DR116" s="69"/>
      <c r="DS116" s="69"/>
      <c r="DT116" s="69"/>
      <c r="DU116" s="69"/>
      <c r="DV116" s="69"/>
      <c r="DW116" s="69"/>
      <c r="DX116" s="69"/>
      <c r="DY116" s="69"/>
      <c r="DZ116" s="69"/>
      <c r="EA116" s="69"/>
      <c r="EB116" s="69"/>
      <c r="EC116" s="69"/>
      <c r="ED116" s="69"/>
      <c r="EE116" s="69"/>
      <c r="EF116" s="69"/>
      <c r="EG116" s="69"/>
      <c r="EH116" s="69"/>
      <c r="EI116" s="69"/>
      <c r="EJ116" s="69"/>
      <c r="EK116" s="69"/>
      <c r="EL116" s="69"/>
      <c r="EM116" s="69"/>
      <c r="EN116" s="69"/>
      <c r="EO116" s="69"/>
      <c r="EP116" s="69"/>
      <c r="EQ116" s="69"/>
      <c r="ER116" s="69"/>
      <c r="ES116" s="69"/>
      <c r="ET116" s="69"/>
      <c r="EU116" s="69"/>
      <c r="EV116" s="69"/>
      <c r="EW116" s="69"/>
      <c r="EX116" s="69"/>
      <c r="EY116" s="69"/>
      <c r="EZ116" s="69"/>
      <c r="FA116" s="69"/>
      <c r="FB116" s="69"/>
      <c r="FC116" s="69"/>
      <c r="FD116" s="69"/>
      <c r="FE116" s="69"/>
      <c r="FF116" s="69"/>
      <c r="FG116" s="69"/>
      <c r="FH116" s="69"/>
      <c r="FI116" s="69"/>
      <c r="FJ116" s="69"/>
      <c r="FK116" s="69"/>
      <c r="FL116" s="69"/>
      <c r="FM116" s="69"/>
      <c r="FN116" s="69"/>
      <c r="FO116" s="69"/>
      <c r="FP116" s="69"/>
      <c r="FQ116" s="69"/>
      <c r="FR116" s="69"/>
      <c r="FS116" s="69"/>
      <c r="FT116" s="69"/>
      <c r="FU116" s="69"/>
      <c r="FV116" s="69"/>
      <c r="FW116" s="69"/>
      <c r="FX116" s="69"/>
      <c r="FY116" s="69"/>
      <c r="FZ116" s="69"/>
      <c r="GA116" s="69"/>
      <c r="GB116" s="69"/>
      <c r="GC116" s="69"/>
      <c r="GD116" s="69"/>
      <c r="GE116" s="69"/>
      <c r="GF116" s="69"/>
      <c r="GG116" s="165"/>
    </row>
    <row r="117" spans="1:189" s="66" customFormat="1" x14ac:dyDescent="0.2">
      <c r="A117"/>
      <c r="B117" s="82">
        <v>43556</v>
      </c>
      <c r="C117" s="68">
        <v>0</v>
      </c>
      <c r="D117" s="68">
        <v>0</v>
      </c>
      <c r="E117" s="68">
        <v>0</v>
      </c>
      <c r="F117" s="68">
        <v>0</v>
      </c>
      <c r="G117" s="68">
        <v>0</v>
      </c>
      <c r="H117" s="68">
        <v>0</v>
      </c>
      <c r="I117" s="68">
        <v>0</v>
      </c>
      <c r="J117" s="68">
        <v>0</v>
      </c>
      <c r="K117" s="68">
        <v>0</v>
      </c>
      <c r="L117" s="68">
        <v>0</v>
      </c>
      <c r="M117" s="68">
        <v>0</v>
      </c>
      <c r="N117" s="68">
        <v>0</v>
      </c>
      <c r="O117" s="68">
        <v>0</v>
      </c>
      <c r="P117" s="68">
        <v>0</v>
      </c>
      <c r="Q117" s="68">
        <v>0</v>
      </c>
      <c r="R117" s="68">
        <v>0</v>
      </c>
      <c r="S117" s="68">
        <v>0</v>
      </c>
      <c r="T117" s="68">
        <v>0</v>
      </c>
      <c r="U117" s="68">
        <v>0</v>
      </c>
      <c r="V117" s="68">
        <v>0</v>
      </c>
      <c r="W117" s="68">
        <v>0</v>
      </c>
      <c r="X117" s="68">
        <v>0</v>
      </c>
      <c r="Y117" s="68">
        <v>0</v>
      </c>
      <c r="Z117" s="68">
        <v>0</v>
      </c>
      <c r="AA117" s="68">
        <v>0</v>
      </c>
      <c r="AB117" s="68">
        <v>0</v>
      </c>
      <c r="AC117" s="68">
        <v>0</v>
      </c>
      <c r="AD117" s="68">
        <v>0</v>
      </c>
      <c r="AE117" s="68">
        <v>0</v>
      </c>
      <c r="AF117" s="68">
        <v>0</v>
      </c>
      <c r="AG117" s="68">
        <v>0</v>
      </c>
      <c r="AH117" s="68">
        <v>0</v>
      </c>
      <c r="AI117" s="68">
        <v>0</v>
      </c>
      <c r="AJ117" s="68">
        <v>0</v>
      </c>
      <c r="AK117" s="68">
        <v>0</v>
      </c>
      <c r="AL117" s="68">
        <v>0</v>
      </c>
      <c r="AM117" s="68">
        <v>0</v>
      </c>
      <c r="AN117" s="68">
        <v>0</v>
      </c>
      <c r="AO117" s="68">
        <v>0</v>
      </c>
      <c r="AP117" s="68">
        <v>0</v>
      </c>
      <c r="AQ117" s="68">
        <v>0</v>
      </c>
      <c r="AR117" s="68">
        <v>0</v>
      </c>
      <c r="AS117" s="68">
        <v>0</v>
      </c>
      <c r="AT117" s="68">
        <v>0</v>
      </c>
      <c r="AU117" s="68">
        <v>0</v>
      </c>
      <c r="AV117" s="68">
        <v>0</v>
      </c>
      <c r="AW117" s="68">
        <v>0</v>
      </c>
      <c r="AX117" s="68">
        <v>0</v>
      </c>
      <c r="AY117" s="68">
        <v>0</v>
      </c>
      <c r="AZ117" s="68">
        <v>0</v>
      </c>
      <c r="BA117" s="68">
        <v>0</v>
      </c>
      <c r="BB117" s="68">
        <v>0</v>
      </c>
      <c r="BC117" s="68">
        <v>0</v>
      </c>
      <c r="BD117" s="68">
        <v>0</v>
      </c>
      <c r="BE117" s="68">
        <v>0</v>
      </c>
      <c r="BF117" s="68">
        <v>0</v>
      </c>
      <c r="BG117" s="68">
        <v>0</v>
      </c>
      <c r="BH117" s="68">
        <v>0</v>
      </c>
      <c r="BI117" s="68">
        <v>0</v>
      </c>
      <c r="BJ117" s="68">
        <v>0</v>
      </c>
      <c r="BK117" s="68">
        <v>0</v>
      </c>
      <c r="BL117" s="68">
        <v>0</v>
      </c>
      <c r="BM117" s="68">
        <v>0</v>
      </c>
      <c r="BN117" s="68">
        <v>0</v>
      </c>
      <c r="BO117" s="68">
        <v>0</v>
      </c>
      <c r="BP117" s="68">
        <v>0</v>
      </c>
      <c r="BQ117" s="68">
        <v>0</v>
      </c>
      <c r="BR117" s="68">
        <v>0</v>
      </c>
      <c r="BS117" s="68">
        <v>0</v>
      </c>
      <c r="BT117" s="68">
        <v>0</v>
      </c>
      <c r="BU117" s="68">
        <v>0</v>
      </c>
      <c r="BV117" s="68">
        <v>0</v>
      </c>
      <c r="BW117" s="68">
        <v>0</v>
      </c>
      <c r="BX117" s="68">
        <v>0</v>
      </c>
      <c r="BY117" s="68">
        <v>0</v>
      </c>
      <c r="BZ117" s="68">
        <v>0</v>
      </c>
      <c r="CA117" s="68">
        <v>0</v>
      </c>
      <c r="CB117" s="68">
        <v>0</v>
      </c>
      <c r="CC117" s="68">
        <v>0</v>
      </c>
      <c r="CD117" s="68">
        <v>0</v>
      </c>
      <c r="CE117" s="68">
        <v>0</v>
      </c>
      <c r="CF117" s="68">
        <v>0</v>
      </c>
      <c r="CG117" s="68">
        <v>0</v>
      </c>
      <c r="CH117" s="68">
        <v>0</v>
      </c>
      <c r="CI117" s="68">
        <v>0</v>
      </c>
      <c r="CJ117" s="68">
        <v>0</v>
      </c>
      <c r="CK117" s="68">
        <v>0</v>
      </c>
      <c r="CL117" s="68">
        <v>0</v>
      </c>
      <c r="CM117" s="68">
        <v>0</v>
      </c>
      <c r="CN117" s="68">
        <v>0</v>
      </c>
      <c r="CO117" s="68">
        <v>0</v>
      </c>
      <c r="CP117" s="68">
        <v>0</v>
      </c>
      <c r="CQ117" s="94">
        <v>0</v>
      </c>
      <c r="CR117" s="68">
        <v>0</v>
      </c>
      <c r="CS117" s="68">
        <v>0</v>
      </c>
      <c r="CT117" s="68">
        <v>0</v>
      </c>
      <c r="CU117" s="68">
        <v>0</v>
      </c>
      <c r="CV117" s="68">
        <v>0</v>
      </c>
      <c r="CW117" s="68">
        <v>0</v>
      </c>
      <c r="CX117" s="68">
        <v>0</v>
      </c>
      <c r="CY117" s="68">
        <v>0</v>
      </c>
      <c r="CZ117" s="68">
        <v>0</v>
      </c>
      <c r="DA117" s="68">
        <v>0</v>
      </c>
      <c r="DB117" s="68">
        <v>0</v>
      </c>
      <c r="DC117" s="67"/>
      <c r="DD117" s="68"/>
      <c r="DE117" s="69"/>
      <c r="DF117" s="69"/>
      <c r="DG117" s="69"/>
      <c r="DH117" s="69"/>
      <c r="DI117" s="69"/>
      <c r="DJ117" s="69"/>
      <c r="DK117" s="69"/>
      <c r="DL117" s="69"/>
      <c r="DM117" s="69"/>
      <c r="DN117" s="69"/>
      <c r="DO117" s="69"/>
      <c r="DP117" s="69"/>
      <c r="DQ117" s="69"/>
      <c r="DR117" s="69"/>
      <c r="DS117" s="69"/>
      <c r="DT117" s="69"/>
      <c r="DU117" s="69"/>
      <c r="DV117" s="69"/>
      <c r="DW117" s="69"/>
      <c r="DX117" s="69"/>
      <c r="DY117" s="69"/>
      <c r="DZ117" s="69"/>
      <c r="EA117" s="69"/>
      <c r="EB117" s="69"/>
      <c r="EC117" s="69"/>
      <c r="ED117" s="69"/>
      <c r="EE117" s="69"/>
      <c r="EF117" s="69"/>
      <c r="EG117" s="69"/>
      <c r="EH117" s="69"/>
      <c r="EI117" s="69"/>
      <c r="EJ117" s="69"/>
      <c r="EK117" s="69"/>
      <c r="EL117" s="69"/>
      <c r="EM117" s="69"/>
      <c r="EN117" s="69"/>
      <c r="EO117" s="69"/>
      <c r="EP117" s="69"/>
      <c r="EQ117" s="69"/>
      <c r="ER117" s="69"/>
      <c r="ES117" s="69"/>
      <c r="ET117" s="69"/>
      <c r="EU117" s="69"/>
      <c r="EV117" s="69"/>
      <c r="EW117" s="69"/>
      <c r="EX117" s="69"/>
      <c r="EY117" s="69"/>
      <c r="EZ117" s="69"/>
      <c r="FA117" s="69"/>
      <c r="FB117" s="69"/>
      <c r="FC117" s="69"/>
      <c r="FD117" s="69"/>
      <c r="FE117" s="69"/>
      <c r="FF117" s="69"/>
      <c r="FG117" s="69"/>
      <c r="FH117" s="69"/>
      <c r="FI117" s="69"/>
      <c r="FJ117" s="69"/>
      <c r="FK117" s="69"/>
      <c r="FL117" s="69"/>
      <c r="FM117" s="69"/>
      <c r="FN117" s="69"/>
      <c r="FO117" s="69"/>
      <c r="FP117" s="69"/>
      <c r="FQ117" s="69"/>
      <c r="FR117" s="69"/>
      <c r="FS117" s="69"/>
      <c r="FT117" s="69"/>
      <c r="FU117" s="69"/>
      <c r="FV117" s="69"/>
      <c r="FW117" s="69"/>
      <c r="FX117" s="69"/>
      <c r="FY117" s="69"/>
      <c r="FZ117" s="69"/>
      <c r="GA117" s="69"/>
      <c r="GB117" s="69"/>
      <c r="GC117" s="69"/>
      <c r="GD117" s="69"/>
      <c r="GE117" s="69"/>
      <c r="GF117" s="69"/>
      <c r="GG117" s="165"/>
    </row>
    <row r="118" spans="1:189" s="66" customFormat="1" x14ac:dyDescent="0.2">
      <c r="A118"/>
      <c r="B118" s="82">
        <v>43586</v>
      </c>
      <c r="C118" s="68">
        <v>0</v>
      </c>
      <c r="D118" s="68">
        <v>0</v>
      </c>
      <c r="E118" s="68">
        <v>0</v>
      </c>
      <c r="F118" s="68">
        <v>0</v>
      </c>
      <c r="G118" s="68">
        <v>0</v>
      </c>
      <c r="H118" s="68">
        <v>0</v>
      </c>
      <c r="I118" s="68">
        <v>0</v>
      </c>
      <c r="J118" s="68">
        <v>0</v>
      </c>
      <c r="K118" s="68">
        <v>0</v>
      </c>
      <c r="L118" s="68">
        <v>0</v>
      </c>
      <c r="M118" s="68">
        <v>0</v>
      </c>
      <c r="N118" s="68">
        <v>0</v>
      </c>
      <c r="O118" s="68">
        <v>0</v>
      </c>
      <c r="P118" s="68">
        <v>0</v>
      </c>
      <c r="Q118" s="68">
        <v>0</v>
      </c>
      <c r="R118" s="68">
        <v>0</v>
      </c>
      <c r="S118" s="68">
        <v>0</v>
      </c>
      <c r="T118" s="68">
        <v>0</v>
      </c>
      <c r="U118" s="68">
        <v>0</v>
      </c>
      <c r="V118" s="68">
        <v>0</v>
      </c>
      <c r="W118" s="68">
        <v>0</v>
      </c>
      <c r="X118" s="68">
        <v>0</v>
      </c>
      <c r="Y118" s="68">
        <v>0</v>
      </c>
      <c r="Z118" s="68">
        <v>0</v>
      </c>
      <c r="AA118" s="68">
        <v>0</v>
      </c>
      <c r="AB118" s="68">
        <v>0</v>
      </c>
      <c r="AC118" s="68">
        <v>0</v>
      </c>
      <c r="AD118" s="68">
        <v>0</v>
      </c>
      <c r="AE118" s="68">
        <v>0</v>
      </c>
      <c r="AF118" s="68">
        <v>0</v>
      </c>
      <c r="AG118" s="68">
        <v>0</v>
      </c>
      <c r="AH118" s="68">
        <v>0</v>
      </c>
      <c r="AI118" s="68">
        <v>0</v>
      </c>
      <c r="AJ118" s="68">
        <v>0</v>
      </c>
      <c r="AK118" s="68">
        <v>0</v>
      </c>
      <c r="AL118" s="68">
        <v>0</v>
      </c>
      <c r="AM118" s="68">
        <v>0</v>
      </c>
      <c r="AN118" s="68">
        <v>0</v>
      </c>
      <c r="AO118" s="68">
        <v>0</v>
      </c>
      <c r="AP118" s="68">
        <v>0</v>
      </c>
      <c r="AQ118" s="68">
        <v>0</v>
      </c>
      <c r="AR118" s="68">
        <v>0</v>
      </c>
      <c r="AS118" s="68">
        <v>0</v>
      </c>
      <c r="AT118" s="68">
        <v>0</v>
      </c>
      <c r="AU118" s="68">
        <v>0</v>
      </c>
      <c r="AV118" s="68">
        <v>0</v>
      </c>
      <c r="AW118" s="68">
        <v>0</v>
      </c>
      <c r="AX118" s="68">
        <v>0</v>
      </c>
      <c r="AY118" s="68">
        <v>0</v>
      </c>
      <c r="AZ118" s="68">
        <v>0</v>
      </c>
      <c r="BA118" s="68">
        <v>0</v>
      </c>
      <c r="BB118" s="68">
        <v>0</v>
      </c>
      <c r="BC118" s="68">
        <v>0</v>
      </c>
      <c r="BD118" s="68">
        <v>0</v>
      </c>
      <c r="BE118" s="68">
        <v>0</v>
      </c>
      <c r="BF118" s="68">
        <v>0</v>
      </c>
      <c r="BG118" s="68">
        <v>0</v>
      </c>
      <c r="BH118" s="68">
        <v>0</v>
      </c>
      <c r="BI118" s="68">
        <v>0</v>
      </c>
      <c r="BJ118" s="68">
        <v>0</v>
      </c>
      <c r="BK118" s="68">
        <v>0</v>
      </c>
      <c r="BL118" s="68">
        <v>0</v>
      </c>
      <c r="BM118" s="68">
        <v>0</v>
      </c>
      <c r="BN118" s="68">
        <v>0</v>
      </c>
      <c r="BO118" s="68">
        <v>0</v>
      </c>
      <c r="BP118" s="68">
        <v>0</v>
      </c>
      <c r="BQ118" s="68">
        <v>0</v>
      </c>
      <c r="BR118" s="68">
        <v>0</v>
      </c>
      <c r="BS118" s="68">
        <v>0</v>
      </c>
      <c r="BT118" s="68">
        <v>0</v>
      </c>
      <c r="BU118" s="68">
        <v>0</v>
      </c>
      <c r="BV118" s="68">
        <v>0</v>
      </c>
      <c r="BW118" s="68">
        <v>0</v>
      </c>
      <c r="BX118" s="68">
        <v>0</v>
      </c>
      <c r="BY118" s="68">
        <v>0</v>
      </c>
      <c r="BZ118" s="68">
        <v>0</v>
      </c>
      <c r="CA118" s="68">
        <v>0</v>
      </c>
      <c r="CB118" s="68">
        <v>0</v>
      </c>
      <c r="CC118" s="68">
        <v>0</v>
      </c>
      <c r="CD118" s="68">
        <v>0</v>
      </c>
      <c r="CE118" s="68">
        <v>0</v>
      </c>
      <c r="CF118" s="68">
        <v>0</v>
      </c>
      <c r="CG118" s="68">
        <v>0</v>
      </c>
      <c r="CH118" s="68">
        <v>0</v>
      </c>
      <c r="CI118" s="68">
        <v>0</v>
      </c>
      <c r="CJ118" s="68">
        <v>0</v>
      </c>
      <c r="CK118" s="68">
        <v>0</v>
      </c>
      <c r="CL118" s="68">
        <v>0</v>
      </c>
      <c r="CM118" s="68">
        <v>0</v>
      </c>
      <c r="CN118" s="68">
        <v>0</v>
      </c>
      <c r="CO118" s="68">
        <v>0</v>
      </c>
      <c r="CP118" s="68">
        <v>0</v>
      </c>
      <c r="CQ118" s="68">
        <v>0</v>
      </c>
      <c r="CR118" s="94">
        <v>0</v>
      </c>
      <c r="CS118" s="68">
        <v>0</v>
      </c>
      <c r="CT118" s="68">
        <v>0</v>
      </c>
      <c r="CU118" s="68">
        <v>0</v>
      </c>
      <c r="CV118" s="68">
        <v>0</v>
      </c>
      <c r="CW118" s="68">
        <v>0</v>
      </c>
      <c r="CX118" s="68">
        <v>0</v>
      </c>
      <c r="CY118" s="68">
        <v>0</v>
      </c>
      <c r="CZ118" s="68">
        <v>0</v>
      </c>
      <c r="DA118" s="68">
        <v>0</v>
      </c>
      <c r="DB118" s="68">
        <v>0</v>
      </c>
      <c r="DC118" s="68">
        <v>0</v>
      </c>
      <c r="DD118" s="67"/>
      <c r="DE118" s="68"/>
      <c r="DF118" s="69"/>
      <c r="DG118" s="69"/>
      <c r="DH118" s="69"/>
      <c r="DI118" s="69"/>
      <c r="DJ118" s="69"/>
      <c r="DK118" s="69"/>
      <c r="DL118" s="69"/>
      <c r="DM118" s="69"/>
      <c r="DN118" s="69"/>
      <c r="DO118" s="69"/>
      <c r="DP118" s="69"/>
      <c r="DQ118" s="69"/>
      <c r="DR118" s="69"/>
      <c r="DS118" s="69"/>
      <c r="DT118" s="69"/>
      <c r="DU118" s="69"/>
      <c r="DV118" s="69"/>
      <c r="DW118" s="69"/>
      <c r="DX118" s="69"/>
      <c r="DY118" s="69"/>
      <c r="DZ118" s="69"/>
      <c r="EA118" s="69"/>
      <c r="EB118" s="69"/>
      <c r="EC118" s="69"/>
      <c r="ED118" s="69"/>
      <c r="EE118" s="69"/>
      <c r="EF118" s="69"/>
      <c r="EG118" s="69"/>
      <c r="EH118" s="69"/>
      <c r="EI118" s="69"/>
      <c r="EJ118" s="69"/>
      <c r="EK118" s="69"/>
      <c r="EL118" s="69"/>
      <c r="EM118" s="69"/>
      <c r="EN118" s="69"/>
      <c r="EO118" s="69"/>
      <c r="EP118" s="69"/>
      <c r="EQ118" s="69"/>
      <c r="ER118" s="69"/>
      <c r="ES118" s="69"/>
      <c r="ET118" s="69"/>
      <c r="EU118" s="69"/>
      <c r="EV118" s="69"/>
      <c r="EW118" s="69"/>
      <c r="EX118" s="69"/>
      <c r="EY118" s="69"/>
      <c r="EZ118" s="69"/>
      <c r="FA118" s="69"/>
      <c r="FB118" s="69"/>
      <c r="FC118" s="69"/>
      <c r="FD118" s="69"/>
      <c r="FE118" s="69"/>
      <c r="FF118" s="69"/>
      <c r="FG118" s="69"/>
      <c r="FH118" s="69"/>
      <c r="FI118" s="69"/>
      <c r="FJ118" s="69"/>
      <c r="FK118" s="69"/>
      <c r="FL118" s="69"/>
      <c r="FM118" s="69"/>
      <c r="FN118" s="69"/>
      <c r="FO118" s="69"/>
      <c r="FP118" s="69"/>
      <c r="FQ118" s="69"/>
      <c r="FR118" s="69"/>
      <c r="FS118" s="69"/>
      <c r="FT118" s="69"/>
      <c r="FU118" s="69"/>
      <c r="FV118" s="69"/>
      <c r="FW118" s="69"/>
      <c r="FX118" s="69"/>
      <c r="FY118" s="69"/>
      <c r="FZ118" s="69"/>
      <c r="GA118" s="69"/>
      <c r="GB118" s="69"/>
      <c r="GC118" s="69"/>
      <c r="GD118" s="69"/>
      <c r="GE118" s="69"/>
      <c r="GF118" s="69"/>
      <c r="GG118" s="165"/>
    </row>
    <row r="119" spans="1:189" s="66" customFormat="1" x14ac:dyDescent="0.2">
      <c r="A119"/>
      <c r="B119" s="82">
        <v>43617</v>
      </c>
      <c r="C119" s="68">
        <v>0</v>
      </c>
      <c r="D119" s="68">
        <v>0</v>
      </c>
      <c r="E119" s="68">
        <v>0</v>
      </c>
      <c r="F119" s="68">
        <v>0</v>
      </c>
      <c r="G119" s="68">
        <v>0</v>
      </c>
      <c r="H119" s="68">
        <v>0</v>
      </c>
      <c r="I119" s="68">
        <v>0</v>
      </c>
      <c r="J119" s="68">
        <v>0</v>
      </c>
      <c r="K119" s="68">
        <v>0</v>
      </c>
      <c r="L119" s="68">
        <v>0</v>
      </c>
      <c r="M119" s="68">
        <v>0</v>
      </c>
      <c r="N119" s="68">
        <v>0</v>
      </c>
      <c r="O119" s="68">
        <v>0</v>
      </c>
      <c r="P119" s="68">
        <v>0</v>
      </c>
      <c r="Q119" s="68">
        <v>0</v>
      </c>
      <c r="R119" s="68">
        <v>0</v>
      </c>
      <c r="S119" s="68">
        <v>0</v>
      </c>
      <c r="T119" s="68">
        <v>0</v>
      </c>
      <c r="U119" s="68">
        <v>0</v>
      </c>
      <c r="V119" s="68">
        <v>0</v>
      </c>
      <c r="W119" s="68">
        <v>0</v>
      </c>
      <c r="X119" s="68">
        <v>0</v>
      </c>
      <c r="Y119" s="68">
        <v>0</v>
      </c>
      <c r="Z119" s="68">
        <v>0</v>
      </c>
      <c r="AA119" s="68">
        <v>0</v>
      </c>
      <c r="AB119" s="68">
        <v>0</v>
      </c>
      <c r="AC119" s="68">
        <v>0</v>
      </c>
      <c r="AD119" s="68">
        <v>0</v>
      </c>
      <c r="AE119" s="68">
        <v>0</v>
      </c>
      <c r="AF119" s="68">
        <v>0</v>
      </c>
      <c r="AG119" s="68">
        <v>0</v>
      </c>
      <c r="AH119" s="68">
        <v>0</v>
      </c>
      <c r="AI119" s="68">
        <v>0</v>
      </c>
      <c r="AJ119" s="68">
        <v>0</v>
      </c>
      <c r="AK119" s="68">
        <v>0</v>
      </c>
      <c r="AL119" s="68">
        <v>0</v>
      </c>
      <c r="AM119" s="68">
        <v>0</v>
      </c>
      <c r="AN119" s="68">
        <v>0</v>
      </c>
      <c r="AO119" s="68">
        <v>0</v>
      </c>
      <c r="AP119" s="68">
        <v>0</v>
      </c>
      <c r="AQ119" s="68">
        <v>0</v>
      </c>
      <c r="AR119" s="68">
        <v>0</v>
      </c>
      <c r="AS119" s="68">
        <v>0</v>
      </c>
      <c r="AT119" s="68">
        <v>0</v>
      </c>
      <c r="AU119" s="68">
        <v>0</v>
      </c>
      <c r="AV119" s="68">
        <v>0</v>
      </c>
      <c r="AW119" s="68">
        <v>0</v>
      </c>
      <c r="AX119" s="68">
        <v>0</v>
      </c>
      <c r="AY119" s="68">
        <v>0</v>
      </c>
      <c r="AZ119" s="68">
        <v>0</v>
      </c>
      <c r="BA119" s="68">
        <v>0</v>
      </c>
      <c r="BB119" s="68">
        <v>0</v>
      </c>
      <c r="BC119" s="68">
        <v>0</v>
      </c>
      <c r="BD119" s="68">
        <v>0</v>
      </c>
      <c r="BE119" s="68">
        <v>0</v>
      </c>
      <c r="BF119" s="68">
        <v>0</v>
      </c>
      <c r="BG119" s="68">
        <v>0</v>
      </c>
      <c r="BH119" s="68">
        <v>0</v>
      </c>
      <c r="BI119" s="68">
        <v>0</v>
      </c>
      <c r="BJ119" s="68">
        <v>0</v>
      </c>
      <c r="BK119" s="68">
        <v>0</v>
      </c>
      <c r="BL119" s="68">
        <v>0</v>
      </c>
      <c r="BM119" s="68">
        <v>0</v>
      </c>
      <c r="BN119" s="68">
        <v>0</v>
      </c>
      <c r="BO119" s="68">
        <v>0</v>
      </c>
      <c r="BP119" s="68">
        <v>0</v>
      </c>
      <c r="BQ119" s="68">
        <v>0</v>
      </c>
      <c r="BR119" s="68">
        <v>0</v>
      </c>
      <c r="BS119" s="68">
        <v>0</v>
      </c>
      <c r="BT119" s="68">
        <v>0</v>
      </c>
      <c r="BU119" s="68">
        <v>0</v>
      </c>
      <c r="BV119" s="68">
        <v>0</v>
      </c>
      <c r="BW119" s="68">
        <v>0</v>
      </c>
      <c r="BX119" s="68">
        <v>0</v>
      </c>
      <c r="BY119" s="68">
        <v>0</v>
      </c>
      <c r="BZ119" s="68">
        <v>0</v>
      </c>
      <c r="CA119" s="68">
        <v>0</v>
      </c>
      <c r="CB119" s="68">
        <v>0</v>
      </c>
      <c r="CC119" s="68">
        <v>0</v>
      </c>
      <c r="CD119" s="68">
        <v>0</v>
      </c>
      <c r="CE119" s="68">
        <v>0</v>
      </c>
      <c r="CF119" s="68">
        <v>0</v>
      </c>
      <c r="CG119" s="68">
        <v>0</v>
      </c>
      <c r="CH119" s="68">
        <v>0</v>
      </c>
      <c r="CI119" s="68">
        <v>0</v>
      </c>
      <c r="CJ119" s="68">
        <v>0</v>
      </c>
      <c r="CK119" s="68">
        <v>0</v>
      </c>
      <c r="CL119" s="68">
        <v>0</v>
      </c>
      <c r="CM119" s="68">
        <v>0</v>
      </c>
      <c r="CN119" s="68">
        <v>0</v>
      </c>
      <c r="CO119" s="68">
        <v>0</v>
      </c>
      <c r="CP119" s="68">
        <v>0</v>
      </c>
      <c r="CQ119" s="68">
        <v>0</v>
      </c>
      <c r="CR119" s="68">
        <v>0</v>
      </c>
      <c r="CS119" s="94">
        <v>0</v>
      </c>
      <c r="CT119" s="68">
        <v>0</v>
      </c>
      <c r="CU119" s="68">
        <v>0</v>
      </c>
      <c r="CV119" s="68">
        <v>0</v>
      </c>
      <c r="CW119" s="68">
        <v>0</v>
      </c>
      <c r="CX119" s="68">
        <v>0</v>
      </c>
      <c r="CY119" s="68">
        <v>0</v>
      </c>
      <c r="CZ119" s="68">
        <v>0</v>
      </c>
      <c r="DA119" s="68">
        <v>0</v>
      </c>
      <c r="DB119" s="68">
        <v>0</v>
      </c>
      <c r="DC119" s="68">
        <v>0</v>
      </c>
      <c r="DD119" s="68">
        <v>0</v>
      </c>
      <c r="DE119" s="67"/>
      <c r="DF119" s="68"/>
      <c r="DG119" s="69"/>
      <c r="DH119" s="69"/>
      <c r="DI119" s="69"/>
      <c r="DJ119" s="69"/>
      <c r="DK119" s="69"/>
      <c r="DL119" s="69"/>
      <c r="DM119" s="69"/>
      <c r="DN119" s="69"/>
      <c r="DO119" s="69"/>
      <c r="DP119" s="69"/>
      <c r="DQ119" s="69"/>
      <c r="DR119" s="69"/>
      <c r="DS119" s="69"/>
      <c r="DT119" s="69"/>
      <c r="DU119" s="69"/>
      <c r="DV119" s="69"/>
      <c r="DW119" s="69"/>
      <c r="DX119" s="69"/>
      <c r="DY119" s="69"/>
      <c r="DZ119" s="69"/>
      <c r="EA119" s="69"/>
      <c r="EB119" s="69"/>
      <c r="EC119" s="69"/>
      <c r="ED119" s="69"/>
      <c r="EE119" s="69"/>
      <c r="EF119" s="69"/>
      <c r="EG119" s="69"/>
      <c r="EH119" s="69"/>
      <c r="EI119" s="69"/>
      <c r="EJ119" s="69"/>
      <c r="EK119" s="69"/>
      <c r="EL119" s="69"/>
      <c r="EM119" s="69"/>
      <c r="EN119" s="69"/>
      <c r="EO119" s="69"/>
      <c r="EP119" s="69"/>
      <c r="EQ119" s="69"/>
      <c r="ER119" s="69"/>
      <c r="ES119" s="69"/>
      <c r="ET119" s="69"/>
      <c r="EU119" s="69"/>
      <c r="EV119" s="69"/>
      <c r="EW119" s="69"/>
      <c r="EX119" s="69"/>
      <c r="EY119" s="69"/>
      <c r="EZ119" s="69"/>
      <c r="FA119" s="69"/>
      <c r="FB119" s="69"/>
      <c r="FC119" s="69"/>
      <c r="FD119" s="69"/>
      <c r="FE119" s="69"/>
      <c r="FF119" s="69"/>
      <c r="FG119" s="69"/>
      <c r="FH119" s="69"/>
      <c r="FI119" s="69"/>
      <c r="FJ119" s="69"/>
      <c r="FK119" s="69"/>
      <c r="FL119" s="69"/>
      <c r="FM119" s="69"/>
      <c r="FN119" s="69"/>
      <c r="FO119" s="69"/>
      <c r="FP119" s="69"/>
      <c r="FQ119" s="69"/>
      <c r="FR119" s="69"/>
      <c r="FS119" s="69"/>
      <c r="FT119" s="69"/>
      <c r="FU119" s="69"/>
      <c r="FV119" s="69"/>
      <c r="FW119" s="69"/>
      <c r="FX119" s="69"/>
      <c r="FY119" s="69"/>
      <c r="FZ119" s="69"/>
      <c r="GA119" s="69"/>
      <c r="GB119" s="69"/>
      <c r="GC119" s="69"/>
      <c r="GD119" s="69"/>
      <c r="GE119" s="69"/>
      <c r="GF119" s="69"/>
      <c r="GG119" s="165"/>
    </row>
    <row r="120" spans="1:189" s="66" customFormat="1" x14ac:dyDescent="0.2">
      <c r="A120"/>
      <c r="B120" s="82">
        <v>43647</v>
      </c>
      <c r="C120" s="68">
        <v>0</v>
      </c>
      <c r="D120" s="68">
        <v>0</v>
      </c>
      <c r="E120" s="68">
        <v>0</v>
      </c>
      <c r="F120" s="68">
        <v>0</v>
      </c>
      <c r="G120" s="68">
        <v>0</v>
      </c>
      <c r="H120" s="68">
        <v>0</v>
      </c>
      <c r="I120" s="68">
        <v>0</v>
      </c>
      <c r="J120" s="68">
        <v>0</v>
      </c>
      <c r="K120" s="68">
        <v>0</v>
      </c>
      <c r="L120" s="68">
        <v>0</v>
      </c>
      <c r="M120" s="68">
        <v>0</v>
      </c>
      <c r="N120" s="68">
        <v>0</v>
      </c>
      <c r="O120" s="68">
        <v>0</v>
      </c>
      <c r="P120" s="68">
        <v>0</v>
      </c>
      <c r="Q120" s="68">
        <v>0</v>
      </c>
      <c r="R120" s="68">
        <v>0</v>
      </c>
      <c r="S120" s="68">
        <v>0</v>
      </c>
      <c r="T120" s="68">
        <v>0</v>
      </c>
      <c r="U120" s="68">
        <v>0</v>
      </c>
      <c r="V120" s="68">
        <v>0</v>
      </c>
      <c r="W120" s="68">
        <v>0</v>
      </c>
      <c r="X120" s="68">
        <v>0</v>
      </c>
      <c r="Y120" s="68">
        <v>0</v>
      </c>
      <c r="Z120" s="68">
        <v>0</v>
      </c>
      <c r="AA120" s="68">
        <v>0</v>
      </c>
      <c r="AB120" s="68">
        <v>0</v>
      </c>
      <c r="AC120" s="68">
        <v>0</v>
      </c>
      <c r="AD120" s="68">
        <v>0</v>
      </c>
      <c r="AE120" s="68">
        <v>0</v>
      </c>
      <c r="AF120" s="68">
        <v>0</v>
      </c>
      <c r="AG120" s="68">
        <v>0</v>
      </c>
      <c r="AH120" s="68">
        <v>0</v>
      </c>
      <c r="AI120" s="68">
        <v>0</v>
      </c>
      <c r="AJ120" s="68">
        <v>0</v>
      </c>
      <c r="AK120" s="68">
        <v>0</v>
      </c>
      <c r="AL120" s="68">
        <v>0</v>
      </c>
      <c r="AM120" s="68">
        <v>0</v>
      </c>
      <c r="AN120" s="68">
        <v>0</v>
      </c>
      <c r="AO120" s="68">
        <v>0</v>
      </c>
      <c r="AP120" s="68">
        <v>0</v>
      </c>
      <c r="AQ120" s="68">
        <v>0</v>
      </c>
      <c r="AR120" s="68">
        <v>0</v>
      </c>
      <c r="AS120" s="68">
        <v>0</v>
      </c>
      <c r="AT120" s="68">
        <v>0</v>
      </c>
      <c r="AU120" s="68">
        <v>0</v>
      </c>
      <c r="AV120" s="68">
        <v>0</v>
      </c>
      <c r="AW120" s="68">
        <v>0</v>
      </c>
      <c r="AX120" s="68">
        <v>0</v>
      </c>
      <c r="AY120" s="68">
        <v>0</v>
      </c>
      <c r="AZ120" s="68">
        <v>0</v>
      </c>
      <c r="BA120" s="68">
        <v>0</v>
      </c>
      <c r="BB120" s="68">
        <v>0</v>
      </c>
      <c r="BC120" s="68">
        <v>0</v>
      </c>
      <c r="BD120" s="68">
        <v>0</v>
      </c>
      <c r="BE120" s="68">
        <v>0</v>
      </c>
      <c r="BF120" s="68">
        <v>0</v>
      </c>
      <c r="BG120" s="68">
        <v>0</v>
      </c>
      <c r="BH120" s="68">
        <v>0</v>
      </c>
      <c r="BI120" s="68">
        <v>0</v>
      </c>
      <c r="BJ120" s="68">
        <v>0</v>
      </c>
      <c r="BK120" s="68">
        <v>0</v>
      </c>
      <c r="BL120" s="68">
        <v>0</v>
      </c>
      <c r="BM120" s="68">
        <v>0</v>
      </c>
      <c r="BN120" s="68">
        <v>0</v>
      </c>
      <c r="BO120" s="68">
        <v>0</v>
      </c>
      <c r="BP120" s="68">
        <v>0</v>
      </c>
      <c r="BQ120" s="68">
        <v>0</v>
      </c>
      <c r="BR120" s="68">
        <v>0</v>
      </c>
      <c r="BS120" s="68">
        <v>0</v>
      </c>
      <c r="BT120" s="68">
        <v>0</v>
      </c>
      <c r="BU120" s="68">
        <v>0</v>
      </c>
      <c r="BV120" s="68">
        <v>0</v>
      </c>
      <c r="BW120" s="68">
        <v>0</v>
      </c>
      <c r="BX120" s="68">
        <v>0</v>
      </c>
      <c r="BY120" s="68">
        <v>0</v>
      </c>
      <c r="BZ120" s="68">
        <v>0</v>
      </c>
      <c r="CA120" s="68">
        <v>0</v>
      </c>
      <c r="CB120" s="68">
        <v>0</v>
      </c>
      <c r="CC120" s="68">
        <v>0</v>
      </c>
      <c r="CD120" s="68">
        <v>0</v>
      </c>
      <c r="CE120" s="68">
        <v>0</v>
      </c>
      <c r="CF120" s="68">
        <v>0</v>
      </c>
      <c r="CG120" s="68">
        <v>0</v>
      </c>
      <c r="CH120" s="68">
        <v>0</v>
      </c>
      <c r="CI120" s="68">
        <v>0</v>
      </c>
      <c r="CJ120" s="68">
        <v>0</v>
      </c>
      <c r="CK120" s="68">
        <v>0</v>
      </c>
      <c r="CL120" s="68">
        <v>0</v>
      </c>
      <c r="CM120" s="68">
        <v>0</v>
      </c>
      <c r="CN120" s="68">
        <v>0</v>
      </c>
      <c r="CO120" s="68">
        <v>0</v>
      </c>
      <c r="CP120" s="68">
        <v>0</v>
      </c>
      <c r="CQ120" s="68">
        <v>0</v>
      </c>
      <c r="CR120" s="68">
        <v>0</v>
      </c>
      <c r="CS120" s="68">
        <v>0</v>
      </c>
      <c r="CT120" s="94">
        <v>0</v>
      </c>
      <c r="CU120" s="68">
        <v>0</v>
      </c>
      <c r="CV120" s="68">
        <v>0</v>
      </c>
      <c r="CW120" s="68">
        <v>0</v>
      </c>
      <c r="CX120" s="68">
        <v>0</v>
      </c>
      <c r="CY120" s="68">
        <v>0</v>
      </c>
      <c r="CZ120" s="68">
        <v>0</v>
      </c>
      <c r="DA120" s="68">
        <v>0</v>
      </c>
      <c r="DB120" s="68">
        <v>0</v>
      </c>
      <c r="DC120" s="68">
        <v>0</v>
      </c>
      <c r="DD120" s="68">
        <v>0</v>
      </c>
      <c r="DE120" s="68">
        <v>0</v>
      </c>
      <c r="DF120" s="67"/>
      <c r="DG120" s="68"/>
      <c r="DH120" s="69"/>
      <c r="DI120" s="69"/>
      <c r="DJ120" s="69"/>
      <c r="DK120" s="69"/>
      <c r="DL120" s="69"/>
      <c r="DM120" s="69"/>
      <c r="DN120" s="69"/>
      <c r="DO120" s="69"/>
      <c r="DP120" s="69"/>
      <c r="DQ120" s="69"/>
      <c r="DR120" s="69"/>
      <c r="DS120" s="69"/>
      <c r="DT120" s="69"/>
      <c r="DU120" s="69"/>
      <c r="DV120" s="69"/>
      <c r="DW120" s="69"/>
      <c r="DX120" s="69"/>
      <c r="DY120" s="69"/>
      <c r="DZ120" s="69"/>
      <c r="EA120" s="69"/>
      <c r="EB120" s="69"/>
      <c r="EC120" s="69"/>
      <c r="ED120" s="69"/>
      <c r="EE120" s="69"/>
      <c r="EF120" s="69"/>
      <c r="EG120" s="69"/>
      <c r="EH120" s="69"/>
      <c r="EI120" s="69"/>
      <c r="EJ120" s="69"/>
      <c r="EK120" s="69"/>
      <c r="EL120" s="69"/>
      <c r="EM120" s="69"/>
      <c r="EN120" s="69"/>
      <c r="EO120" s="69"/>
      <c r="EP120" s="69"/>
      <c r="EQ120" s="69"/>
      <c r="ER120" s="69"/>
      <c r="ES120" s="69"/>
      <c r="ET120" s="69"/>
      <c r="EU120" s="69"/>
      <c r="EV120" s="69"/>
      <c r="EW120" s="69"/>
      <c r="EX120" s="69"/>
      <c r="EY120" s="69"/>
      <c r="EZ120" s="69"/>
      <c r="FA120" s="69"/>
      <c r="FB120" s="69"/>
      <c r="FC120" s="69"/>
      <c r="FD120" s="69"/>
      <c r="FE120" s="69"/>
      <c r="FF120" s="69"/>
      <c r="FG120" s="69"/>
      <c r="FH120" s="69"/>
      <c r="FI120" s="69"/>
      <c r="FJ120" s="69"/>
      <c r="FK120" s="69"/>
      <c r="FL120" s="69"/>
      <c r="FM120" s="69"/>
      <c r="FN120" s="69"/>
      <c r="FO120" s="69"/>
      <c r="FP120" s="69"/>
      <c r="FQ120" s="69"/>
      <c r="FR120" s="69"/>
      <c r="FS120" s="69"/>
      <c r="FT120" s="69"/>
      <c r="FU120" s="69"/>
      <c r="FV120" s="69"/>
      <c r="FW120" s="69"/>
      <c r="FX120" s="69"/>
      <c r="FY120" s="69"/>
      <c r="FZ120" s="69"/>
      <c r="GA120" s="69"/>
      <c r="GB120" s="69"/>
      <c r="GC120" s="69"/>
      <c r="GD120" s="69"/>
      <c r="GE120" s="69"/>
      <c r="GF120" s="69"/>
      <c r="GG120" s="165"/>
    </row>
    <row r="121" spans="1:189" s="66" customFormat="1" x14ac:dyDescent="0.2">
      <c r="A121"/>
      <c r="B121" s="82">
        <v>43678</v>
      </c>
      <c r="C121" s="68">
        <v>0</v>
      </c>
      <c r="D121" s="68">
        <v>0</v>
      </c>
      <c r="E121" s="68">
        <v>0</v>
      </c>
      <c r="F121" s="68">
        <v>0</v>
      </c>
      <c r="G121" s="68">
        <v>0</v>
      </c>
      <c r="H121" s="68">
        <v>0</v>
      </c>
      <c r="I121" s="68">
        <v>0</v>
      </c>
      <c r="J121" s="68">
        <v>0</v>
      </c>
      <c r="K121" s="68">
        <v>0</v>
      </c>
      <c r="L121" s="68">
        <v>0</v>
      </c>
      <c r="M121" s="68">
        <v>0</v>
      </c>
      <c r="N121" s="68">
        <v>0</v>
      </c>
      <c r="O121" s="68">
        <v>0</v>
      </c>
      <c r="P121" s="68">
        <v>0</v>
      </c>
      <c r="Q121" s="68">
        <v>0</v>
      </c>
      <c r="R121" s="68">
        <v>0</v>
      </c>
      <c r="S121" s="68">
        <v>0</v>
      </c>
      <c r="T121" s="68">
        <v>0</v>
      </c>
      <c r="U121" s="68">
        <v>0</v>
      </c>
      <c r="V121" s="68">
        <v>0</v>
      </c>
      <c r="W121" s="68">
        <v>0</v>
      </c>
      <c r="X121" s="68">
        <v>0</v>
      </c>
      <c r="Y121" s="68">
        <v>0</v>
      </c>
      <c r="Z121" s="68">
        <v>0</v>
      </c>
      <c r="AA121" s="68">
        <v>0</v>
      </c>
      <c r="AB121" s="68">
        <v>0</v>
      </c>
      <c r="AC121" s="68">
        <v>0</v>
      </c>
      <c r="AD121" s="68">
        <v>0</v>
      </c>
      <c r="AE121" s="68">
        <v>0</v>
      </c>
      <c r="AF121" s="68">
        <v>0</v>
      </c>
      <c r="AG121" s="68">
        <v>0</v>
      </c>
      <c r="AH121" s="68">
        <v>0</v>
      </c>
      <c r="AI121" s="68">
        <v>0</v>
      </c>
      <c r="AJ121" s="68">
        <v>0</v>
      </c>
      <c r="AK121" s="68">
        <v>0</v>
      </c>
      <c r="AL121" s="68">
        <v>0</v>
      </c>
      <c r="AM121" s="68">
        <v>0</v>
      </c>
      <c r="AN121" s="68">
        <v>0</v>
      </c>
      <c r="AO121" s="68">
        <v>0</v>
      </c>
      <c r="AP121" s="68">
        <v>0</v>
      </c>
      <c r="AQ121" s="68">
        <v>0</v>
      </c>
      <c r="AR121" s="68">
        <v>0</v>
      </c>
      <c r="AS121" s="68">
        <v>0</v>
      </c>
      <c r="AT121" s="68">
        <v>0</v>
      </c>
      <c r="AU121" s="68">
        <v>0</v>
      </c>
      <c r="AV121" s="68">
        <v>0</v>
      </c>
      <c r="AW121" s="68">
        <v>0</v>
      </c>
      <c r="AX121" s="68">
        <v>0</v>
      </c>
      <c r="AY121" s="68">
        <v>0</v>
      </c>
      <c r="AZ121" s="68">
        <v>0</v>
      </c>
      <c r="BA121" s="68">
        <v>0</v>
      </c>
      <c r="BB121" s="68">
        <v>0</v>
      </c>
      <c r="BC121" s="68">
        <v>0</v>
      </c>
      <c r="BD121" s="68">
        <v>0</v>
      </c>
      <c r="BE121" s="68">
        <v>0</v>
      </c>
      <c r="BF121" s="68">
        <v>0</v>
      </c>
      <c r="BG121" s="68">
        <v>0</v>
      </c>
      <c r="BH121" s="68">
        <v>0</v>
      </c>
      <c r="BI121" s="68">
        <v>0</v>
      </c>
      <c r="BJ121" s="68">
        <v>0</v>
      </c>
      <c r="BK121" s="68">
        <v>0</v>
      </c>
      <c r="BL121" s="68">
        <v>0</v>
      </c>
      <c r="BM121" s="68">
        <v>0</v>
      </c>
      <c r="BN121" s="68">
        <v>0</v>
      </c>
      <c r="BO121" s="68">
        <v>0</v>
      </c>
      <c r="BP121" s="68">
        <v>0</v>
      </c>
      <c r="BQ121" s="68">
        <v>0</v>
      </c>
      <c r="BR121" s="68">
        <v>0</v>
      </c>
      <c r="BS121" s="68">
        <v>0</v>
      </c>
      <c r="BT121" s="68">
        <v>0</v>
      </c>
      <c r="BU121" s="68">
        <v>0</v>
      </c>
      <c r="BV121" s="68">
        <v>0</v>
      </c>
      <c r="BW121" s="68">
        <v>0</v>
      </c>
      <c r="BX121" s="68">
        <v>0</v>
      </c>
      <c r="BY121" s="68">
        <v>0</v>
      </c>
      <c r="BZ121" s="68">
        <v>0</v>
      </c>
      <c r="CA121" s="68">
        <v>0</v>
      </c>
      <c r="CB121" s="68">
        <v>0</v>
      </c>
      <c r="CC121" s="68">
        <v>0</v>
      </c>
      <c r="CD121" s="68">
        <v>0</v>
      </c>
      <c r="CE121" s="68">
        <v>0</v>
      </c>
      <c r="CF121" s="68">
        <v>0</v>
      </c>
      <c r="CG121" s="68">
        <v>0</v>
      </c>
      <c r="CH121" s="68">
        <v>0</v>
      </c>
      <c r="CI121" s="68">
        <v>0</v>
      </c>
      <c r="CJ121" s="68">
        <v>0</v>
      </c>
      <c r="CK121" s="68">
        <v>0</v>
      </c>
      <c r="CL121" s="68">
        <v>0</v>
      </c>
      <c r="CM121" s="68">
        <v>0</v>
      </c>
      <c r="CN121" s="68">
        <v>0</v>
      </c>
      <c r="CO121" s="68">
        <v>0</v>
      </c>
      <c r="CP121" s="68">
        <v>0</v>
      </c>
      <c r="CQ121" s="68">
        <v>0</v>
      </c>
      <c r="CR121" s="68">
        <v>0</v>
      </c>
      <c r="CS121" s="68">
        <v>0</v>
      </c>
      <c r="CT121" s="68">
        <v>0</v>
      </c>
      <c r="CU121" s="94">
        <v>0</v>
      </c>
      <c r="CV121" s="68">
        <v>0</v>
      </c>
      <c r="CW121" s="68">
        <v>0</v>
      </c>
      <c r="CX121" s="68">
        <v>0</v>
      </c>
      <c r="CY121" s="68">
        <v>0</v>
      </c>
      <c r="CZ121" s="68">
        <v>0</v>
      </c>
      <c r="DA121" s="68">
        <v>0</v>
      </c>
      <c r="DB121" s="68">
        <v>0</v>
      </c>
      <c r="DC121" s="68">
        <v>0</v>
      </c>
      <c r="DD121" s="68">
        <v>0</v>
      </c>
      <c r="DE121" s="68">
        <v>0</v>
      </c>
      <c r="DF121" s="68">
        <v>0</v>
      </c>
      <c r="DG121" s="67"/>
      <c r="DH121" s="68"/>
      <c r="DI121" s="69"/>
      <c r="DJ121" s="69"/>
      <c r="DK121" s="69"/>
      <c r="DL121" s="69"/>
      <c r="DM121" s="69"/>
      <c r="DN121" s="69"/>
      <c r="DO121" s="69"/>
      <c r="DP121" s="69"/>
      <c r="DQ121" s="69"/>
      <c r="DR121" s="69"/>
      <c r="DS121" s="69"/>
      <c r="DT121" s="69"/>
      <c r="DU121" s="69"/>
      <c r="DV121" s="69"/>
      <c r="DW121" s="69"/>
      <c r="DX121" s="69"/>
      <c r="DY121" s="69"/>
      <c r="DZ121" s="69"/>
      <c r="EA121" s="69"/>
      <c r="EB121" s="69"/>
      <c r="EC121" s="69"/>
      <c r="ED121" s="69"/>
      <c r="EE121" s="69"/>
      <c r="EF121" s="69"/>
      <c r="EG121" s="69"/>
      <c r="EH121" s="69"/>
      <c r="EI121" s="69"/>
      <c r="EJ121" s="69"/>
      <c r="EK121" s="69"/>
      <c r="EL121" s="69"/>
      <c r="EM121" s="69"/>
      <c r="EN121" s="69"/>
      <c r="EO121" s="69"/>
      <c r="EP121" s="69"/>
      <c r="EQ121" s="69"/>
      <c r="ER121" s="69"/>
      <c r="ES121" s="69"/>
      <c r="ET121" s="69"/>
      <c r="EU121" s="69"/>
      <c r="EV121" s="69"/>
      <c r="EW121" s="69"/>
      <c r="EX121" s="69"/>
      <c r="EY121" s="69"/>
      <c r="EZ121" s="69"/>
      <c r="FA121" s="69"/>
      <c r="FB121" s="69"/>
      <c r="FC121" s="69"/>
      <c r="FD121" s="69"/>
      <c r="FE121" s="69"/>
      <c r="FF121" s="69"/>
      <c r="FG121" s="69"/>
      <c r="FH121" s="69"/>
      <c r="FI121" s="69"/>
      <c r="FJ121" s="69"/>
      <c r="FK121" s="69"/>
      <c r="FL121" s="69"/>
      <c r="FM121" s="69"/>
      <c r="FN121" s="69"/>
      <c r="FO121" s="69"/>
      <c r="FP121" s="69"/>
      <c r="FQ121" s="69"/>
      <c r="FR121" s="69"/>
      <c r="FS121" s="69"/>
      <c r="FT121" s="69"/>
      <c r="FU121" s="69"/>
      <c r="FV121" s="69"/>
      <c r="FW121" s="69"/>
      <c r="FX121" s="69"/>
      <c r="FY121" s="69"/>
      <c r="FZ121" s="69"/>
      <c r="GA121" s="69"/>
      <c r="GB121" s="69"/>
      <c r="GC121" s="69"/>
      <c r="GD121" s="69"/>
      <c r="GE121" s="69"/>
      <c r="GF121" s="69"/>
      <c r="GG121" s="165"/>
    </row>
    <row r="122" spans="1:189" s="66" customFormat="1" x14ac:dyDescent="0.2">
      <c r="A122"/>
      <c r="B122" s="82">
        <v>43709</v>
      </c>
      <c r="C122" s="68">
        <v>0</v>
      </c>
      <c r="D122" s="68">
        <v>0</v>
      </c>
      <c r="E122" s="68">
        <v>0</v>
      </c>
      <c r="F122" s="68">
        <v>0</v>
      </c>
      <c r="G122" s="68">
        <v>0</v>
      </c>
      <c r="H122" s="68">
        <v>0</v>
      </c>
      <c r="I122" s="68">
        <v>0</v>
      </c>
      <c r="J122" s="68">
        <v>0</v>
      </c>
      <c r="K122" s="68">
        <v>0</v>
      </c>
      <c r="L122" s="68">
        <v>0</v>
      </c>
      <c r="M122" s="68">
        <v>0</v>
      </c>
      <c r="N122" s="68">
        <v>0</v>
      </c>
      <c r="O122" s="68">
        <v>0</v>
      </c>
      <c r="P122" s="68">
        <v>0</v>
      </c>
      <c r="Q122" s="68">
        <v>0</v>
      </c>
      <c r="R122" s="68">
        <v>0</v>
      </c>
      <c r="S122" s="68">
        <v>0</v>
      </c>
      <c r="T122" s="68">
        <v>0</v>
      </c>
      <c r="U122" s="68">
        <v>0</v>
      </c>
      <c r="V122" s="68">
        <v>0</v>
      </c>
      <c r="W122" s="68">
        <v>0</v>
      </c>
      <c r="X122" s="68">
        <v>0</v>
      </c>
      <c r="Y122" s="68">
        <v>0</v>
      </c>
      <c r="Z122" s="68">
        <v>0</v>
      </c>
      <c r="AA122" s="68">
        <v>0</v>
      </c>
      <c r="AB122" s="68">
        <v>0</v>
      </c>
      <c r="AC122" s="68">
        <v>0</v>
      </c>
      <c r="AD122" s="68">
        <v>0</v>
      </c>
      <c r="AE122" s="68">
        <v>0</v>
      </c>
      <c r="AF122" s="68">
        <v>0</v>
      </c>
      <c r="AG122" s="68">
        <v>0</v>
      </c>
      <c r="AH122" s="68">
        <v>0</v>
      </c>
      <c r="AI122" s="68">
        <v>0</v>
      </c>
      <c r="AJ122" s="68">
        <v>0</v>
      </c>
      <c r="AK122" s="68">
        <v>0</v>
      </c>
      <c r="AL122" s="68">
        <v>0</v>
      </c>
      <c r="AM122" s="68">
        <v>0</v>
      </c>
      <c r="AN122" s="68">
        <v>0</v>
      </c>
      <c r="AO122" s="68">
        <v>0</v>
      </c>
      <c r="AP122" s="68">
        <v>0</v>
      </c>
      <c r="AQ122" s="68">
        <v>0</v>
      </c>
      <c r="AR122" s="68">
        <v>0</v>
      </c>
      <c r="AS122" s="68">
        <v>0</v>
      </c>
      <c r="AT122" s="68">
        <v>0</v>
      </c>
      <c r="AU122" s="68">
        <v>0</v>
      </c>
      <c r="AV122" s="68">
        <v>0</v>
      </c>
      <c r="AW122" s="68">
        <v>0</v>
      </c>
      <c r="AX122" s="68">
        <v>0</v>
      </c>
      <c r="AY122" s="68">
        <v>0</v>
      </c>
      <c r="AZ122" s="68">
        <v>0</v>
      </c>
      <c r="BA122" s="68">
        <v>0</v>
      </c>
      <c r="BB122" s="68">
        <v>0</v>
      </c>
      <c r="BC122" s="68">
        <v>0</v>
      </c>
      <c r="BD122" s="68">
        <v>0</v>
      </c>
      <c r="BE122" s="68">
        <v>0</v>
      </c>
      <c r="BF122" s="68">
        <v>0</v>
      </c>
      <c r="BG122" s="68">
        <v>0</v>
      </c>
      <c r="BH122" s="68">
        <v>0</v>
      </c>
      <c r="BI122" s="68">
        <v>0</v>
      </c>
      <c r="BJ122" s="68">
        <v>0</v>
      </c>
      <c r="BK122" s="68">
        <v>0</v>
      </c>
      <c r="BL122" s="68">
        <v>0</v>
      </c>
      <c r="BM122" s="68">
        <v>0</v>
      </c>
      <c r="BN122" s="68">
        <v>0</v>
      </c>
      <c r="BO122" s="68">
        <v>0</v>
      </c>
      <c r="BP122" s="68">
        <v>0</v>
      </c>
      <c r="BQ122" s="68">
        <v>0</v>
      </c>
      <c r="BR122" s="68">
        <v>0</v>
      </c>
      <c r="BS122" s="68">
        <v>0</v>
      </c>
      <c r="BT122" s="68">
        <v>0</v>
      </c>
      <c r="BU122" s="68">
        <v>0</v>
      </c>
      <c r="BV122" s="68">
        <v>0</v>
      </c>
      <c r="BW122" s="68">
        <v>0</v>
      </c>
      <c r="BX122" s="68">
        <v>0</v>
      </c>
      <c r="BY122" s="68">
        <v>0</v>
      </c>
      <c r="BZ122" s="68">
        <v>0</v>
      </c>
      <c r="CA122" s="68">
        <v>0</v>
      </c>
      <c r="CB122" s="68">
        <v>0</v>
      </c>
      <c r="CC122" s="68">
        <v>0</v>
      </c>
      <c r="CD122" s="68">
        <v>0</v>
      </c>
      <c r="CE122" s="68">
        <v>0</v>
      </c>
      <c r="CF122" s="68">
        <v>0</v>
      </c>
      <c r="CG122" s="68">
        <v>0</v>
      </c>
      <c r="CH122" s="68">
        <v>0</v>
      </c>
      <c r="CI122" s="68">
        <v>0</v>
      </c>
      <c r="CJ122" s="68">
        <v>0</v>
      </c>
      <c r="CK122" s="68">
        <v>0</v>
      </c>
      <c r="CL122" s="68">
        <v>0</v>
      </c>
      <c r="CM122" s="68">
        <v>0</v>
      </c>
      <c r="CN122" s="68">
        <v>0</v>
      </c>
      <c r="CO122" s="68">
        <v>0</v>
      </c>
      <c r="CP122" s="68">
        <v>0</v>
      </c>
      <c r="CQ122" s="68">
        <v>0</v>
      </c>
      <c r="CR122" s="68">
        <v>0</v>
      </c>
      <c r="CS122" s="68">
        <v>0</v>
      </c>
      <c r="CT122" s="68">
        <v>0</v>
      </c>
      <c r="CU122" s="68">
        <v>0</v>
      </c>
      <c r="CV122" s="94">
        <v>0</v>
      </c>
      <c r="CW122" s="68">
        <v>0</v>
      </c>
      <c r="CX122" s="68">
        <v>0</v>
      </c>
      <c r="CY122" s="68">
        <v>0</v>
      </c>
      <c r="CZ122" s="68">
        <v>0</v>
      </c>
      <c r="DA122" s="68">
        <v>0</v>
      </c>
      <c r="DB122" s="68">
        <v>0</v>
      </c>
      <c r="DC122" s="68">
        <v>0</v>
      </c>
      <c r="DD122" s="68">
        <v>0</v>
      </c>
      <c r="DE122" s="68">
        <v>0</v>
      </c>
      <c r="DF122" s="68">
        <v>0</v>
      </c>
      <c r="DG122" s="68">
        <v>0</v>
      </c>
      <c r="DH122" s="67"/>
      <c r="DI122" s="68"/>
      <c r="DJ122" s="69"/>
      <c r="DK122" s="69"/>
      <c r="DL122" s="69"/>
      <c r="DM122" s="69"/>
      <c r="DN122" s="69"/>
      <c r="DO122" s="69"/>
      <c r="DP122" s="69"/>
      <c r="DQ122" s="69"/>
      <c r="DR122" s="69"/>
      <c r="DS122" s="69"/>
      <c r="DT122" s="69"/>
      <c r="DU122" s="69"/>
      <c r="DV122" s="69"/>
      <c r="DW122" s="69"/>
      <c r="DX122" s="69"/>
      <c r="DY122" s="69"/>
      <c r="DZ122" s="69"/>
      <c r="EA122" s="69"/>
      <c r="EB122" s="69"/>
      <c r="EC122" s="69"/>
      <c r="ED122" s="69"/>
      <c r="EE122" s="69"/>
      <c r="EF122" s="69"/>
      <c r="EG122" s="69"/>
      <c r="EH122" s="69"/>
      <c r="EI122" s="69"/>
      <c r="EJ122" s="69"/>
      <c r="EK122" s="69"/>
      <c r="EL122" s="69"/>
      <c r="EM122" s="69"/>
      <c r="EN122" s="69"/>
      <c r="EO122" s="69"/>
      <c r="EP122" s="69"/>
      <c r="EQ122" s="69"/>
      <c r="ER122" s="69"/>
      <c r="ES122" s="69"/>
      <c r="ET122" s="69"/>
      <c r="EU122" s="69"/>
      <c r="EV122" s="69"/>
      <c r="EW122" s="69"/>
      <c r="EX122" s="69"/>
      <c r="EY122" s="69"/>
      <c r="EZ122" s="69"/>
      <c r="FA122" s="69"/>
      <c r="FB122" s="69"/>
      <c r="FC122" s="69"/>
      <c r="FD122" s="69"/>
      <c r="FE122" s="69"/>
      <c r="FF122" s="69"/>
      <c r="FG122" s="69"/>
      <c r="FH122" s="69"/>
      <c r="FI122" s="69"/>
      <c r="FJ122" s="69"/>
      <c r="FK122" s="69"/>
      <c r="FL122" s="69"/>
      <c r="FM122" s="69"/>
      <c r="FN122" s="69"/>
      <c r="FO122" s="69"/>
      <c r="FP122" s="69"/>
      <c r="FQ122" s="69"/>
      <c r="FR122" s="69"/>
      <c r="FS122" s="69"/>
      <c r="FT122" s="69"/>
      <c r="FU122" s="69"/>
      <c r="FV122" s="69"/>
      <c r="FW122" s="69"/>
      <c r="FX122" s="69"/>
      <c r="FY122" s="69"/>
      <c r="FZ122" s="69"/>
      <c r="GA122" s="69"/>
      <c r="GB122" s="69"/>
      <c r="GC122" s="69"/>
      <c r="GD122" s="69"/>
      <c r="GE122" s="69"/>
      <c r="GF122" s="69"/>
      <c r="GG122" s="165"/>
    </row>
    <row r="123" spans="1:189" s="66" customFormat="1" x14ac:dyDescent="0.2">
      <c r="A123"/>
      <c r="B123" s="82">
        <v>43739</v>
      </c>
      <c r="C123" s="68">
        <v>0</v>
      </c>
      <c r="D123" s="68">
        <v>0</v>
      </c>
      <c r="E123" s="68">
        <v>0</v>
      </c>
      <c r="F123" s="68">
        <v>0</v>
      </c>
      <c r="G123" s="68">
        <v>0</v>
      </c>
      <c r="H123" s="68">
        <v>0</v>
      </c>
      <c r="I123" s="68">
        <v>0</v>
      </c>
      <c r="J123" s="68">
        <v>0</v>
      </c>
      <c r="K123" s="68">
        <v>0</v>
      </c>
      <c r="L123" s="68">
        <v>0</v>
      </c>
      <c r="M123" s="68">
        <v>0</v>
      </c>
      <c r="N123" s="68">
        <v>0</v>
      </c>
      <c r="O123" s="68">
        <v>0</v>
      </c>
      <c r="P123" s="68">
        <v>0</v>
      </c>
      <c r="Q123" s="68">
        <v>0</v>
      </c>
      <c r="R123" s="68">
        <v>0</v>
      </c>
      <c r="S123" s="68">
        <v>0</v>
      </c>
      <c r="T123" s="68">
        <v>0</v>
      </c>
      <c r="U123" s="68">
        <v>0</v>
      </c>
      <c r="V123" s="68">
        <v>0</v>
      </c>
      <c r="W123" s="68">
        <v>0</v>
      </c>
      <c r="X123" s="68">
        <v>0</v>
      </c>
      <c r="Y123" s="68">
        <v>0</v>
      </c>
      <c r="Z123" s="68">
        <v>0</v>
      </c>
      <c r="AA123" s="68">
        <v>0</v>
      </c>
      <c r="AB123" s="68">
        <v>0</v>
      </c>
      <c r="AC123" s="68">
        <v>0</v>
      </c>
      <c r="AD123" s="68">
        <v>0</v>
      </c>
      <c r="AE123" s="68">
        <v>0</v>
      </c>
      <c r="AF123" s="68">
        <v>0</v>
      </c>
      <c r="AG123" s="68">
        <v>0</v>
      </c>
      <c r="AH123" s="68">
        <v>0</v>
      </c>
      <c r="AI123" s="68">
        <v>0</v>
      </c>
      <c r="AJ123" s="68">
        <v>0</v>
      </c>
      <c r="AK123" s="68">
        <v>0</v>
      </c>
      <c r="AL123" s="68">
        <v>0</v>
      </c>
      <c r="AM123" s="68">
        <v>0</v>
      </c>
      <c r="AN123" s="68">
        <v>0</v>
      </c>
      <c r="AO123" s="68">
        <v>0</v>
      </c>
      <c r="AP123" s="68">
        <v>0</v>
      </c>
      <c r="AQ123" s="68">
        <v>0</v>
      </c>
      <c r="AR123" s="68">
        <v>0</v>
      </c>
      <c r="AS123" s="68">
        <v>0</v>
      </c>
      <c r="AT123" s="68">
        <v>0</v>
      </c>
      <c r="AU123" s="68">
        <v>0</v>
      </c>
      <c r="AV123" s="68">
        <v>0</v>
      </c>
      <c r="AW123" s="68">
        <v>0</v>
      </c>
      <c r="AX123" s="68">
        <v>0</v>
      </c>
      <c r="AY123" s="68">
        <v>0</v>
      </c>
      <c r="AZ123" s="68">
        <v>0</v>
      </c>
      <c r="BA123" s="68">
        <v>0</v>
      </c>
      <c r="BB123" s="68">
        <v>0</v>
      </c>
      <c r="BC123" s="68">
        <v>0</v>
      </c>
      <c r="BD123" s="68">
        <v>0</v>
      </c>
      <c r="BE123" s="68">
        <v>0</v>
      </c>
      <c r="BF123" s="68">
        <v>0</v>
      </c>
      <c r="BG123" s="68">
        <v>0</v>
      </c>
      <c r="BH123" s="68">
        <v>0</v>
      </c>
      <c r="BI123" s="68">
        <v>0</v>
      </c>
      <c r="BJ123" s="68">
        <v>0</v>
      </c>
      <c r="BK123" s="68">
        <v>0</v>
      </c>
      <c r="BL123" s="68">
        <v>0</v>
      </c>
      <c r="BM123" s="68">
        <v>0</v>
      </c>
      <c r="BN123" s="68">
        <v>0</v>
      </c>
      <c r="BO123" s="68">
        <v>0</v>
      </c>
      <c r="BP123" s="68">
        <v>0</v>
      </c>
      <c r="BQ123" s="68">
        <v>0</v>
      </c>
      <c r="BR123" s="68">
        <v>0</v>
      </c>
      <c r="BS123" s="68">
        <v>0</v>
      </c>
      <c r="BT123" s="68">
        <v>0</v>
      </c>
      <c r="BU123" s="68">
        <v>0</v>
      </c>
      <c r="BV123" s="68">
        <v>0</v>
      </c>
      <c r="BW123" s="68">
        <v>0</v>
      </c>
      <c r="BX123" s="68">
        <v>0</v>
      </c>
      <c r="BY123" s="68">
        <v>0</v>
      </c>
      <c r="BZ123" s="68">
        <v>0</v>
      </c>
      <c r="CA123" s="68">
        <v>0</v>
      </c>
      <c r="CB123" s="68">
        <v>0</v>
      </c>
      <c r="CC123" s="68">
        <v>0</v>
      </c>
      <c r="CD123" s="68">
        <v>0</v>
      </c>
      <c r="CE123" s="68">
        <v>0</v>
      </c>
      <c r="CF123" s="68">
        <v>0</v>
      </c>
      <c r="CG123" s="68">
        <v>0</v>
      </c>
      <c r="CH123" s="68">
        <v>0</v>
      </c>
      <c r="CI123" s="68">
        <v>0</v>
      </c>
      <c r="CJ123" s="68">
        <v>0</v>
      </c>
      <c r="CK123" s="68">
        <v>0</v>
      </c>
      <c r="CL123" s="68">
        <v>0</v>
      </c>
      <c r="CM123" s="68">
        <v>0</v>
      </c>
      <c r="CN123" s="68">
        <v>0</v>
      </c>
      <c r="CO123" s="68">
        <v>0</v>
      </c>
      <c r="CP123" s="68">
        <v>0</v>
      </c>
      <c r="CQ123" s="68">
        <v>0</v>
      </c>
      <c r="CR123" s="68">
        <v>0</v>
      </c>
      <c r="CS123" s="68">
        <v>0</v>
      </c>
      <c r="CT123" s="68">
        <v>0</v>
      </c>
      <c r="CU123" s="68">
        <v>0</v>
      </c>
      <c r="CV123" s="68">
        <v>0</v>
      </c>
      <c r="CW123" s="94">
        <v>0</v>
      </c>
      <c r="CX123" s="68">
        <v>0</v>
      </c>
      <c r="CY123" s="68">
        <v>0</v>
      </c>
      <c r="CZ123" s="68">
        <v>0</v>
      </c>
      <c r="DA123" s="68">
        <v>0</v>
      </c>
      <c r="DB123" s="68">
        <v>0</v>
      </c>
      <c r="DC123" s="68">
        <v>0</v>
      </c>
      <c r="DD123" s="68">
        <v>0</v>
      </c>
      <c r="DE123" s="68">
        <v>0</v>
      </c>
      <c r="DF123" s="68">
        <v>0</v>
      </c>
      <c r="DG123" s="68">
        <v>0</v>
      </c>
      <c r="DH123" s="68">
        <v>0</v>
      </c>
      <c r="DI123" s="67"/>
      <c r="DJ123" s="68"/>
      <c r="DK123" s="69"/>
      <c r="DL123" s="69"/>
      <c r="DM123" s="69"/>
      <c r="DN123" s="69"/>
      <c r="DO123" s="69"/>
      <c r="DP123" s="69"/>
      <c r="DQ123" s="69"/>
      <c r="DR123" s="69"/>
      <c r="DS123" s="69"/>
      <c r="DT123" s="69"/>
      <c r="DU123" s="69"/>
      <c r="DV123" s="69"/>
      <c r="DW123" s="69"/>
      <c r="DX123" s="69"/>
      <c r="DY123" s="69"/>
      <c r="DZ123" s="69"/>
      <c r="EA123" s="69"/>
      <c r="EB123" s="69"/>
      <c r="EC123" s="69"/>
      <c r="ED123" s="69"/>
      <c r="EE123" s="69"/>
      <c r="EF123" s="69"/>
      <c r="EG123" s="69"/>
      <c r="EH123" s="69"/>
      <c r="EI123" s="69"/>
      <c r="EJ123" s="69"/>
      <c r="EK123" s="69"/>
      <c r="EL123" s="69"/>
      <c r="EM123" s="69"/>
      <c r="EN123" s="69"/>
      <c r="EO123" s="69"/>
      <c r="EP123" s="69"/>
      <c r="EQ123" s="69"/>
      <c r="ER123" s="69"/>
      <c r="ES123" s="69"/>
      <c r="ET123" s="69"/>
      <c r="EU123" s="69"/>
      <c r="EV123" s="69"/>
      <c r="EW123" s="69"/>
      <c r="EX123" s="69"/>
      <c r="EY123" s="69"/>
      <c r="EZ123" s="69"/>
      <c r="FA123" s="69"/>
      <c r="FB123" s="69"/>
      <c r="FC123" s="69"/>
      <c r="FD123" s="69"/>
      <c r="FE123" s="69"/>
      <c r="FF123" s="69"/>
      <c r="FG123" s="69"/>
      <c r="FH123" s="69"/>
      <c r="FI123" s="69"/>
      <c r="FJ123" s="69"/>
      <c r="FK123" s="69"/>
      <c r="FL123" s="69"/>
      <c r="FM123" s="69"/>
      <c r="FN123" s="69"/>
      <c r="FO123" s="69"/>
      <c r="FP123" s="69"/>
      <c r="FQ123" s="69"/>
      <c r="FR123" s="69"/>
      <c r="FS123" s="69"/>
      <c r="FT123" s="69"/>
      <c r="FU123" s="69"/>
      <c r="FV123" s="69"/>
      <c r="FW123" s="69"/>
      <c r="FX123" s="69"/>
      <c r="FY123" s="69"/>
      <c r="FZ123" s="69"/>
      <c r="GA123" s="69"/>
      <c r="GB123" s="69"/>
      <c r="GC123" s="69"/>
      <c r="GD123" s="69"/>
      <c r="GE123" s="69"/>
      <c r="GF123" s="69"/>
      <c r="GG123" s="165"/>
    </row>
    <row r="124" spans="1:189" s="66" customFormat="1" x14ac:dyDescent="0.2">
      <c r="A124"/>
      <c r="B124" s="82">
        <v>43770</v>
      </c>
      <c r="C124" s="68">
        <v>0</v>
      </c>
      <c r="D124" s="68">
        <v>0</v>
      </c>
      <c r="E124" s="68">
        <v>0</v>
      </c>
      <c r="F124" s="68">
        <v>0</v>
      </c>
      <c r="G124" s="68">
        <v>0</v>
      </c>
      <c r="H124" s="68">
        <v>0</v>
      </c>
      <c r="I124" s="68">
        <v>0</v>
      </c>
      <c r="J124" s="68">
        <v>0</v>
      </c>
      <c r="K124" s="68">
        <v>0</v>
      </c>
      <c r="L124" s="68">
        <v>0</v>
      </c>
      <c r="M124" s="68">
        <v>0</v>
      </c>
      <c r="N124" s="68">
        <v>0</v>
      </c>
      <c r="O124" s="68">
        <v>0</v>
      </c>
      <c r="P124" s="68">
        <v>0</v>
      </c>
      <c r="Q124" s="68">
        <v>0</v>
      </c>
      <c r="R124" s="68">
        <v>0</v>
      </c>
      <c r="S124" s="68">
        <v>0</v>
      </c>
      <c r="T124" s="68">
        <v>0</v>
      </c>
      <c r="U124" s="68">
        <v>0</v>
      </c>
      <c r="V124" s="68">
        <v>0</v>
      </c>
      <c r="W124" s="68">
        <v>0</v>
      </c>
      <c r="X124" s="68">
        <v>0</v>
      </c>
      <c r="Y124" s="68">
        <v>0</v>
      </c>
      <c r="Z124" s="68">
        <v>0</v>
      </c>
      <c r="AA124" s="68">
        <v>0</v>
      </c>
      <c r="AB124" s="68">
        <v>0</v>
      </c>
      <c r="AC124" s="68">
        <v>0</v>
      </c>
      <c r="AD124" s="68">
        <v>0</v>
      </c>
      <c r="AE124" s="68">
        <v>0</v>
      </c>
      <c r="AF124" s="68">
        <v>0</v>
      </c>
      <c r="AG124" s="68">
        <v>0</v>
      </c>
      <c r="AH124" s="68">
        <v>0</v>
      </c>
      <c r="AI124" s="68">
        <v>0</v>
      </c>
      <c r="AJ124" s="68">
        <v>0</v>
      </c>
      <c r="AK124" s="68">
        <v>0</v>
      </c>
      <c r="AL124" s="68">
        <v>0</v>
      </c>
      <c r="AM124" s="68">
        <v>0</v>
      </c>
      <c r="AN124" s="68">
        <v>0</v>
      </c>
      <c r="AO124" s="68">
        <v>0</v>
      </c>
      <c r="AP124" s="68">
        <v>0</v>
      </c>
      <c r="AQ124" s="68">
        <v>0</v>
      </c>
      <c r="AR124" s="68">
        <v>0</v>
      </c>
      <c r="AS124" s="68">
        <v>0</v>
      </c>
      <c r="AT124" s="68">
        <v>0</v>
      </c>
      <c r="AU124" s="68">
        <v>0</v>
      </c>
      <c r="AV124" s="68">
        <v>0</v>
      </c>
      <c r="AW124" s="68">
        <v>0</v>
      </c>
      <c r="AX124" s="68">
        <v>0</v>
      </c>
      <c r="AY124" s="68">
        <v>0</v>
      </c>
      <c r="AZ124" s="68">
        <v>0</v>
      </c>
      <c r="BA124" s="68">
        <v>0</v>
      </c>
      <c r="BB124" s="68">
        <v>0</v>
      </c>
      <c r="BC124" s="68">
        <v>0</v>
      </c>
      <c r="BD124" s="68">
        <v>0</v>
      </c>
      <c r="BE124" s="68">
        <v>0</v>
      </c>
      <c r="BF124" s="68">
        <v>0</v>
      </c>
      <c r="BG124" s="68">
        <v>0</v>
      </c>
      <c r="BH124" s="68">
        <v>0</v>
      </c>
      <c r="BI124" s="68">
        <v>0</v>
      </c>
      <c r="BJ124" s="68">
        <v>0</v>
      </c>
      <c r="BK124" s="68">
        <v>0</v>
      </c>
      <c r="BL124" s="68">
        <v>0</v>
      </c>
      <c r="BM124" s="68">
        <v>0</v>
      </c>
      <c r="BN124" s="68">
        <v>0</v>
      </c>
      <c r="BO124" s="68">
        <v>0</v>
      </c>
      <c r="BP124" s="68">
        <v>0</v>
      </c>
      <c r="BQ124" s="68">
        <v>0</v>
      </c>
      <c r="BR124" s="68">
        <v>0</v>
      </c>
      <c r="BS124" s="68">
        <v>0</v>
      </c>
      <c r="BT124" s="68">
        <v>0</v>
      </c>
      <c r="BU124" s="68">
        <v>0</v>
      </c>
      <c r="BV124" s="68">
        <v>0</v>
      </c>
      <c r="BW124" s="68">
        <v>0</v>
      </c>
      <c r="BX124" s="68">
        <v>0</v>
      </c>
      <c r="BY124" s="68">
        <v>0</v>
      </c>
      <c r="BZ124" s="68">
        <v>0</v>
      </c>
      <c r="CA124" s="68">
        <v>0</v>
      </c>
      <c r="CB124" s="68">
        <v>0</v>
      </c>
      <c r="CC124" s="68">
        <v>0</v>
      </c>
      <c r="CD124" s="68">
        <v>0</v>
      </c>
      <c r="CE124" s="68">
        <v>0</v>
      </c>
      <c r="CF124" s="68">
        <v>0</v>
      </c>
      <c r="CG124" s="68">
        <v>0</v>
      </c>
      <c r="CH124" s="68">
        <v>0</v>
      </c>
      <c r="CI124" s="68">
        <v>0</v>
      </c>
      <c r="CJ124" s="68">
        <v>0</v>
      </c>
      <c r="CK124" s="68">
        <v>0</v>
      </c>
      <c r="CL124" s="68">
        <v>0</v>
      </c>
      <c r="CM124" s="68">
        <v>0</v>
      </c>
      <c r="CN124" s="68">
        <v>0</v>
      </c>
      <c r="CO124" s="68">
        <v>0</v>
      </c>
      <c r="CP124" s="68">
        <v>0</v>
      </c>
      <c r="CQ124" s="68">
        <v>0</v>
      </c>
      <c r="CR124" s="68">
        <v>0</v>
      </c>
      <c r="CS124" s="68">
        <v>0</v>
      </c>
      <c r="CT124" s="68">
        <v>0</v>
      </c>
      <c r="CU124" s="68">
        <v>0</v>
      </c>
      <c r="CV124" s="68">
        <v>0</v>
      </c>
      <c r="CW124" s="68">
        <v>0</v>
      </c>
      <c r="CX124" s="94">
        <v>0</v>
      </c>
      <c r="CY124" s="68">
        <v>0</v>
      </c>
      <c r="CZ124" s="68">
        <v>0</v>
      </c>
      <c r="DA124" s="68">
        <v>0</v>
      </c>
      <c r="DB124" s="68">
        <v>0</v>
      </c>
      <c r="DC124" s="68">
        <v>0</v>
      </c>
      <c r="DD124" s="68">
        <v>0</v>
      </c>
      <c r="DE124" s="68">
        <v>0</v>
      </c>
      <c r="DF124" s="68">
        <v>0</v>
      </c>
      <c r="DG124" s="68">
        <v>0</v>
      </c>
      <c r="DH124" s="68">
        <v>0</v>
      </c>
      <c r="DI124" s="68">
        <v>0</v>
      </c>
      <c r="DJ124" s="67"/>
      <c r="DK124" s="68"/>
      <c r="DL124" s="69"/>
      <c r="DM124" s="69"/>
      <c r="DN124" s="69"/>
      <c r="DO124" s="69"/>
      <c r="DP124" s="69"/>
      <c r="DQ124" s="69"/>
      <c r="DR124" s="69"/>
      <c r="DS124" s="69"/>
      <c r="DT124" s="69"/>
      <c r="DU124" s="69"/>
      <c r="DV124" s="69"/>
      <c r="DW124" s="69"/>
      <c r="DX124" s="69"/>
      <c r="DY124" s="69"/>
      <c r="DZ124" s="69"/>
      <c r="EA124" s="69"/>
      <c r="EB124" s="69"/>
      <c r="EC124" s="69"/>
      <c r="ED124" s="69"/>
      <c r="EE124" s="69"/>
      <c r="EF124" s="69"/>
      <c r="EG124" s="69"/>
      <c r="EH124" s="69"/>
      <c r="EI124" s="69"/>
      <c r="EJ124" s="69"/>
      <c r="EK124" s="69"/>
      <c r="EL124" s="69"/>
      <c r="EM124" s="69"/>
      <c r="EN124" s="69"/>
      <c r="EO124" s="69"/>
      <c r="EP124" s="69"/>
      <c r="EQ124" s="69"/>
      <c r="ER124" s="69"/>
      <c r="ES124" s="69"/>
      <c r="ET124" s="69"/>
      <c r="EU124" s="69"/>
      <c r="EV124" s="69"/>
      <c r="EW124" s="69"/>
      <c r="EX124" s="69"/>
      <c r="EY124" s="69"/>
      <c r="EZ124" s="69"/>
      <c r="FA124" s="69"/>
      <c r="FB124" s="69"/>
      <c r="FC124" s="69"/>
      <c r="FD124" s="69"/>
      <c r="FE124" s="69"/>
      <c r="FF124" s="69"/>
      <c r="FG124" s="69"/>
      <c r="FH124" s="69"/>
      <c r="FI124" s="69"/>
      <c r="FJ124" s="69"/>
      <c r="FK124" s="69"/>
      <c r="FL124" s="69"/>
      <c r="FM124" s="69"/>
      <c r="FN124" s="69"/>
      <c r="FO124" s="69"/>
      <c r="FP124" s="69"/>
      <c r="FQ124" s="69"/>
      <c r="FR124" s="69"/>
      <c r="FS124" s="69"/>
      <c r="FT124" s="69"/>
      <c r="FU124" s="69"/>
      <c r="FV124" s="69"/>
      <c r="FW124" s="69"/>
      <c r="FX124" s="69"/>
      <c r="FY124" s="69"/>
      <c r="FZ124" s="69"/>
      <c r="GA124" s="69"/>
      <c r="GB124" s="69"/>
      <c r="GC124" s="69"/>
      <c r="GD124" s="69"/>
      <c r="GE124" s="69"/>
      <c r="GF124" s="69"/>
      <c r="GG124" s="165"/>
    </row>
    <row r="125" spans="1:189" s="66" customFormat="1" x14ac:dyDescent="0.2">
      <c r="A125"/>
      <c r="B125" s="82">
        <v>43800</v>
      </c>
      <c r="C125" s="68">
        <v>0</v>
      </c>
      <c r="D125" s="68">
        <v>0</v>
      </c>
      <c r="E125" s="68">
        <v>0</v>
      </c>
      <c r="F125" s="68">
        <v>0</v>
      </c>
      <c r="G125" s="68">
        <v>0</v>
      </c>
      <c r="H125" s="68">
        <v>0</v>
      </c>
      <c r="I125" s="68">
        <v>0</v>
      </c>
      <c r="J125" s="68">
        <v>0</v>
      </c>
      <c r="K125" s="68">
        <v>0</v>
      </c>
      <c r="L125" s="68">
        <v>0</v>
      </c>
      <c r="M125" s="68">
        <v>0</v>
      </c>
      <c r="N125" s="68">
        <v>0</v>
      </c>
      <c r="O125" s="68">
        <v>0</v>
      </c>
      <c r="P125" s="68">
        <v>0</v>
      </c>
      <c r="Q125" s="68">
        <v>0</v>
      </c>
      <c r="R125" s="68">
        <v>0</v>
      </c>
      <c r="S125" s="68">
        <v>0</v>
      </c>
      <c r="T125" s="68">
        <v>0</v>
      </c>
      <c r="U125" s="68">
        <v>0</v>
      </c>
      <c r="V125" s="68">
        <v>0</v>
      </c>
      <c r="W125" s="68">
        <v>0</v>
      </c>
      <c r="X125" s="68">
        <v>0</v>
      </c>
      <c r="Y125" s="68">
        <v>0</v>
      </c>
      <c r="Z125" s="68">
        <v>0</v>
      </c>
      <c r="AA125" s="68">
        <v>0</v>
      </c>
      <c r="AB125" s="68">
        <v>0</v>
      </c>
      <c r="AC125" s="68">
        <v>0</v>
      </c>
      <c r="AD125" s="68">
        <v>0</v>
      </c>
      <c r="AE125" s="68">
        <v>0</v>
      </c>
      <c r="AF125" s="68">
        <v>0</v>
      </c>
      <c r="AG125" s="68">
        <v>0</v>
      </c>
      <c r="AH125" s="68">
        <v>0</v>
      </c>
      <c r="AI125" s="68">
        <v>0</v>
      </c>
      <c r="AJ125" s="68">
        <v>0</v>
      </c>
      <c r="AK125" s="68">
        <v>0</v>
      </c>
      <c r="AL125" s="68">
        <v>0</v>
      </c>
      <c r="AM125" s="68">
        <v>0</v>
      </c>
      <c r="AN125" s="68">
        <v>0</v>
      </c>
      <c r="AO125" s="68">
        <v>0</v>
      </c>
      <c r="AP125" s="68">
        <v>0</v>
      </c>
      <c r="AQ125" s="68">
        <v>0</v>
      </c>
      <c r="AR125" s="68">
        <v>0</v>
      </c>
      <c r="AS125" s="68">
        <v>0</v>
      </c>
      <c r="AT125" s="68">
        <v>0</v>
      </c>
      <c r="AU125" s="68">
        <v>0</v>
      </c>
      <c r="AV125" s="68">
        <v>0</v>
      </c>
      <c r="AW125" s="68">
        <v>0</v>
      </c>
      <c r="AX125" s="68">
        <v>0</v>
      </c>
      <c r="AY125" s="68">
        <v>0</v>
      </c>
      <c r="AZ125" s="68">
        <v>0</v>
      </c>
      <c r="BA125" s="68">
        <v>0</v>
      </c>
      <c r="BB125" s="68">
        <v>0</v>
      </c>
      <c r="BC125" s="68">
        <v>0</v>
      </c>
      <c r="BD125" s="68">
        <v>0</v>
      </c>
      <c r="BE125" s="68">
        <v>0</v>
      </c>
      <c r="BF125" s="68">
        <v>0</v>
      </c>
      <c r="BG125" s="68">
        <v>0</v>
      </c>
      <c r="BH125" s="68">
        <v>0</v>
      </c>
      <c r="BI125" s="68">
        <v>0</v>
      </c>
      <c r="BJ125" s="68">
        <v>0</v>
      </c>
      <c r="BK125" s="68">
        <v>0</v>
      </c>
      <c r="BL125" s="68">
        <v>0</v>
      </c>
      <c r="BM125" s="68">
        <v>0</v>
      </c>
      <c r="BN125" s="68">
        <v>0</v>
      </c>
      <c r="BO125" s="68">
        <v>0</v>
      </c>
      <c r="BP125" s="68">
        <v>0</v>
      </c>
      <c r="BQ125" s="68">
        <v>0</v>
      </c>
      <c r="BR125" s="68">
        <v>0</v>
      </c>
      <c r="BS125" s="68">
        <v>0</v>
      </c>
      <c r="BT125" s="68">
        <v>0</v>
      </c>
      <c r="BU125" s="68">
        <v>0</v>
      </c>
      <c r="BV125" s="68">
        <v>0</v>
      </c>
      <c r="BW125" s="68">
        <v>0</v>
      </c>
      <c r="BX125" s="68">
        <v>0</v>
      </c>
      <c r="BY125" s="68">
        <v>0</v>
      </c>
      <c r="BZ125" s="68">
        <v>0</v>
      </c>
      <c r="CA125" s="68">
        <v>0</v>
      </c>
      <c r="CB125" s="68">
        <v>0</v>
      </c>
      <c r="CC125" s="68">
        <v>0</v>
      </c>
      <c r="CD125" s="68">
        <v>0</v>
      </c>
      <c r="CE125" s="68">
        <v>0</v>
      </c>
      <c r="CF125" s="68">
        <v>0</v>
      </c>
      <c r="CG125" s="68">
        <v>0</v>
      </c>
      <c r="CH125" s="68">
        <v>0</v>
      </c>
      <c r="CI125" s="68">
        <v>0</v>
      </c>
      <c r="CJ125" s="68">
        <v>0</v>
      </c>
      <c r="CK125" s="68">
        <v>0</v>
      </c>
      <c r="CL125" s="68">
        <v>0</v>
      </c>
      <c r="CM125" s="68">
        <v>0</v>
      </c>
      <c r="CN125" s="68">
        <v>0</v>
      </c>
      <c r="CO125" s="68">
        <v>0</v>
      </c>
      <c r="CP125" s="68">
        <v>0</v>
      </c>
      <c r="CQ125" s="68">
        <v>0</v>
      </c>
      <c r="CR125" s="68">
        <v>0</v>
      </c>
      <c r="CS125" s="68">
        <v>0</v>
      </c>
      <c r="CT125" s="68">
        <v>0</v>
      </c>
      <c r="CU125" s="68">
        <v>0</v>
      </c>
      <c r="CV125" s="68">
        <v>0</v>
      </c>
      <c r="CW125" s="68">
        <v>0</v>
      </c>
      <c r="CX125" s="68">
        <v>0</v>
      </c>
      <c r="CY125" s="94">
        <v>0</v>
      </c>
      <c r="CZ125" s="68">
        <v>0</v>
      </c>
      <c r="DA125" s="68">
        <v>0</v>
      </c>
      <c r="DB125" s="68">
        <v>0</v>
      </c>
      <c r="DC125" s="68">
        <v>0</v>
      </c>
      <c r="DD125" s="68">
        <v>0</v>
      </c>
      <c r="DE125" s="68">
        <v>0</v>
      </c>
      <c r="DF125" s="68">
        <v>0</v>
      </c>
      <c r="DG125" s="68">
        <v>0</v>
      </c>
      <c r="DH125" s="68">
        <v>0</v>
      </c>
      <c r="DI125" s="68">
        <v>0</v>
      </c>
      <c r="DJ125" s="68">
        <v>0</v>
      </c>
      <c r="DK125" s="67"/>
      <c r="DL125" s="68"/>
      <c r="DM125" s="69"/>
      <c r="DN125" s="69"/>
      <c r="DO125" s="69"/>
      <c r="DP125" s="69"/>
      <c r="DQ125" s="69"/>
      <c r="DR125" s="69"/>
      <c r="DS125" s="69"/>
      <c r="DT125" s="69"/>
      <c r="DU125" s="69"/>
      <c r="DV125" s="69"/>
      <c r="DW125" s="69"/>
      <c r="DX125" s="69"/>
      <c r="DY125" s="69"/>
      <c r="DZ125" s="69"/>
      <c r="EA125" s="69"/>
      <c r="EB125" s="69"/>
      <c r="EC125" s="69"/>
      <c r="ED125" s="69"/>
      <c r="EE125" s="69"/>
      <c r="EF125" s="69"/>
      <c r="EG125" s="69"/>
      <c r="EH125" s="69"/>
      <c r="EI125" s="69"/>
      <c r="EJ125" s="69"/>
      <c r="EK125" s="69"/>
      <c r="EL125" s="69"/>
      <c r="EM125" s="69"/>
      <c r="EN125" s="69"/>
      <c r="EO125" s="69"/>
      <c r="EP125" s="69"/>
      <c r="EQ125" s="69"/>
      <c r="ER125" s="69"/>
      <c r="ES125" s="69"/>
      <c r="ET125" s="69"/>
      <c r="EU125" s="69"/>
      <c r="EV125" s="69"/>
      <c r="EW125" s="69"/>
      <c r="EX125" s="69"/>
      <c r="EY125" s="69"/>
      <c r="EZ125" s="69"/>
      <c r="FA125" s="69"/>
      <c r="FB125" s="69"/>
      <c r="FC125" s="69"/>
      <c r="FD125" s="69"/>
      <c r="FE125" s="69"/>
      <c r="FF125" s="69"/>
      <c r="FG125" s="69"/>
      <c r="FH125" s="69"/>
      <c r="FI125" s="69"/>
      <c r="FJ125" s="69"/>
      <c r="FK125" s="69"/>
      <c r="FL125" s="69"/>
      <c r="FM125" s="69"/>
      <c r="FN125" s="69"/>
      <c r="FO125" s="69"/>
      <c r="FP125" s="69"/>
      <c r="FQ125" s="69"/>
      <c r="FR125" s="69"/>
      <c r="FS125" s="69"/>
      <c r="FT125" s="69"/>
      <c r="FU125" s="69"/>
      <c r="FV125" s="69"/>
      <c r="FW125" s="69"/>
      <c r="FX125" s="69"/>
      <c r="FY125" s="69"/>
      <c r="FZ125" s="69"/>
      <c r="GA125" s="69"/>
      <c r="GB125" s="69"/>
      <c r="GC125" s="69"/>
      <c r="GD125" s="69"/>
      <c r="GE125" s="69"/>
      <c r="GF125" s="69"/>
      <c r="GG125" s="165"/>
    </row>
    <row r="126" spans="1:189" s="66" customFormat="1" x14ac:dyDescent="0.2">
      <c r="A126"/>
      <c r="B126" s="82">
        <v>43831</v>
      </c>
      <c r="C126" s="68">
        <v>0</v>
      </c>
      <c r="D126" s="68">
        <v>0</v>
      </c>
      <c r="E126" s="68">
        <v>0</v>
      </c>
      <c r="F126" s="68">
        <v>0</v>
      </c>
      <c r="G126" s="68">
        <v>0</v>
      </c>
      <c r="H126" s="68">
        <v>0</v>
      </c>
      <c r="I126" s="68">
        <v>0</v>
      </c>
      <c r="J126" s="68">
        <v>0</v>
      </c>
      <c r="K126" s="68">
        <v>0</v>
      </c>
      <c r="L126" s="68">
        <v>0</v>
      </c>
      <c r="M126" s="68">
        <v>0</v>
      </c>
      <c r="N126" s="68">
        <v>0</v>
      </c>
      <c r="O126" s="68">
        <v>0</v>
      </c>
      <c r="P126" s="68">
        <v>0</v>
      </c>
      <c r="Q126" s="68">
        <v>0</v>
      </c>
      <c r="R126" s="68">
        <v>0</v>
      </c>
      <c r="S126" s="68">
        <v>0</v>
      </c>
      <c r="T126" s="68">
        <v>0</v>
      </c>
      <c r="U126" s="68">
        <v>0</v>
      </c>
      <c r="V126" s="68">
        <v>0</v>
      </c>
      <c r="W126" s="68">
        <v>0</v>
      </c>
      <c r="X126" s="68">
        <v>0</v>
      </c>
      <c r="Y126" s="68">
        <v>0</v>
      </c>
      <c r="Z126" s="68">
        <v>0</v>
      </c>
      <c r="AA126" s="68">
        <v>0</v>
      </c>
      <c r="AB126" s="68">
        <v>0</v>
      </c>
      <c r="AC126" s="68">
        <v>0</v>
      </c>
      <c r="AD126" s="68">
        <v>0</v>
      </c>
      <c r="AE126" s="68">
        <v>0</v>
      </c>
      <c r="AF126" s="68">
        <v>0</v>
      </c>
      <c r="AG126" s="68">
        <v>0</v>
      </c>
      <c r="AH126" s="68">
        <v>0</v>
      </c>
      <c r="AI126" s="68">
        <v>0</v>
      </c>
      <c r="AJ126" s="68">
        <v>0</v>
      </c>
      <c r="AK126" s="68">
        <v>0</v>
      </c>
      <c r="AL126" s="68">
        <v>0</v>
      </c>
      <c r="AM126" s="68">
        <v>0</v>
      </c>
      <c r="AN126" s="68">
        <v>0</v>
      </c>
      <c r="AO126" s="68">
        <v>0</v>
      </c>
      <c r="AP126" s="68">
        <v>0</v>
      </c>
      <c r="AQ126" s="68">
        <v>0</v>
      </c>
      <c r="AR126" s="68">
        <v>0</v>
      </c>
      <c r="AS126" s="68">
        <v>0</v>
      </c>
      <c r="AT126" s="68">
        <v>0</v>
      </c>
      <c r="AU126" s="68">
        <v>0</v>
      </c>
      <c r="AV126" s="68">
        <v>0</v>
      </c>
      <c r="AW126" s="68">
        <v>0</v>
      </c>
      <c r="AX126" s="68">
        <v>0</v>
      </c>
      <c r="AY126" s="68">
        <v>0</v>
      </c>
      <c r="AZ126" s="68">
        <v>0</v>
      </c>
      <c r="BA126" s="68">
        <v>0</v>
      </c>
      <c r="BB126" s="68">
        <v>0</v>
      </c>
      <c r="BC126" s="68">
        <v>0</v>
      </c>
      <c r="BD126" s="68">
        <v>0</v>
      </c>
      <c r="BE126" s="68">
        <v>0</v>
      </c>
      <c r="BF126" s="68">
        <v>0</v>
      </c>
      <c r="BG126" s="68">
        <v>0</v>
      </c>
      <c r="BH126" s="68">
        <v>0</v>
      </c>
      <c r="BI126" s="68">
        <v>0</v>
      </c>
      <c r="BJ126" s="68">
        <v>0</v>
      </c>
      <c r="BK126" s="68">
        <v>0</v>
      </c>
      <c r="BL126" s="68">
        <v>0</v>
      </c>
      <c r="BM126" s="68">
        <v>0</v>
      </c>
      <c r="BN126" s="68">
        <v>0</v>
      </c>
      <c r="BO126" s="68">
        <v>0</v>
      </c>
      <c r="BP126" s="68">
        <v>0</v>
      </c>
      <c r="BQ126" s="68">
        <v>0</v>
      </c>
      <c r="BR126" s="68">
        <v>0</v>
      </c>
      <c r="BS126" s="68">
        <v>0</v>
      </c>
      <c r="BT126" s="68">
        <v>0</v>
      </c>
      <c r="BU126" s="68">
        <v>0</v>
      </c>
      <c r="BV126" s="68">
        <v>0</v>
      </c>
      <c r="BW126" s="68">
        <v>0</v>
      </c>
      <c r="BX126" s="68">
        <v>0</v>
      </c>
      <c r="BY126" s="68">
        <v>0</v>
      </c>
      <c r="BZ126" s="68">
        <v>0</v>
      </c>
      <c r="CA126" s="68">
        <v>0</v>
      </c>
      <c r="CB126" s="68">
        <v>0</v>
      </c>
      <c r="CC126" s="68">
        <v>0</v>
      </c>
      <c r="CD126" s="68">
        <v>0</v>
      </c>
      <c r="CE126" s="68">
        <v>0</v>
      </c>
      <c r="CF126" s="68">
        <v>0</v>
      </c>
      <c r="CG126" s="68">
        <v>0</v>
      </c>
      <c r="CH126" s="68">
        <v>0</v>
      </c>
      <c r="CI126" s="68">
        <v>0</v>
      </c>
      <c r="CJ126" s="68">
        <v>0</v>
      </c>
      <c r="CK126" s="68">
        <v>0</v>
      </c>
      <c r="CL126" s="68">
        <v>0</v>
      </c>
      <c r="CM126" s="68">
        <v>0</v>
      </c>
      <c r="CN126" s="68">
        <v>0</v>
      </c>
      <c r="CO126" s="68">
        <v>0</v>
      </c>
      <c r="CP126" s="68">
        <v>0</v>
      </c>
      <c r="CQ126" s="68">
        <v>0</v>
      </c>
      <c r="CR126" s="68">
        <v>0</v>
      </c>
      <c r="CS126" s="68">
        <v>0</v>
      </c>
      <c r="CT126" s="68">
        <v>0</v>
      </c>
      <c r="CU126" s="68">
        <v>0</v>
      </c>
      <c r="CV126" s="68">
        <v>0</v>
      </c>
      <c r="CW126" s="68">
        <v>0</v>
      </c>
      <c r="CX126" s="68">
        <v>0</v>
      </c>
      <c r="CY126" s="68">
        <v>0</v>
      </c>
      <c r="CZ126" s="94">
        <v>0</v>
      </c>
      <c r="DA126" s="68">
        <v>0</v>
      </c>
      <c r="DB126" s="68">
        <v>0</v>
      </c>
      <c r="DC126" s="68">
        <v>0</v>
      </c>
      <c r="DD126" s="68">
        <v>0</v>
      </c>
      <c r="DE126" s="68">
        <v>0</v>
      </c>
      <c r="DF126" s="68">
        <v>-0.20000000000000284</v>
      </c>
      <c r="DG126" s="68">
        <v>0</v>
      </c>
      <c r="DH126" s="68">
        <v>-9.9999999999994316E-2</v>
      </c>
      <c r="DI126" s="68">
        <v>0</v>
      </c>
      <c r="DJ126" s="68">
        <v>0</v>
      </c>
      <c r="DK126" s="68">
        <v>0</v>
      </c>
      <c r="DL126" s="67"/>
      <c r="DM126" s="68"/>
      <c r="DN126" s="69"/>
      <c r="DO126" s="69"/>
      <c r="DP126" s="69"/>
      <c r="DQ126" s="69"/>
      <c r="DR126" s="69"/>
      <c r="DS126" s="69"/>
      <c r="DT126" s="69"/>
      <c r="DU126" s="69"/>
      <c r="DV126" s="69"/>
      <c r="DW126" s="69"/>
      <c r="DX126" s="69"/>
      <c r="DY126" s="69"/>
      <c r="DZ126" s="69"/>
      <c r="EA126" s="69"/>
      <c r="EB126" s="69"/>
      <c r="EC126" s="69"/>
      <c r="ED126" s="69"/>
      <c r="EE126" s="69"/>
      <c r="EF126" s="69"/>
      <c r="EG126" s="69"/>
      <c r="EH126" s="69"/>
      <c r="EI126" s="69"/>
      <c r="EJ126" s="69"/>
      <c r="EK126" s="69"/>
      <c r="EL126" s="69"/>
      <c r="EM126" s="69"/>
      <c r="EN126" s="69"/>
      <c r="EO126" s="69"/>
      <c r="EP126" s="69"/>
      <c r="EQ126" s="69"/>
      <c r="ER126" s="69"/>
      <c r="ES126" s="69"/>
      <c r="ET126" s="69"/>
      <c r="EU126" s="69"/>
      <c r="EV126" s="69"/>
      <c r="EW126" s="69"/>
      <c r="EX126" s="69"/>
      <c r="EY126" s="69"/>
      <c r="EZ126" s="69"/>
      <c r="FA126" s="69"/>
      <c r="FB126" s="69"/>
      <c r="FC126" s="69"/>
      <c r="FD126" s="69"/>
      <c r="FE126" s="69"/>
      <c r="FF126" s="69"/>
      <c r="FG126" s="69"/>
      <c r="FH126" s="69"/>
      <c r="FI126" s="69"/>
      <c r="FJ126" s="69"/>
      <c r="FK126" s="69"/>
      <c r="FL126" s="69"/>
      <c r="FM126" s="69"/>
      <c r="FN126" s="69"/>
      <c r="FO126" s="69"/>
      <c r="FP126" s="69"/>
      <c r="FQ126" s="69"/>
      <c r="FR126" s="69"/>
      <c r="FS126" s="69"/>
      <c r="FT126" s="69"/>
      <c r="FU126" s="69"/>
      <c r="FV126" s="69"/>
      <c r="FW126" s="69"/>
      <c r="FX126" s="69"/>
      <c r="FY126" s="69"/>
      <c r="FZ126" s="69"/>
      <c r="GA126" s="69"/>
      <c r="GB126" s="69"/>
      <c r="GC126" s="69"/>
      <c r="GD126" s="69"/>
      <c r="GE126" s="69"/>
      <c r="GF126" s="69"/>
      <c r="GG126" s="165"/>
    </row>
    <row r="127" spans="1:189" s="66" customFormat="1" x14ac:dyDescent="0.2">
      <c r="A127"/>
      <c r="B127" s="82">
        <v>43862</v>
      </c>
      <c r="C127" s="68">
        <v>0</v>
      </c>
      <c r="D127" s="68">
        <v>0</v>
      </c>
      <c r="E127" s="68">
        <v>0</v>
      </c>
      <c r="F127" s="68">
        <v>0</v>
      </c>
      <c r="G127" s="68">
        <v>0</v>
      </c>
      <c r="H127" s="68">
        <v>0</v>
      </c>
      <c r="I127" s="68">
        <v>0</v>
      </c>
      <c r="J127" s="68">
        <v>0</v>
      </c>
      <c r="K127" s="68">
        <v>0</v>
      </c>
      <c r="L127" s="68">
        <v>0</v>
      </c>
      <c r="M127" s="68">
        <v>0</v>
      </c>
      <c r="N127" s="68">
        <v>0</v>
      </c>
      <c r="O127" s="68">
        <v>0</v>
      </c>
      <c r="P127" s="68">
        <v>0</v>
      </c>
      <c r="Q127" s="68">
        <v>0</v>
      </c>
      <c r="R127" s="68">
        <v>0</v>
      </c>
      <c r="S127" s="68">
        <v>0</v>
      </c>
      <c r="T127" s="68">
        <v>0</v>
      </c>
      <c r="U127" s="68">
        <v>0</v>
      </c>
      <c r="V127" s="68">
        <v>0</v>
      </c>
      <c r="W127" s="68">
        <v>0</v>
      </c>
      <c r="X127" s="68">
        <v>0</v>
      </c>
      <c r="Y127" s="68">
        <v>0</v>
      </c>
      <c r="Z127" s="68">
        <v>0</v>
      </c>
      <c r="AA127" s="68">
        <v>0</v>
      </c>
      <c r="AB127" s="68">
        <v>0</v>
      </c>
      <c r="AC127" s="68">
        <v>0</v>
      </c>
      <c r="AD127" s="68">
        <v>0</v>
      </c>
      <c r="AE127" s="68">
        <v>0</v>
      </c>
      <c r="AF127" s="68">
        <v>0</v>
      </c>
      <c r="AG127" s="68">
        <v>0</v>
      </c>
      <c r="AH127" s="68">
        <v>0</v>
      </c>
      <c r="AI127" s="68">
        <v>0</v>
      </c>
      <c r="AJ127" s="68">
        <v>0</v>
      </c>
      <c r="AK127" s="68">
        <v>0</v>
      </c>
      <c r="AL127" s="68">
        <v>0</v>
      </c>
      <c r="AM127" s="68">
        <v>0</v>
      </c>
      <c r="AN127" s="68">
        <v>0</v>
      </c>
      <c r="AO127" s="68">
        <v>0</v>
      </c>
      <c r="AP127" s="68">
        <v>0</v>
      </c>
      <c r="AQ127" s="68">
        <v>0</v>
      </c>
      <c r="AR127" s="68">
        <v>0</v>
      </c>
      <c r="AS127" s="68">
        <v>0</v>
      </c>
      <c r="AT127" s="68">
        <v>0</v>
      </c>
      <c r="AU127" s="68">
        <v>0</v>
      </c>
      <c r="AV127" s="68">
        <v>0</v>
      </c>
      <c r="AW127" s="68">
        <v>0</v>
      </c>
      <c r="AX127" s="68">
        <v>0</v>
      </c>
      <c r="AY127" s="68">
        <v>0</v>
      </c>
      <c r="AZ127" s="68">
        <v>0</v>
      </c>
      <c r="BA127" s="68">
        <v>0</v>
      </c>
      <c r="BB127" s="68">
        <v>0</v>
      </c>
      <c r="BC127" s="68">
        <v>0</v>
      </c>
      <c r="BD127" s="68">
        <v>0</v>
      </c>
      <c r="BE127" s="68">
        <v>0</v>
      </c>
      <c r="BF127" s="68">
        <v>0</v>
      </c>
      <c r="BG127" s="68">
        <v>0</v>
      </c>
      <c r="BH127" s="68">
        <v>0</v>
      </c>
      <c r="BI127" s="68">
        <v>0</v>
      </c>
      <c r="BJ127" s="68">
        <v>0</v>
      </c>
      <c r="BK127" s="68">
        <v>0</v>
      </c>
      <c r="BL127" s="68">
        <v>0</v>
      </c>
      <c r="BM127" s="68">
        <v>0</v>
      </c>
      <c r="BN127" s="68">
        <v>0</v>
      </c>
      <c r="BO127" s="68">
        <v>0</v>
      </c>
      <c r="BP127" s="68">
        <v>0</v>
      </c>
      <c r="BQ127" s="68">
        <v>0</v>
      </c>
      <c r="BR127" s="68">
        <v>0</v>
      </c>
      <c r="BS127" s="68">
        <v>0</v>
      </c>
      <c r="BT127" s="68">
        <v>0</v>
      </c>
      <c r="BU127" s="68">
        <v>0</v>
      </c>
      <c r="BV127" s="68">
        <v>0</v>
      </c>
      <c r="BW127" s="68">
        <v>0</v>
      </c>
      <c r="BX127" s="68">
        <v>0</v>
      </c>
      <c r="BY127" s="68">
        <v>0</v>
      </c>
      <c r="BZ127" s="68">
        <v>0</v>
      </c>
      <c r="CA127" s="68">
        <v>0</v>
      </c>
      <c r="CB127" s="68">
        <v>0</v>
      </c>
      <c r="CC127" s="68">
        <v>0</v>
      </c>
      <c r="CD127" s="68">
        <v>0</v>
      </c>
      <c r="CE127" s="68">
        <v>0</v>
      </c>
      <c r="CF127" s="68">
        <v>0</v>
      </c>
      <c r="CG127" s="68">
        <v>0</v>
      </c>
      <c r="CH127" s="68">
        <v>0</v>
      </c>
      <c r="CI127" s="68">
        <v>0</v>
      </c>
      <c r="CJ127" s="68">
        <v>0</v>
      </c>
      <c r="CK127" s="68">
        <v>0</v>
      </c>
      <c r="CL127" s="68">
        <v>0</v>
      </c>
      <c r="CM127" s="68">
        <v>0</v>
      </c>
      <c r="CN127" s="68">
        <v>0</v>
      </c>
      <c r="CO127" s="68">
        <v>0</v>
      </c>
      <c r="CP127" s="68">
        <v>0</v>
      </c>
      <c r="CQ127" s="68">
        <v>0</v>
      </c>
      <c r="CR127" s="68">
        <v>0</v>
      </c>
      <c r="CS127" s="68">
        <v>0</v>
      </c>
      <c r="CT127" s="68">
        <v>0</v>
      </c>
      <c r="CU127" s="68">
        <v>0</v>
      </c>
      <c r="CV127" s="68">
        <v>0</v>
      </c>
      <c r="CW127" s="68">
        <v>0</v>
      </c>
      <c r="CX127" s="68">
        <v>0</v>
      </c>
      <c r="CY127" s="68">
        <v>0</v>
      </c>
      <c r="CZ127" s="68">
        <v>0</v>
      </c>
      <c r="DA127" s="94">
        <v>0</v>
      </c>
      <c r="DB127" s="68">
        <v>0</v>
      </c>
      <c r="DC127" s="68">
        <v>0</v>
      </c>
      <c r="DD127" s="68">
        <v>0</v>
      </c>
      <c r="DE127" s="68">
        <v>0</v>
      </c>
      <c r="DF127" s="68">
        <v>0</v>
      </c>
      <c r="DG127" s="68">
        <v>0</v>
      </c>
      <c r="DH127" s="68">
        <v>0</v>
      </c>
      <c r="DI127" s="68">
        <v>0</v>
      </c>
      <c r="DJ127" s="68">
        <v>0</v>
      </c>
      <c r="DK127" s="68">
        <v>0</v>
      </c>
      <c r="DL127" s="68">
        <v>0</v>
      </c>
      <c r="DM127" s="67"/>
      <c r="DN127" s="68"/>
      <c r="DO127" s="69"/>
      <c r="DP127" s="69"/>
      <c r="DQ127" s="69"/>
      <c r="DR127" s="69"/>
      <c r="DS127" s="69"/>
      <c r="DT127" s="69"/>
      <c r="DU127" s="69"/>
      <c r="DV127" s="69"/>
      <c r="DW127" s="69"/>
      <c r="DX127" s="69"/>
      <c r="DY127" s="69"/>
      <c r="DZ127" s="69"/>
      <c r="EA127" s="69"/>
      <c r="EB127" s="69"/>
      <c r="EC127" s="69"/>
      <c r="ED127" s="69"/>
      <c r="EE127" s="69"/>
      <c r="EF127" s="69"/>
      <c r="EG127" s="69"/>
      <c r="EH127" s="69"/>
      <c r="EI127" s="69"/>
      <c r="EJ127" s="69"/>
      <c r="EK127" s="69"/>
      <c r="EL127" s="69"/>
      <c r="EM127" s="69"/>
      <c r="EN127" s="69"/>
      <c r="EO127" s="69"/>
      <c r="EP127" s="69"/>
      <c r="EQ127" s="69"/>
      <c r="ER127" s="69"/>
      <c r="ES127" s="69"/>
      <c r="ET127" s="69"/>
      <c r="EU127" s="69"/>
      <c r="EV127" s="69"/>
      <c r="EW127" s="69"/>
      <c r="EX127" s="69"/>
      <c r="EY127" s="69"/>
      <c r="EZ127" s="69"/>
      <c r="FA127" s="69"/>
      <c r="FB127" s="69"/>
      <c r="FC127" s="69"/>
      <c r="FD127" s="69"/>
      <c r="FE127" s="69"/>
      <c r="FF127" s="69"/>
      <c r="FG127" s="69"/>
      <c r="FH127" s="69"/>
      <c r="FI127" s="69"/>
      <c r="FJ127" s="69"/>
      <c r="FK127" s="69"/>
      <c r="FL127" s="69"/>
      <c r="FM127" s="69"/>
      <c r="FN127" s="69"/>
      <c r="FO127" s="69"/>
      <c r="FP127" s="69"/>
      <c r="FQ127" s="69"/>
      <c r="FR127" s="69"/>
      <c r="FS127" s="69"/>
      <c r="FT127" s="69"/>
      <c r="FU127" s="69"/>
      <c r="FV127" s="69"/>
      <c r="FW127" s="69"/>
      <c r="FX127" s="69"/>
      <c r="FY127" s="69"/>
      <c r="FZ127" s="69"/>
      <c r="GA127" s="69"/>
      <c r="GB127" s="69"/>
      <c r="GC127" s="69"/>
      <c r="GD127" s="69"/>
      <c r="GE127" s="69"/>
      <c r="GF127" s="69"/>
      <c r="GG127" s="165"/>
    </row>
    <row r="128" spans="1:189" s="66" customFormat="1" x14ac:dyDescent="0.2">
      <c r="A128"/>
      <c r="B128" s="82">
        <v>43891</v>
      </c>
      <c r="C128" s="68">
        <v>0</v>
      </c>
      <c r="D128" s="68">
        <v>0</v>
      </c>
      <c r="E128" s="68">
        <v>0</v>
      </c>
      <c r="F128" s="68">
        <v>0</v>
      </c>
      <c r="G128" s="68">
        <v>0</v>
      </c>
      <c r="H128" s="68">
        <v>0</v>
      </c>
      <c r="I128" s="68">
        <v>0</v>
      </c>
      <c r="J128" s="68">
        <v>0</v>
      </c>
      <c r="K128" s="68">
        <v>0</v>
      </c>
      <c r="L128" s="68">
        <v>0</v>
      </c>
      <c r="M128" s="68">
        <v>0</v>
      </c>
      <c r="N128" s="68">
        <v>0</v>
      </c>
      <c r="O128" s="68">
        <v>0</v>
      </c>
      <c r="P128" s="68">
        <v>0</v>
      </c>
      <c r="Q128" s="68">
        <v>0</v>
      </c>
      <c r="R128" s="68">
        <v>0</v>
      </c>
      <c r="S128" s="68">
        <v>0</v>
      </c>
      <c r="T128" s="68">
        <v>0</v>
      </c>
      <c r="U128" s="68">
        <v>0</v>
      </c>
      <c r="V128" s="68">
        <v>0</v>
      </c>
      <c r="W128" s="68">
        <v>0</v>
      </c>
      <c r="X128" s="68">
        <v>0</v>
      </c>
      <c r="Y128" s="68">
        <v>0</v>
      </c>
      <c r="Z128" s="68">
        <v>0</v>
      </c>
      <c r="AA128" s="68">
        <v>0</v>
      </c>
      <c r="AB128" s="68">
        <v>0</v>
      </c>
      <c r="AC128" s="68">
        <v>0</v>
      </c>
      <c r="AD128" s="68">
        <v>0</v>
      </c>
      <c r="AE128" s="68">
        <v>0</v>
      </c>
      <c r="AF128" s="68">
        <v>0</v>
      </c>
      <c r="AG128" s="68">
        <v>0</v>
      </c>
      <c r="AH128" s="68">
        <v>0</v>
      </c>
      <c r="AI128" s="68">
        <v>0</v>
      </c>
      <c r="AJ128" s="68">
        <v>0</v>
      </c>
      <c r="AK128" s="68">
        <v>0</v>
      </c>
      <c r="AL128" s="68">
        <v>0</v>
      </c>
      <c r="AM128" s="68">
        <v>0</v>
      </c>
      <c r="AN128" s="68">
        <v>0</v>
      </c>
      <c r="AO128" s="68">
        <v>0</v>
      </c>
      <c r="AP128" s="68">
        <v>0</v>
      </c>
      <c r="AQ128" s="68">
        <v>0</v>
      </c>
      <c r="AR128" s="68">
        <v>0</v>
      </c>
      <c r="AS128" s="68">
        <v>0</v>
      </c>
      <c r="AT128" s="68">
        <v>0</v>
      </c>
      <c r="AU128" s="68">
        <v>0</v>
      </c>
      <c r="AV128" s="68">
        <v>0</v>
      </c>
      <c r="AW128" s="68">
        <v>0</v>
      </c>
      <c r="AX128" s="68">
        <v>0</v>
      </c>
      <c r="AY128" s="68">
        <v>0</v>
      </c>
      <c r="AZ128" s="68">
        <v>0</v>
      </c>
      <c r="BA128" s="68">
        <v>0</v>
      </c>
      <c r="BB128" s="68">
        <v>0</v>
      </c>
      <c r="BC128" s="68">
        <v>0</v>
      </c>
      <c r="BD128" s="68">
        <v>0</v>
      </c>
      <c r="BE128" s="68">
        <v>0</v>
      </c>
      <c r="BF128" s="68">
        <v>0</v>
      </c>
      <c r="BG128" s="68">
        <v>0</v>
      </c>
      <c r="BH128" s="68">
        <v>0</v>
      </c>
      <c r="BI128" s="68">
        <v>0</v>
      </c>
      <c r="BJ128" s="68">
        <v>0</v>
      </c>
      <c r="BK128" s="68">
        <v>0</v>
      </c>
      <c r="BL128" s="68">
        <v>0</v>
      </c>
      <c r="BM128" s="68">
        <v>0</v>
      </c>
      <c r="BN128" s="68">
        <v>0</v>
      </c>
      <c r="BO128" s="68">
        <v>0</v>
      </c>
      <c r="BP128" s="68">
        <v>0</v>
      </c>
      <c r="BQ128" s="68">
        <v>0</v>
      </c>
      <c r="BR128" s="68">
        <v>0</v>
      </c>
      <c r="BS128" s="68">
        <v>0</v>
      </c>
      <c r="BT128" s="68">
        <v>0</v>
      </c>
      <c r="BU128" s="68">
        <v>0</v>
      </c>
      <c r="BV128" s="68">
        <v>0</v>
      </c>
      <c r="BW128" s="68">
        <v>0</v>
      </c>
      <c r="BX128" s="68">
        <v>0</v>
      </c>
      <c r="BY128" s="68">
        <v>0</v>
      </c>
      <c r="BZ128" s="68">
        <v>0</v>
      </c>
      <c r="CA128" s="68">
        <v>0</v>
      </c>
      <c r="CB128" s="68">
        <v>0</v>
      </c>
      <c r="CC128" s="68">
        <v>0</v>
      </c>
      <c r="CD128" s="68">
        <v>0</v>
      </c>
      <c r="CE128" s="68">
        <v>0</v>
      </c>
      <c r="CF128" s="68">
        <v>0</v>
      </c>
      <c r="CG128" s="68">
        <v>0</v>
      </c>
      <c r="CH128" s="68">
        <v>0</v>
      </c>
      <c r="CI128" s="68">
        <v>0</v>
      </c>
      <c r="CJ128" s="68">
        <v>0</v>
      </c>
      <c r="CK128" s="68">
        <v>0</v>
      </c>
      <c r="CL128" s="68">
        <v>0</v>
      </c>
      <c r="CM128" s="68">
        <v>0</v>
      </c>
      <c r="CN128" s="68">
        <v>0</v>
      </c>
      <c r="CO128" s="68">
        <v>0</v>
      </c>
      <c r="CP128" s="68">
        <v>0</v>
      </c>
      <c r="CQ128" s="68">
        <v>0</v>
      </c>
      <c r="CR128" s="68">
        <v>0</v>
      </c>
      <c r="CS128" s="68">
        <v>0</v>
      </c>
      <c r="CT128" s="68">
        <v>0</v>
      </c>
      <c r="CU128" s="68">
        <v>0</v>
      </c>
      <c r="CV128" s="68">
        <v>0</v>
      </c>
      <c r="CW128" s="68">
        <v>0</v>
      </c>
      <c r="CX128" s="68">
        <v>0</v>
      </c>
      <c r="CY128" s="68">
        <v>0</v>
      </c>
      <c r="CZ128" s="68">
        <v>0</v>
      </c>
      <c r="DA128" s="68">
        <v>0</v>
      </c>
      <c r="DB128" s="94">
        <v>0</v>
      </c>
      <c r="DC128" s="68">
        <v>0</v>
      </c>
      <c r="DD128" s="68">
        <v>0</v>
      </c>
      <c r="DE128" s="68">
        <v>0</v>
      </c>
      <c r="DF128" s="68">
        <v>0</v>
      </c>
      <c r="DG128" s="68">
        <v>0</v>
      </c>
      <c r="DH128" s="68">
        <v>0</v>
      </c>
      <c r="DI128" s="68">
        <v>0</v>
      </c>
      <c r="DJ128" s="68">
        <v>0</v>
      </c>
      <c r="DK128" s="68">
        <v>0</v>
      </c>
      <c r="DL128" s="68">
        <v>0</v>
      </c>
      <c r="DM128" s="68">
        <v>0</v>
      </c>
      <c r="DN128" s="67"/>
      <c r="DO128" s="68"/>
      <c r="DP128" s="69"/>
      <c r="DQ128" s="69"/>
      <c r="DR128" s="69"/>
      <c r="DS128" s="69"/>
      <c r="DT128" s="69"/>
      <c r="DU128" s="69"/>
      <c r="DV128" s="69"/>
      <c r="DW128" s="69"/>
      <c r="DX128" s="69"/>
      <c r="DY128" s="69"/>
      <c r="DZ128" s="69"/>
      <c r="EA128" s="69"/>
      <c r="EB128" s="69"/>
      <c r="EC128" s="69"/>
      <c r="ED128" s="69"/>
      <c r="EE128" s="69"/>
      <c r="EF128" s="69"/>
      <c r="EG128" s="69"/>
      <c r="EH128" s="69"/>
      <c r="EI128" s="69"/>
      <c r="EJ128" s="69"/>
      <c r="EK128" s="69"/>
      <c r="EL128" s="69"/>
      <c r="EM128" s="69"/>
      <c r="EN128" s="69"/>
      <c r="EO128" s="69"/>
      <c r="EP128" s="69"/>
      <c r="EQ128" s="69"/>
      <c r="ER128" s="69"/>
      <c r="ES128" s="69"/>
      <c r="ET128" s="69"/>
      <c r="EU128" s="69"/>
      <c r="EV128" s="69"/>
      <c r="EW128" s="69"/>
      <c r="EX128" s="69"/>
      <c r="EY128" s="69"/>
      <c r="EZ128" s="69"/>
      <c r="FA128" s="69"/>
      <c r="FB128" s="69"/>
      <c r="FC128" s="69"/>
      <c r="FD128" s="69"/>
      <c r="FE128" s="69"/>
      <c r="FF128" s="69"/>
      <c r="FG128" s="69"/>
      <c r="FH128" s="69"/>
      <c r="FI128" s="69"/>
      <c r="FJ128" s="69"/>
      <c r="FK128" s="69"/>
      <c r="FL128" s="69"/>
      <c r="FM128" s="69"/>
      <c r="FN128" s="69"/>
      <c r="FO128" s="69"/>
      <c r="FP128" s="69"/>
      <c r="FQ128" s="69"/>
      <c r="FR128" s="69"/>
      <c r="FS128" s="69"/>
      <c r="FT128" s="69"/>
      <c r="FU128" s="69"/>
      <c r="FV128" s="69"/>
      <c r="FW128" s="69"/>
      <c r="FX128" s="69"/>
      <c r="FY128" s="69"/>
      <c r="FZ128" s="69"/>
      <c r="GA128" s="69"/>
      <c r="GB128" s="69"/>
      <c r="GC128" s="69"/>
      <c r="GD128" s="69"/>
      <c r="GE128" s="69"/>
      <c r="GF128" s="69"/>
      <c r="GG128" s="165"/>
    </row>
    <row r="129" spans="1:189" s="66" customFormat="1" x14ac:dyDescent="0.2">
      <c r="A129"/>
      <c r="B129" s="82">
        <v>43922</v>
      </c>
      <c r="C129" s="68">
        <v>0</v>
      </c>
      <c r="D129" s="68">
        <v>0</v>
      </c>
      <c r="E129" s="68">
        <v>0</v>
      </c>
      <c r="F129" s="68">
        <v>0</v>
      </c>
      <c r="G129" s="68">
        <v>0</v>
      </c>
      <c r="H129" s="68">
        <v>0</v>
      </c>
      <c r="I129" s="68">
        <v>0</v>
      </c>
      <c r="J129" s="68">
        <v>0</v>
      </c>
      <c r="K129" s="68">
        <v>0</v>
      </c>
      <c r="L129" s="68">
        <v>0</v>
      </c>
      <c r="M129" s="68">
        <v>0</v>
      </c>
      <c r="N129" s="68">
        <v>0</v>
      </c>
      <c r="O129" s="68">
        <v>0</v>
      </c>
      <c r="P129" s="68">
        <v>0</v>
      </c>
      <c r="Q129" s="68">
        <v>0</v>
      </c>
      <c r="R129" s="68">
        <v>0</v>
      </c>
      <c r="S129" s="68">
        <v>0</v>
      </c>
      <c r="T129" s="68">
        <v>0</v>
      </c>
      <c r="U129" s="68">
        <v>0</v>
      </c>
      <c r="V129" s="68">
        <v>0</v>
      </c>
      <c r="W129" s="68">
        <v>0</v>
      </c>
      <c r="X129" s="68">
        <v>0</v>
      </c>
      <c r="Y129" s="68">
        <v>0</v>
      </c>
      <c r="Z129" s="68">
        <v>0</v>
      </c>
      <c r="AA129" s="68">
        <v>0</v>
      </c>
      <c r="AB129" s="68">
        <v>0</v>
      </c>
      <c r="AC129" s="68">
        <v>0</v>
      </c>
      <c r="AD129" s="68">
        <v>0</v>
      </c>
      <c r="AE129" s="68">
        <v>0</v>
      </c>
      <c r="AF129" s="68">
        <v>0</v>
      </c>
      <c r="AG129" s="68">
        <v>0</v>
      </c>
      <c r="AH129" s="68">
        <v>0</v>
      </c>
      <c r="AI129" s="68">
        <v>0</v>
      </c>
      <c r="AJ129" s="68">
        <v>0</v>
      </c>
      <c r="AK129" s="68">
        <v>0</v>
      </c>
      <c r="AL129" s="68">
        <v>0</v>
      </c>
      <c r="AM129" s="68">
        <v>0</v>
      </c>
      <c r="AN129" s="68">
        <v>0</v>
      </c>
      <c r="AO129" s="68">
        <v>0</v>
      </c>
      <c r="AP129" s="68">
        <v>0</v>
      </c>
      <c r="AQ129" s="68">
        <v>0</v>
      </c>
      <c r="AR129" s="68">
        <v>0</v>
      </c>
      <c r="AS129" s="68">
        <v>0</v>
      </c>
      <c r="AT129" s="68">
        <v>0</v>
      </c>
      <c r="AU129" s="68">
        <v>0</v>
      </c>
      <c r="AV129" s="68">
        <v>0</v>
      </c>
      <c r="AW129" s="68">
        <v>0</v>
      </c>
      <c r="AX129" s="68">
        <v>0</v>
      </c>
      <c r="AY129" s="68">
        <v>0</v>
      </c>
      <c r="AZ129" s="68">
        <v>0</v>
      </c>
      <c r="BA129" s="68">
        <v>0</v>
      </c>
      <c r="BB129" s="68">
        <v>0</v>
      </c>
      <c r="BC129" s="68">
        <v>0</v>
      </c>
      <c r="BD129" s="68">
        <v>0</v>
      </c>
      <c r="BE129" s="68">
        <v>0</v>
      </c>
      <c r="BF129" s="68">
        <v>0</v>
      </c>
      <c r="BG129" s="68">
        <v>0</v>
      </c>
      <c r="BH129" s="68">
        <v>0</v>
      </c>
      <c r="BI129" s="68">
        <v>0</v>
      </c>
      <c r="BJ129" s="68">
        <v>0</v>
      </c>
      <c r="BK129" s="68">
        <v>0</v>
      </c>
      <c r="BL129" s="68">
        <v>0</v>
      </c>
      <c r="BM129" s="68">
        <v>0</v>
      </c>
      <c r="BN129" s="68">
        <v>0</v>
      </c>
      <c r="BO129" s="68">
        <v>0</v>
      </c>
      <c r="BP129" s="68">
        <v>0</v>
      </c>
      <c r="BQ129" s="68">
        <v>0</v>
      </c>
      <c r="BR129" s="68">
        <v>0</v>
      </c>
      <c r="BS129" s="68">
        <v>0</v>
      </c>
      <c r="BT129" s="68">
        <v>0</v>
      </c>
      <c r="BU129" s="68">
        <v>0</v>
      </c>
      <c r="BV129" s="68">
        <v>0</v>
      </c>
      <c r="BW129" s="68">
        <v>0</v>
      </c>
      <c r="BX129" s="68">
        <v>0</v>
      </c>
      <c r="BY129" s="68">
        <v>0</v>
      </c>
      <c r="BZ129" s="68">
        <v>0</v>
      </c>
      <c r="CA129" s="68">
        <v>0</v>
      </c>
      <c r="CB129" s="68">
        <v>0</v>
      </c>
      <c r="CC129" s="68">
        <v>0</v>
      </c>
      <c r="CD129" s="68">
        <v>0</v>
      </c>
      <c r="CE129" s="68">
        <v>0</v>
      </c>
      <c r="CF129" s="68">
        <v>0</v>
      </c>
      <c r="CG129" s="68">
        <v>0</v>
      </c>
      <c r="CH129" s="68">
        <v>0</v>
      </c>
      <c r="CI129" s="68">
        <v>0</v>
      </c>
      <c r="CJ129" s="68">
        <v>0</v>
      </c>
      <c r="CK129" s="68">
        <v>0</v>
      </c>
      <c r="CL129" s="68">
        <v>0</v>
      </c>
      <c r="CM129" s="68">
        <v>0</v>
      </c>
      <c r="CN129" s="68">
        <v>0</v>
      </c>
      <c r="CO129" s="68">
        <v>0</v>
      </c>
      <c r="CP129" s="68">
        <v>0</v>
      </c>
      <c r="CQ129" s="68">
        <v>0</v>
      </c>
      <c r="CR129" s="68">
        <v>0</v>
      </c>
      <c r="CS129" s="68">
        <v>0</v>
      </c>
      <c r="CT129" s="68">
        <v>0</v>
      </c>
      <c r="CU129" s="68">
        <v>0</v>
      </c>
      <c r="CV129" s="68">
        <v>0</v>
      </c>
      <c r="CW129" s="68">
        <v>0</v>
      </c>
      <c r="CX129" s="68">
        <v>0</v>
      </c>
      <c r="CY129" s="68">
        <v>0</v>
      </c>
      <c r="CZ129" s="68">
        <v>0</v>
      </c>
      <c r="DA129" s="68">
        <v>0</v>
      </c>
      <c r="DB129" s="68">
        <v>0</v>
      </c>
      <c r="DC129" s="94">
        <v>0</v>
      </c>
      <c r="DD129" s="68">
        <v>0</v>
      </c>
      <c r="DE129" s="68">
        <v>0</v>
      </c>
      <c r="DF129" s="68">
        <v>0</v>
      </c>
      <c r="DG129" s="68">
        <v>0</v>
      </c>
      <c r="DH129" s="68">
        <v>0</v>
      </c>
      <c r="DI129" s="68">
        <v>0</v>
      </c>
      <c r="DJ129" s="68">
        <v>0</v>
      </c>
      <c r="DK129" s="68">
        <v>0</v>
      </c>
      <c r="DL129" s="68">
        <v>0</v>
      </c>
      <c r="DM129" s="68">
        <v>0</v>
      </c>
      <c r="DN129" s="68">
        <v>0</v>
      </c>
      <c r="DO129" s="67"/>
      <c r="DP129" s="68"/>
      <c r="DQ129" s="69"/>
      <c r="DR129" s="69"/>
      <c r="DS129" s="69"/>
      <c r="DT129" s="69"/>
      <c r="DU129" s="69"/>
      <c r="DV129" s="69"/>
      <c r="DW129" s="69"/>
      <c r="DX129" s="69"/>
      <c r="DY129" s="69"/>
      <c r="DZ129" s="69"/>
      <c r="EA129" s="69"/>
      <c r="EB129" s="69"/>
      <c r="EC129" s="69"/>
      <c r="ED129" s="69"/>
      <c r="EE129" s="69"/>
      <c r="EF129" s="69"/>
      <c r="EG129" s="69"/>
      <c r="EH129" s="69"/>
      <c r="EI129" s="69"/>
      <c r="EJ129" s="69"/>
      <c r="EK129" s="69"/>
      <c r="EL129" s="69"/>
      <c r="EM129" s="69"/>
      <c r="EN129" s="69"/>
      <c r="EO129" s="69"/>
      <c r="EP129" s="69"/>
      <c r="EQ129" s="69"/>
      <c r="ER129" s="69"/>
      <c r="ES129" s="69"/>
      <c r="ET129" s="69"/>
      <c r="EU129" s="69"/>
      <c r="EV129" s="69"/>
      <c r="EW129" s="69"/>
      <c r="EX129" s="69"/>
      <c r="EY129" s="69"/>
      <c r="EZ129" s="69"/>
      <c r="FA129" s="69"/>
      <c r="FB129" s="69"/>
      <c r="FC129" s="69"/>
      <c r="FD129" s="69"/>
      <c r="FE129" s="69"/>
      <c r="FF129" s="69"/>
      <c r="FG129" s="69"/>
      <c r="FH129" s="69"/>
      <c r="FI129" s="69"/>
      <c r="FJ129" s="69"/>
      <c r="FK129" s="69"/>
      <c r="FL129" s="69"/>
      <c r="FM129" s="69"/>
      <c r="FN129" s="69"/>
      <c r="FO129" s="69"/>
      <c r="FP129" s="69"/>
      <c r="FQ129" s="69"/>
      <c r="FR129" s="69"/>
      <c r="FS129" s="69"/>
      <c r="FT129" s="69"/>
      <c r="FU129" s="69"/>
      <c r="FV129" s="69"/>
      <c r="FW129" s="69"/>
      <c r="FX129" s="69"/>
      <c r="FY129" s="69"/>
      <c r="FZ129" s="69"/>
      <c r="GA129" s="69"/>
      <c r="GB129" s="69"/>
      <c r="GC129" s="69"/>
      <c r="GD129" s="69"/>
      <c r="GE129" s="69"/>
      <c r="GF129" s="69"/>
      <c r="GG129" s="165"/>
    </row>
    <row r="130" spans="1:189" s="66" customFormat="1" x14ac:dyDescent="0.2">
      <c r="A130"/>
      <c r="B130" s="82">
        <v>43952</v>
      </c>
      <c r="C130" s="68">
        <v>0</v>
      </c>
      <c r="D130" s="68">
        <v>0</v>
      </c>
      <c r="E130" s="68">
        <v>0</v>
      </c>
      <c r="F130" s="68">
        <v>0</v>
      </c>
      <c r="G130" s="68">
        <v>0</v>
      </c>
      <c r="H130" s="68">
        <v>0</v>
      </c>
      <c r="I130" s="68">
        <v>0</v>
      </c>
      <c r="J130" s="68">
        <v>0</v>
      </c>
      <c r="K130" s="68">
        <v>0</v>
      </c>
      <c r="L130" s="68">
        <v>0</v>
      </c>
      <c r="M130" s="68">
        <v>0</v>
      </c>
      <c r="N130" s="68">
        <v>0</v>
      </c>
      <c r="O130" s="68">
        <v>0</v>
      </c>
      <c r="P130" s="68">
        <v>0</v>
      </c>
      <c r="Q130" s="68">
        <v>0</v>
      </c>
      <c r="R130" s="68">
        <v>0</v>
      </c>
      <c r="S130" s="68">
        <v>0</v>
      </c>
      <c r="T130" s="68">
        <v>0</v>
      </c>
      <c r="U130" s="68">
        <v>0</v>
      </c>
      <c r="V130" s="68">
        <v>0</v>
      </c>
      <c r="W130" s="68">
        <v>0</v>
      </c>
      <c r="X130" s="68">
        <v>0</v>
      </c>
      <c r="Y130" s="68">
        <v>0</v>
      </c>
      <c r="Z130" s="68">
        <v>0</v>
      </c>
      <c r="AA130" s="68">
        <v>0</v>
      </c>
      <c r="AB130" s="68">
        <v>0</v>
      </c>
      <c r="AC130" s="68">
        <v>0</v>
      </c>
      <c r="AD130" s="68">
        <v>0</v>
      </c>
      <c r="AE130" s="68">
        <v>0</v>
      </c>
      <c r="AF130" s="68">
        <v>0</v>
      </c>
      <c r="AG130" s="68">
        <v>0</v>
      </c>
      <c r="AH130" s="68">
        <v>0</v>
      </c>
      <c r="AI130" s="68">
        <v>0</v>
      </c>
      <c r="AJ130" s="68">
        <v>0</v>
      </c>
      <c r="AK130" s="68">
        <v>0</v>
      </c>
      <c r="AL130" s="68">
        <v>0</v>
      </c>
      <c r="AM130" s="68">
        <v>0</v>
      </c>
      <c r="AN130" s="68">
        <v>0</v>
      </c>
      <c r="AO130" s="68">
        <v>0</v>
      </c>
      <c r="AP130" s="68">
        <v>0</v>
      </c>
      <c r="AQ130" s="68">
        <v>0</v>
      </c>
      <c r="AR130" s="68">
        <v>0</v>
      </c>
      <c r="AS130" s="68">
        <v>0</v>
      </c>
      <c r="AT130" s="68">
        <v>0</v>
      </c>
      <c r="AU130" s="68">
        <v>0</v>
      </c>
      <c r="AV130" s="68">
        <v>0</v>
      </c>
      <c r="AW130" s="68">
        <v>0</v>
      </c>
      <c r="AX130" s="68">
        <v>0</v>
      </c>
      <c r="AY130" s="68">
        <v>0</v>
      </c>
      <c r="AZ130" s="68">
        <v>0</v>
      </c>
      <c r="BA130" s="68">
        <v>0</v>
      </c>
      <c r="BB130" s="68">
        <v>0</v>
      </c>
      <c r="BC130" s="68">
        <v>0</v>
      </c>
      <c r="BD130" s="68">
        <v>0</v>
      </c>
      <c r="BE130" s="68">
        <v>0</v>
      </c>
      <c r="BF130" s="68">
        <v>0</v>
      </c>
      <c r="BG130" s="68">
        <v>0</v>
      </c>
      <c r="BH130" s="68">
        <v>0</v>
      </c>
      <c r="BI130" s="68">
        <v>0</v>
      </c>
      <c r="BJ130" s="68">
        <v>0</v>
      </c>
      <c r="BK130" s="68">
        <v>0</v>
      </c>
      <c r="BL130" s="68">
        <v>0</v>
      </c>
      <c r="BM130" s="68">
        <v>0</v>
      </c>
      <c r="BN130" s="68">
        <v>0</v>
      </c>
      <c r="BO130" s="68">
        <v>0</v>
      </c>
      <c r="BP130" s="68">
        <v>0</v>
      </c>
      <c r="BQ130" s="68">
        <v>0</v>
      </c>
      <c r="BR130" s="68">
        <v>0</v>
      </c>
      <c r="BS130" s="68">
        <v>0</v>
      </c>
      <c r="BT130" s="68">
        <v>0</v>
      </c>
      <c r="BU130" s="68">
        <v>0</v>
      </c>
      <c r="BV130" s="68">
        <v>0</v>
      </c>
      <c r="BW130" s="68">
        <v>0</v>
      </c>
      <c r="BX130" s="68">
        <v>0</v>
      </c>
      <c r="BY130" s="68">
        <v>0</v>
      </c>
      <c r="BZ130" s="68">
        <v>0</v>
      </c>
      <c r="CA130" s="68">
        <v>0</v>
      </c>
      <c r="CB130" s="68">
        <v>0</v>
      </c>
      <c r="CC130" s="68">
        <v>0</v>
      </c>
      <c r="CD130" s="68">
        <v>0</v>
      </c>
      <c r="CE130" s="68">
        <v>0</v>
      </c>
      <c r="CF130" s="68">
        <v>0</v>
      </c>
      <c r="CG130" s="68">
        <v>0</v>
      </c>
      <c r="CH130" s="68">
        <v>0</v>
      </c>
      <c r="CI130" s="68">
        <v>0</v>
      </c>
      <c r="CJ130" s="68">
        <v>0</v>
      </c>
      <c r="CK130" s="68">
        <v>0</v>
      </c>
      <c r="CL130" s="68">
        <v>0</v>
      </c>
      <c r="CM130" s="68">
        <v>0</v>
      </c>
      <c r="CN130" s="68">
        <v>0</v>
      </c>
      <c r="CO130" s="68">
        <v>0</v>
      </c>
      <c r="CP130" s="68">
        <v>0</v>
      </c>
      <c r="CQ130" s="68">
        <v>0</v>
      </c>
      <c r="CR130" s="68">
        <v>0</v>
      </c>
      <c r="CS130" s="68">
        <v>0</v>
      </c>
      <c r="CT130" s="68">
        <v>0</v>
      </c>
      <c r="CU130" s="68">
        <v>0</v>
      </c>
      <c r="CV130" s="68">
        <v>0</v>
      </c>
      <c r="CW130" s="68">
        <v>0</v>
      </c>
      <c r="CX130" s="68">
        <v>0</v>
      </c>
      <c r="CY130" s="68">
        <v>0</v>
      </c>
      <c r="CZ130" s="68">
        <v>0</v>
      </c>
      <c r="DA130" s="68">
        <v>0</v>
      </c>
      <c r="DB130" s="68">
        <v>0</v>
      </c>
      <c r="DC130" s="68">
        <v>0</v>
      </c>
      <c r="DD130" s="94">
        <v>0</v>
      </c>
      <c r="DE130" s="68">
        <v>0</v>
      </c>
      <c r="DF130" s="68">
        <v>0</v>
      </c>
      <c r="DG130" s="68">
        <v>0</v>
      </c>
      <c r="DH130" s="68">
        <v>0</v>
      </c>
      <c r="DI130" s="68">
        <v>0</v>
      </c>
      <c r="DJ130" s="68">
        <v>0</v>
      </c>
      <c r="DK130" s="68">
        <v>0</v>
      </c>
      <c r="DL130" s="68">
        <v>0</v>
      </c>
      <c r="DM130" s="68">
        <v>0</v>
      </c>
      <c r="DN130" s="68">
        <v>0</v>
      </c>
      <c r="DO130" s="68">
        <v>0</v>
      </c>
      <c r="DP130" s="67"/>
      <c r="DQ130" s="68"/>
      <c r="DR130" s="69"/>
      <c r="DS130" s="69"/>
      <c r="DT130" s="69"/>
      <c r="DU130" s="69"/>
      <c r="DV130" s="69"/>
      <c r="DW130" s="69"/>
      <c r="DX130" s="69"/>
      <c r="DY130" s="69"/>
      <c r="DZ130" s="69"/>
      <c r="EA130" s="69"/>
      <c r="EB130" s="69"/>
      <c r="EC130" s="69"/>
      <c r="ED130" s="69"/>
      <c r="EE130" s="69"/>
      <c r="EF130" s="69"/>
      <c r="EG130" s="69"/>
      <c r="EH130" s="69"/>
      <c r="EI130" s="69"/>
      <c r="EJ130" s="69"/>
      <c r="EK130" s="69"/>
      <c r="EL130" s="69"/>
      <c r="EM130" s="69"/>
      <c r="EN130" s="69"/>
      <c r="EO130" s="69"/>
      <c r="EP130" s="69"/>
      <c r="EQ130" s="69"/>
      <c r="ER130" s="69"/>
      <c r="ES130" s="69"/>
      <c r="ET130" s="69"/>
      <c r="EU130" s="69"/>
      <c r="EV130" s="69"/>
      <c r="EW130" s="69"/>
      <c r="EX130" s="69"/>
      <c r="EY130" s="69"/>
      <c r="EZ130" s="69"/>
      <c r="FA130" s="69"/>
      <c r="FB130" s="69"/>
      <c r="FC130" s="69"/>
      <c r="FD130" s="69"/>
      <c r="FE130" s="69"/>
      <c r="FF130" s="69"/>
      <c r="FG130" s="69"/>
      <c r="FH130" s="69"/>
      <c r="FI130" s="69"/>
      <c r="FJ130" s="69"/>
      <c r="FK130" s="69"/>
      <c r="FL130" s="69"/>
      <c r="FM130" s="69"/>
      <c r="FN130" s="69"/>
      <c r="FO130" s="69"/>
      <c r="FP130" s="69"/>
      <c r="FQ130" s="69"/>
      <c r="FR130" s="69"/>
      <c r="FS130" s="69"/>
      <c r="FT130" s="69"/>
      <c r="FU130" s="69"/>
      <c r="FV130" s="69"/>
      <c r="FW130" s="69"/>
      <c r="FX130" s="69"/>
      <c r="FY130" s="69"/>
      <c r="FZ130" s="69"/>
      <c r="GA130" s="69"/>
      <c r="GB130" s="69"/>
      <c r="GC130" s="69"/>
      <c r="GD130" s="69"/>
      <c r="GE130" s="69"/>
      <c r="GF130" s="69"/>
      <c r="GG130" s="165"/>
    </row>
    <row r="131" spans="1:189" s="66" customFormat="1" x14ac:dyDescent="0.2">
      <c r="A131"/>
      <c r="B131" s="82">
        <v>43983</v>
      </c>
      <c r="C131" s="68">
        <v>0</v>
      </c>
      <c r="D131" s="68">
        <v>0</v>
      </c>
      <c r="E131" s="68">
        <v>0</v>
      </c>
      <c r="F131" s="68">
        <v>0</v>
      </c>
      <c r="G131" s="68">
        <v>0</v>
      </c>
      <c r="H131" s="68">
        <v>0</v>
      </c>
      <c r="I131" s="68">
        <v>0</v>
      </c>
      <c r="J131" s="68">
        <v>0</v>
      </c>
      <c r="K131" s="68">
        <v>0</v>
      </c>
      <c r="L131" s="68">
        <v>0</v>
      </c>
      <c r="M131" s="68">
        <v>0</v>
      </c>
      <c r="N131" s="68">
        <v>0</v>
      </c>
      <c r="O131" s="68">
        <v>0</v>
      </c>
      <c r="P131" s="68">
        <v>0</v>
      </c>
      <c r="Q131" s="68">
        <v>0</v>
      </c>
      <c r="R131" s="68">
        <v>0</v>
      </c>
      <c r="S131" s="68">
        <v>0</v>
      </c>
      <c r="T131" s="68">
        <v>0</v>
      </c>
      <c r="U131" s="68">
        <v>0</v>
      </c>
      <c r="V131" s="68">
        <v>0</v>
      </c>
      <c r="W131" s="68">
        <v>0</v>
      </c>
      <c r="X131" s="68">
        <v>0</v>
      </c>
      <c r="Y131" s="68">
        <v>0</v>
      </c>
      <c r="Z131" s="68">
        <v>0</v>
      </c>
      <c r="AA131" s="68">
        <v>0</v>
      </c>
      <c r="AB131" s="68">
        <v>0</v>
      </c>
      <c r="AC131" s="68">
        <v>0</v>
      </c>
      <c r="AD131" s="68">
        <v>0</v>
      </c>
      <c r="AE131" s="68">
        <v>0</v>
      </c>
      <c r="AF131" s="68">
        <v>0</v>
      </c>
      <c r="AG131" s="68">
        <v>0</v>
      </c>
      <c r="AH131" s="68">
        <v>0</v>
      </c>
      <c r="AI131" s="68">
        <v>0</v>
      </c>
      <c r="AJ131" s="68">
        <v>0</v>
      </c>
      <c r="AK131" s="68">
        <v>0</v>
      </c>
      <c r="AL131" s="68">
        <v>0</v>
      </c>
      <c r="AM131" s="68">
        <v>0</v>
      </c>
      <c r="AN131" s="68">
        <v>0</v>
      </c>
      <c r="AO131" s="68">
        <v>0</v>
      </c>
      <c r="AP131" s="68">
        <v>0</v>
      </c>
      <c r="AQ131" s="68">
        <v>0</v>
      </c>
      <c r="AR131" s="68">
        <v>0</v>
      </c>
      <c r="AS131" s="68">
        <v>0</v>
      </c>
      <c r="AT131" s="68">
        <v>0</v>
      </c>
      <c r="AU131" s="68">
        <v>0</v>
      </c>
      <c r="AV131" s="68">
        <v>0</v>
      </c>
      <c r="AW131" s="68">
        <v>0</v>
      </c>
      <c r="AX131" s="68">
        <v>0</v>
      </c>
      <c r="AY131" s="68">
        <v>0</v>
      </c>
      <c r="AZ131" s="68">
        <v>0</v>
      </c>
      <c r="BA131" s="68">
        <v>0</v>
      </c>
      <c r="BB131" s="68">
        <v>0</v>
      </c>
      <c r="BC131" s="68">
        <v>0</v>
      </c>
      <c r="BD131" s="68">
        <v>0</v>
      </c>
      <c r="BE131" s="68">
        <v>0</v>
      </c>
      <c r="BF131" s="68">
        <v>0</v>
      </c>
      <c r="BG131" s="68">
        <v>0</v>
      </c>
      <c r="BH131" s="68">
        <v>0</v>
      </c>
      <c r="BI131" s="68">
        <v>0</v>
      </c>
      <c r="BJ131" s="68">
        <v>0</v>
      </c>
      <c r="BK131" s="68">
        <v>0</v>
      </c>
      <c r="BL131" s="68">
        <v>0</v>
      </c>
      <c r="BM131" s="68">
        <v>0</v>
      </c>
      <c r="BN131" s="68">
        <v>0</v>
      </c>
      <c r="BO131" s="68">
        <v>0</v>
      </c>
      <c r="BP131" s="68">
        <v>0</v>
      </c>
      <c r="BQ131" s="68">
        <v>0</v>
      </c>
      <c r="BR131" s="68">
        <v>0</v>
      </c>
      <c r="BS131" s="68">
        <v>0</v>
      </c>
      <c r="BT131" s="68">
        <v>0</v>
      </c>
      <c r="BU131" s="68">
        <v>0</v>
      </c>
      <c r="BV131" s="68">
        <v>0</v>
      </c>
      <c r="BW131" s="68">
        <v>0</v>
      </c>
      <c r="BX131" s="68">
        <v>0</v>
      </c>
      <c r="BY131" s="68">
        <v>0</v>
      </c>
      <c r="BZ131" s="68">
        <v>0</v>
      </c>
      <c r="CA131" s="68">
        <v>0</v>
      </c>
      <c r="CB131" s="68">
        <v>0</v>
      </c>
      <c r="CC131" s="68">
        <v>0</v>
      </c>
      <c r="CD131" s="68">
        <v>0</v>
      </c>
      <c r="CE131" s="68">
        <v>0</v>
      </c>
      <c r="CF131" s="68">
        <v>0</v>
      </c>
      <c r="CG131" s="68">
        <v>0</v>
      </c>
      <c r="CH131" s="68">
        <v>0</v>
      </c>
      <c r="CI131" s="68">
        <v>0</v>
      </c>
      <c r="CJ131" s="68">
        <v>0</v>
      </c>
      <c r="CK131" s="68">
        <v>0</v>
      </c>
      <c r="CL131" s="68">
        <v>0</v>
      </c>
      <c r="CM131" s="68">
        <v>0</v>
      </c>
      <c r="CN131" s="68">
        <v>0</v>
      </c>
      <c r="CO131" s="68">
        <v>0</v>
      </c>
      <c r="CP131" s="68">
        <v>0</v>
      </c>
      <c r="CQ131" s="68">
        <v>0</v>
      </c>
      <c r="CR131" s="68">
        <v>0</v>
      </c>
      <c r="CS131" s="68">
        <v>0</v>
      </c>
      <c r="CT131" s="68">
        <v>0</v>
      </c>
      <c r="CU131" s="68">
        <v>0</v>
      </c>
      <c r="CV131" s="68">
        <v>0</v>
      </c>
      <c r="CW131" s="68">
        <v>0</v>
      </c>
      <c r="CX131" s="68">
        <v>0</v>
      </c>
      <c r="CY131" s="68">
        <v>0</v>
      </c>
      <c r="CZ131" s="68">
        <v>0</v>
      </c>
      <c r="DA131" s="68">
        <v>0</v>
      </c>
      <c r="DB131" s="68">
        <v>0</v>
      </c>
      <c r="DC131" s="68">
        <v>0</v>
      </c>
      <c r="DD131" s="68">
        <v>0</v>
      </c>
      <c r="DE131" s="94">
        <v>0</v>
      </c>
      <c r="DF131" s="68">
        <v>0</v>
      </c>
      <c r="DG131" s="68">
        <v>0</v>
      </c>
      <c r="DH131" s="68">
        <v>0</v>
      </c>
      <c r="DI131" s="68">
        <v>0</v>
      </c>
      <c r="DJ131" s="68">
        <v>0</v>
      </c>
      <c r="DK131" s="68">
        <v>0</v>
      </c>
      <c r="DL131" s="68">
        <v>0</v>
      </c>
      <c r="DM131" s="68">
        <v>0</v>
      </c>
      <c r="DN131" s="68">
        <v>0</v>
      </c>
      <c r="DO131" s="68">
        <v>0</v>
      </c>
      <c r="DP131" s="68">
        <v>0</v>
      </c>
      <c r="DQ131" s="67"/>
      <c r="DR131" s="68"/>
      <c r="DS131" s="69"/>
      <c r="DT131" s="69"/>
      <c r="DU131" s="69"/>
      <c r="DV131" s="69"/>
      <c r="DW131" s="69"/>
      <c r="DX131" s="69"/>
      <c r="DY131" s="69"/>
      <c r="DZ131" s="69"/>
      <c r="EA131" s="69"/>
      <c r="EB131" s="69"/>
      <c r="EC131" s="69"/>
      <c r="ED131" s="69"/>
      <c r="EE131" s="69"/>
      <c r="EF131" s="69"/>
      <c r="EG131" s="69"/>
      <c r="EH131" s="69"/>
      <c r="EI131" s="69"/>
      <c r="EJ131" s="69"/>
      <c r="EK131" s="69"/>
      <c r="EL131" s="69"/>
      <c r="EM131" s="69"/>
      <c r="EN131" s="69"/>
      <c r="EO131" s="69"/>
      <c r="EP131" s="69"/>
      <c r="EQ131" s="69"/>
      <c r="ER131" s="69"/>
      <c r="ES131" s="69"/>
      <c r="ET131" s="69"/>
      <c r="EU131" s="69"/>
      <c r="EV131" s="69"/>
      <c r="EW131" s="69"/>
      <c r="EX131" s="69"/>
      <c r="EY131" s="69"/>
      <c r="EZ131" s="69"/>
      <c r="FA131" s="69"/>
      <c r="FB131" s="69"/>
      <c r="FC131" s="69"/>
      <c r="FD131" s="69"/>
      <c r="FE131" s="69"/>
      <c r="FF131" s="69"/>
      <c r="FG131" s="69"/>
      <c r="FH131" s="69"/>
      <c r="FI131" s="69"/>
      <c r="FJ131" s="69"/>
      <c r="FK131" s="69"/>
      <c r="FL131" s="69"/>
      <c r="FM131" s="69"/>
      <c r="FN131" s="69"/>
      <c r="FO131" s="69"/>
      <c r="FP131" s="69"/>
      <c r="FQ131" s="69"/>
      <c r="FR131" s="69"/>
      <c r="FS131" s="69"/>
      <c r="FT131" s="69"/>
      <c r="FU131" s="69"/>
      <c r="FV131" s="69"/>
      <c r="FW131" s="69"/>
      <c r="FX131" s="69"/>
      <c r="FY131" s="69"/>
      <c r="FZ131" s="69"/>
      <c r="GA131" s="69"/>
      <c r="GB131" s="69"/>
      <c r="GC131" s="69"/>
      <c r="GD131" s="69"/>
      <c r="GE131" s="69"/>
      <c r="GF131" s="69"/>
      <c r="GG131" s="165"/>
    </row>
    <row r="132" spans="1:189" s="66" customFormat="1" x14ac:dyDescent="0.2">
      <c r="A132"/>
      <c r="B132" s="82">
        <v>44013</v>
      </c>
      <c r="C132" s="68">
        <v>0</v>
      </c>
      <c r="D132" s="68">
        <v>0</v>
      </c>
      <c r="E132" s="68">
        <v>0</v>
      </c>
      <c r="F132" s="68">
        <v>0</v>
      </c>
      <c r="G132" s="68">
        <v>0</v>
      </c>
      <c r="H132" s="68">
        <v>0</v>
      </c>
      <c r="I132" s="68">
        <v>0</v>
      </c>
      <c r="J132" s="68">
        <v>0</v>
      </c>
      <c r="K132" s="68">
        <v>0</v>
      </c>
      <c r="L132" s="68">
        <v>0</v>
      </c>
      <c r="M132" s="68">
        <v>0</v>
      </c>
      <c r="N132" s="68">
        <v>0</v>
      </c>
      <c r="O132" s="68">
        <v>0</v>
      </c>
      <c r="P132" s="68">
        <v>0</v>
      </c>
      <c r="Q132" s="68">
        <v>0</v>
      </c>
      <c r="R132" s="68">
        <v>0</v>
      </c>
      <c r="S132" s="68">
        <v>0</v>
      </c>
      <c r="T132" s="68">
        <v>0</v>
      </c>
      <c r="U132" s="68">
        <v>0</v>
      </c>
      <c r="V132" s="68">
        <v>0</v>
      </c>
      <c r="W132" s="68">
        <v>0</v>
      </c>
      <c r="X132" s="68">
        <v>0</v>
      </c>
      <c r="Y132" s="68">
        <v>0</v>
      </c>
      <c r="Z132" s="68">
        <v>0</v>
      </c>
      <c r="AA132" s="68">
        <v>0</v>
      </c>
      <c r="AB132" s="68">
        <v>0</v>
      </c>
      <c r="AC132" s="68">
        <v>0</v>
      </c>
      <c r="AD132" s="68">
        <v>0</v>
      </c>
      <c r="AE132" s="68">
        <v>0</v>
      </c>
      <c r="AF132" s="68">
        <v>0</v>
      </c>
      <c r="AG132" s="68">
        <v>0</v>
      </c>
      <c r="AH132" s="68">
        <v>0</v>
      </c>
      <c r="AI132" s="68">
        <v>0</v>
      </c>
      <c r="AJ132" s="68">
        <v>0</v>
      </c>
      <c r="AK132" s="68">
        <v>0</v>
      </c>
      <c r="AL132" s="68">
        <v>0</v>
      </c>
      <c r="AM132" s="68">
        <v>0</v>
      </c>
      <c r="AN132" s="68">
        <v>0</v>
      </c>
      <c r="AO132" s="68">
        <v>0</v>
      </c>
      <c r="AP132" s="68">
        <v>0</v>
      </c>
      <c r="AQ132" s="68">
        <v>0</v>
      </c>
      <c r="AR132" s="68">
        <v>0</v>
      </c>
      <c r="AS132" s="68">
        <v>0</v>
      </c>
      <c r="AT132" s="68">
        <v>0</v>
      </c>
      <c r="AU132" s="68">
        <v>0</v>
      </c>
      <c r="AV132" s="68">
        <v>0</v>
      </c>
      <c r="AW132" s="68">
        <v>0</v>
      </c>
      <c r="AX132" s="68">
        <v>0</v>
      </c>
      <c r="AY132" s="68">
        <v>0</v>
      </c>
      <c r="AZ132" s="68">
        <v>0</v>
      </c>
      <c r="BA132" s="68">
        <v>0</v>
      </c>
      <c r="BB132" s="68">
        <v>0</v>
      </c>
      <c r="BC132" s="68">
        <v>0</v>
      </c>
      <c r="BD132" s="68">
        <v>0</v>
      </c>
      <c r="BE132" s="68">
        <v>0</v>
      </c>
      <c r="BF132" s="68">
        <v>0</v>
      </c>
      <c r="BG132" s="68">
        <v>0</v>
      </c>
      <c r="BH132" s="68">
        <v>0</v>
      </c>
      <c r="BI132" s="68">
        <v>0</v>
      </c>
      <c r="BJ132" s="68">
        <v>0</v>
      </c>
      <c r="BK132" s="68">
        <v>0</v>
      </c>
      <c r="BL132" s="68">
        <v>0</v>
      </c>
      <c r="BM132" s="68">
        <v>0</v>
      </c>
      <c r="BN132" s="68">
        <v>0</v>
      </c>
      <c r="BO132" s="68">
        <v>0</v>
      </c>
      <c r="BP132" s="68">
        <v>0</v>
      </c>
      <c r="BQ132" s="68">
        <v>0</v>
      </c>
      <c r="BR132" s="68">
        <v>0</v>
      </c>
      <c r="BS132" s="68">
        <v>0</v>
      </c>
      <c r="BT132" s="68">
        <v>0</v>
      </c>
      <c r="BU132" s="68">
        <v>0</v>
      </c>
      <c r="BV132" s="68">
        <v>0</v>
      </c>
      <c r="BW132" s="68">
        <v>0</v>
      </c>
      <c r="BX132" s="68">
        <v>0</v>
      </c>
      <c r="BY132" s="68">
        <v>0</v>
      </c>
      <c r="BZ132" s="68">
        <v>0</v>
      </c>
      <c r="CA132" s="68">
        <v>0</v>
      </c>
      <c r="CB132" s="68">
        <v>0</v>
      </c>
      <c r="CC132" s="68">
        <v>0</v>
      </c>
      <c r="CD132" s="68">
        <v>0</v>
      </c>
      <c r="CE132" s="68">
        <v>0</v>
      </c>
      <c r="CF132" s="68">
        <v>0</v>
      </c>
      <c r="CG132" s="68">
        <v>0</v>
      </c>
      <c r="CH132" s="68">
        <v>0</v>
      </c>
      <c r="CI132" s="68">
        <v>0</v>
      </c>
      <c r="CJ132" s="68">
        <v>0</v>
      </c>
      <c r="CK132" s="68">
        <v>0</v>
      </c>
      <c r="CL132" s="68">
        <v>0</v>
      </c>
      <c r="CM132" s="68">
        <v>0</v>
      </c>
      <c r="CN132" s="68">
        <v>0</v>
      </c>
      <c r="CO132" s="68">
        <v>0</v>
      </c>
      <c r="CP132" s="68">
        <v>0</v>
      </c>
      <c r="CQ132" s="68">
        <v>0</v>
      </c>
      <c r="CR132" s="68">
        <v>0</v>
      </c>
      <c r="CS132" s="68">
        <v>0</v>
      </c>
      <c r="CT132" s="68">
        <v>0</v>
      </c>
      <c r="CU132" s="68">
        <v>0</v>
      </c>
      <c r="CV132" s="68">
        <v>0</v>
      </c>
      <c r="CW132" s="68">
        <v>0</v>
      </c>
      <c r="CX132" s="68">
        <v>0</v>
      </c>
      <c r="CY132" s="68">
        <v>0</v>
      </c>
      <c r="CZ132" s="68">
        <v>0</v>
      </c>
      <c r="DA132" s="68">
        <v>0</v>
      </c>
      <c r="DB132" s="68">
        <v>0</v>
      </c>
      <c r="DC132" s="68">
        <v>0</v>
      </c>
      <c r="DD132" s="68">
        <v>0</v>
      </c>
      <c r="DE132" s="68">
        <v>0</v>
      </c>
      <c r="DF132" s="94">
        <v>0</v>
      </c>
      <c r="DG132" s="68">
        <v>0</v>
      </c>
      <c r="DH132" s="68">
        <v>0</v>
      </c>
      <c r="DI132" s="68">
        <v>0</v>
      </c>
      <c r="DJ132" s="68">
        <v>0</v>
      </c>
      <c r="DK132" s="68">
        <v>0</v>
      </c>
      <c r="DL132" s="68">
        <v>0</v>
      </c>
      <c r="DM132" s="68">
        <v>0</v>
      </c>
      <c r="DN132" s="68">
        <v>0</v>
      </c>
      <c r="DO132" s="68">
        <v>0</v>
      </c>
      <c r="DP132" s="68">
        <v>0</v>
      </c>
      <c r="DQ132" s="68">
        <v>0</v>
      </c>
      <c r="DR132" s="67"/>
      <c r="DS132" s="68"/>
      <c r="DT132" s="69"/>
      <c r="DU132" s="69"/>
      <c r="DV132" s="69"/>
      <c r="DW132" s="69"/>
      <c r="DX132" s="69"/>
      <c r="DY132" s="69"/>
      <c r="DZ132" s="69"/>
      <c r="EA132" s="69"/>
      <c r="EB132" s="69"/>
      <c r="EC132" s="69"/>
      <c r="ED132" s="69"/>
      <c r="EE132" s="69"/>
      <c r="EF132" s="69"/>
      <c r="EG132" s="69"/>
      <c r="EH132" s="69"/>
      <c r="EI132" s="69"/>
      <c r="EJ132" s="69"/>
      <c r="EK132" s="69"/>
      <c r="EL132" s="69"/>
      <c r="EM132" s="69"/>
      <c r="EN132" s="69"/>
      <c r="EO132" s="69"/>
      <c r="EP132" s="69"/>
      <c r="EQ132" s="69"/>
      <c r="ER132" s="69"/>
      <c r="ES132" s="69"/>
      <c r="ET132" s="69"/>
      <c r="EU132" s="69"/>
      <c r="EV132" s="69"/>
      <c r="EW132" s="69"/>
      <c r="EX132" s="69"/>
      <c r="EY132" s="69"/>
      <c r="EZ132" s="69"/>
      <c r="FA132" s="69"/>
      <c r="FB132" s="69"/>
      <c r="FC132" s="69"/>
      <c r="FD132" s="69"/>
      <c r="FE132" s="69"/>
      <c r="FF132" s="69"/>
      <c r="FG132" s="69"/>
      <c r="FH132" s="69"/>
      <c r="FI132" s="69"/>
      <c r="FJ132" s="69"/>
      <c r="FK132" s="69"/>
      <c r="FL132" s="69"/>
      <c r="FM132" s="69"/>
      <c r="FN132" s="69"/>
      <c r="FO132" s="69"/>
      <c r="FP132" s="69"/>
      <c r="FQ132" s="69"/>
      <c r="FR132" s="69"/>
      <c r="FS132" s="69"/>
      <c r="FT132" s="69"/>
      <c r="FU132" s="69"/>
      <c r="FV132" s="69"/>
      <c r="FW132" s="69"/>
      <c r="FX132" s="69"/>
      <c r="FY132" s="69"/>
      <c r="FZ132" s="69"/>
      <c r="GA132" s="69"/>
      <c r="GB132" s="69"/>
      <c r="GC132" s="69"/>
      <c r="GD132" s="69"/>
      <c r="GE132" s="69"/>
      <c r="GF132" s="69"/>
      <c r="GG132" s="165"/>
    </row>
    <row r="133" spans="1:189" s="66" customFormat="1" x14ac:dyDescent="0.2">
      <c r="A133"/>
      <c r="B133" s="82">
        <v>44044</v>
      </c>
      <c r="C133" s="68">
        <v>0</v>
      </c>
      <c r="D133" s="68">
        <v>0</v>
      </c>
      <c r="E133" s="68">
        <v>0</v>
      </c>
      <c r="F133" s="68">
        <v>0</v>
      </c>
      <c r="G133" s="68">
        <v>0</v>
      </c>
      <c r="H133" s="68">
        <v>0</v>
      </c>
      <c r="I133" s="68">
        <v>0</v>
      </c>
      <c r="J133" s="68">
        <v>0</v>
      </c>
      <c r="K133" s="68">
        <v>0</v>
      </c>
      <c r="L133" s="68">
        <v>0</v>
      </c>
      <c r="M133" s="68">
        <v>0</v>
      </c>
      <c r="N133" s="68">
        <v>0</v>
      </c>
      <c r="O133" s="68">
        <v>0</v>
      </c>
      <c r="P133" s="68">
        <v>0</v>
      </c>
      <c r="Q133" s="68">
        <v>0</v>
      </c>
      <c r="R133" s="68">
        <v>0</v>
      </c>
      <c r="S133" s="68">
        <v>0</v>
      </c>
      <c r="T133" s="68">
        <v>0</v>
      </c>
      <c r="U133" s="68">
        <v>0</v>
      </c>
      <c r="V133" s="68">
        <v>0</v>
      </c>
      <c r="W133" s="68">
        <v>0</v>
      </c>
      <c r="X133" s="68">
        <v>0</v>
      </c>
      <c r="Y133" s="68">
        <v>0</v>
      </c>
      <c r="Z133" s="68">
        <v>0</v>
      </c>
      <c r="AA133" s="68">
        <v>0</v>
      </c>
      <c r="AB133" s="68">
        <v>0</v>
      </c>
      <c r="AC133" s="68">
        <v>0</v>
      </c>
      <c r="AD133" s="68">
        <v>0</v>
      </c>
      <c r="AE133" s="68">
        <v>0</v>
      </c>
      <c r="AF133" s="68">
        <v>0</v>
      </c>
      <c r="AG133" s="68">
        <v>0</v>
      </c>
      <c r="AH133" s="68">
        <v>0</v>
      </c>
      <c r="AI133" s="68">
        <v>0</v>
      </c>
      <c r="AJ133" s="68">
        <v>0</v>
      </c>
      <c r="AK133" s="68">
        <v>0</v>
      </c>
      <c r="AL133" s="68">
        <v>0</v>
      </c>
      <c r="AM133" s="68">
        <v>0</v>
      </c>
      <c r="AN133" s="68">
        <v>0</v>
      </c>
      <c r="AO133" s="68">
        <v>0</v>
      </c>
      <c r="AP133" s="68">
        <v>0</v>
      </c>
      <c r="AQ133" s="68">
        <v>0</v>
      </c>
      <c r="AR133" s="68">
        <v>0</v>
      </c>
      <c r="AS133" s="68">
        <v>0</v>
      </c>
      <c r="AT133" s="68">
        <v>0</v>
      </c>
      <c r="AU133" s="68">
        <v>0</v>
      </c>
      <c r="AV133" s="68">
        <v>0</v>
      </c>
      <c r="AW133" s="68">
        <v>0</v>
      </c>
      <c r="AX133" s="68">
        <v>0</v>
      </c>
      <c r="AY133" s="68">
        <v>0</v>
      </c>
      <c r="AZ133" s="68">
        <v>0</v>
      </c>
      <c r="BA133" s="68">
        <v>0</v>
      </c>
      <c r="BB133" s="68">
        <v>0</v>
      </c>
      <c r="BC133" s="68">
        <v>0</v>
      </c>
      <c r="BD133" s="68">
        <v>0</v>
      </c>
      <c r="BE133" s="68">
        <v>0</v>
      </c>
      <c r="BF133" s="68">
        <v>0</v>
      </c>
      <c r="BG133" s="68">
        <v>0</v>
      </c>
      <c r="BH133" s="68">
        <v>0</v>
      </c>
      <c r="BI133" s="68">
        <v>0</v>
      </c>
      <c r="BJ133" s="68">
        <v>0</v>
      </c>
      <c r="BK133" s="68">
        <v>0</v>
      </c>
      <c r="BL133" s="68">
        <v>0</v>
      </c>
      <c r="BM133" s="68">
        <v>0</v>
      </c>
      <c r="BN133" s="68">
        <v>0</v>
      </c>
      <c r="BO133" s="68">
        <v>0</v>
      </c>
      <c r="BP133" s="68">
        <v>0</v>
      </c>
      <c r="BQ133" s="68">
        <v>0</v>
      </c>
      <c r="BR133" s="68">
        <v>0</v>
      </c>
      <c r="BS133" s="68">
        <v>0</v>
      </c>
      <c r="BT133" s="68">
        <v>0</v>
      </c>
      <c r="BU133" s="68">
        <v>0</v>
      </c>
      <c r="BV133" s="68">
        <v>0</v>
      </c>
      <c r="BW133" s="68">
        <v>0</v>
      </c>
      <c r="BX133" s="68">
        <v>0</v>
      </c>
      <c r="BY133" s="68">
        <v>0</v>
      </c>
      <c r="BZ133" s="68">
        <v>0</v>
      </c>
      <c r="CA133" s="68">
        <v>0</v>
      </c>
      <c r="CB133" s="68">
        <v>0</v>
      </c>
      <c r="CC133" s="68">
        <v>0</v>
      </c>
      <c r="CD133" s="68">
        <v>0</v>
      </c>
      <c r="CE133" s="68">
        <v>0</v>
      </c>
      <c r="CF133" s="68">
        <v>0</v>
      </c>
      <c r="CG133" s="68">
        <v>0</v>
      </c>
      <c r="CH133" s="68">
        <v>0</v>
      </c>
      <c r="CI133" s="68">
        <v>0</v>
      </c>
      <c r="CJ133" s="68">
        <v>0</v>
      </c>
      <c r="CK133" s="68">
        <v>0</v>
      </c>
      <c r="CL133" s="68">
        <v>0</v>
      </c>
      <c r="CM133" s="68">
        <v>0</v>
      </c>
      <c r="CN133" s="68">
        <v>0</v>
      </c>
      <c r="CO133" s="68">
        <v>0</v>
      </c>
      <c r="CP133" s="68">
        <v>0</v>
      </c>
      <c r="CQ133" s="68">
        <v>0</v>
      </c>
      <c r="CR133" s="68">
        <v>0</v>
      </c>
      <c r="CS133" s="68">
        <v>0</v>
      </c>
      <c r="CT133" s="68">
        <v>0</v>
      </c>
      <c r="CU133" s="68">
        <v>0</v>
      </c>
      <c r="CV133" s="68">
        <v>0</v>
      </c>
      <c r="CW133" s="68">
        <v>0</v>
      </c>
      <c r="CX133" s="68">
        <v>0</v>
      </c>
      <c r="CY133" s="68">
        <v>0</v>
      </c>
      <c r="CZ133" s="68">
        <v>0</v>
      </c>
      <c r="DA133" s="68">
        <v>0</v>
      </c>
      <c r="DB133" s="68">
        <v>0</v>
      </c>
      <c r="DC133" s="68">
        <v>0</v>
      </c>
      <c r="DD133" s="68">
        <v>0</v>
      </c>
      <c r="DE133" s="68">
        <v>0</v>
      </c>
      <c r="DF133" s="68">
        <v>0</v>
      </c>
      <c r="DG133" s="94">
        <v>0</v>
      </c>
      <c r="DH133" s="68">
        <v>0</v>
      </c>
      <c r="DI133" s="68">
        <v>0</v>
      </c>
      <c r="DJ133" s="68">
        <v>0</v>
      </c>
      <c r="DK133" s="68">
        <v>0</v>
      </c>
      <c r="DL133" s="68">
        <v>0</v>
      </c>
      <c r="DM133" s="68">
        <v>0</v>
      </c>
      <c r="DN133" s="68">
        <v>0</v>
      </c>
      <c r="DO133" s="68">
        <v>0</v>
      </c>
      <c r="DP133" s="68">
        <v>0</v>
      </c>
      <c r="DQ133" s="68">
        <v>0</v>
      </c>
      <c r="DR133" s="68">
        <v>0</v>
      </c>
      <c r="DS133" s="67"/>
      <c r="DT133" s="68"/>
      <c r="DU133" s="69"/>
      <c r="DV133" s="69"/>
      <c r="DW133" s="69"/>
      <c r="DX133" s="69"/>
      <c r="DY133" s="69"/>
      <c r="DZ133" s="69"/>
      <c r="EA133" s="69"/>
      <c r="EB133" s="69"/>
      <c r="EC133" s="69"/>
      <c r="ED133" s="69"/>
      <c r="EE133" s="69"/>
      <c r="EF133" s="69"/>
      <c r="EG133" s="69"/>
      <c r="EH133" s="69"/>
      <c r="EI133" s="69"/>
      <c r="EJ133" s="69"/>
      <c r="EK133" s="69"/>
      <c r="EL133" s="69"/>
      <c r="EM133" s="69"/>
      <c r="EN133" s="69"/>
      <c r="EO133" s="69"/>
      <c r="EP133" s="69"/>
      <c r="EQ133" s="69"/>
      <c r="ER133" s="69"/>
      <c r="ES133" s="69"/>
      <c r="ET133" s="69"/>
      <c r="EU133" s="69"/>
      <c r="EV133" s="69"/>
      <c r="EW133" s="69"/>
      <c r="EX133" s="69"/>
      <c r="EY133" s="69"/>
      <c r="EZ133" s="69"/>
      <c r="FA133" s="69"/>
      <c r="FB133" s="69"/>
      <c r="FC133" s="69"/>
      <c r="FD133" s="69"/>
      <c r="FE133" s="69"/>
      <c r="FF133" s="69"/>
      <c r="FG133" s="69"/>
      <c r="FH133" s="69"/>
      <c r="FI133" s="69"/>
      <c r="FJ133" s="69"/>
      <c r="FK133" s="69"/>
      <c r="FL133" s="69"/>
      <c r="FM133" s="69"/>
      <c r="FN133" s="69"/>
      <c r="FO133" s="69"/>
      <c r="FP133" s="69"/>
      <c r="FQ133" s="69"/>
      <c r="FR133" s="69"/>
      <c r="FS133" s="69"/>
      <c r="FT133" s="69"/>
      <c r="FU133" s="69"/>
      <c r="FV133" s="69"/>
      <c r="FW133" s="69"/>
      <c r="FX133" s="69"/>
      <c r="FY133" s="69"/>
      <c r="FZ133" s="69"/>
      <c r="GA133" s="69"/>
      <c r="GB133" s="69"/>
      <c r="GC133" s="69"/>
      <c r="GD133" s="69"/>
      <c r="GE133" s="69"/>
      <c r="GF133" s="69"/>
      <c r="GG133" s="165"/>
    </row>
    <row r="134" spans="1:189" s="66" customFormat="1" x14ac:dyDescent="0.2">
      <c r="A134"/>
      <c r="B134" s="82">
        <v>44075</v>
      </c>
      <c r="C134" s="68">
        <v>0</v>
      </c>
      <c r="D134" s="68">
        <v>0</v>
      </c>
      <c r="E134" s="68">
        <v>0</v>
      </c>
      <c r="F134" s="68">
        <v>0</v>
      </c>
      <c r="G134" s="68">
        <v>0</v>
      </c>
      <c r="H134" s="68">
        <v>0</v>
      </c>
      <c r="I134" s="68">
        <v>0</v>
      </c>
      <c r="J134" s="68">
        <v>0</v>
      </c>
      <c r="K134" s="68">
        <v>0</v>
      </c>
      <c r="L134" s="68">
        <v>0</v>
      </c>
      <c r="M134" s="68">
        <v>0</v>
      </c>
      <c r="N134" s="68">
        <v>0</v>
      </c>
      <c r="O134" s="68">
        <v>0</v>
      </c>
      <c r="P134" s="68">
        <v>0</v>
      </c>
      <c r="Q134" s="68">
        <v>0</v>
      </c>
      <c r="R134" s="68">
        <v>0</v>
      </c>
      <c r="S134" s="68">
        <v>0</v>
      </c>
      <c r="T134" s="68">
        <v>0</v>
      </c>
      <c r="U134" s="68">
        <v>0</v>
      </c>
      <c r="V134" s="68">
        <v>0</v>
      </c>
      <c r="W134" s="68">
        <v>0</v>
      </c>
      <c r="X134" s="68">
        <v>0</v>
      </c>
      <c r="Y134" s="68">
        <v>0</v>
      </c>
      <c r="Z134" s="68">
        <v>0</v>
      </c>
      <c r="AA134" s="68">
        <v>0</v>
      </c>
      <c r="AB134" s="68">
        <v>0</v>
      </c>
      <c r="AC134" s="68">
        <v>0</v>
      </c>
      <c r="AD134" s="68">
        <v>0</v>
      </c>
      <c r="AE134" s="68">
        <v>0</v>
      </c>
      <c r="AF134" s="68">
        <v>0</v>
      </c>
      <c r="AG134" s="68">
        <v>0</v>
      </c>
      <c r="AH134" s="68">
        <v>0</v>
      </c>
      <c r="AI134" s="68">
        <v>0</v>
      </c>
      <c r="AJ134" s="68">
        <v>0</v>
      </c>
      <c r="AK134" s="68">
        <v>0</v>
      </c>
      <c r="AL134" s="68">
        <v>0</v>
      </c>
      <c r="AM134" s="68">
        <v>0</v>
      </c>
      <c r="AN134" s="68">
        <v>0</v>
      </c>
      <c r="AO134" s="68">
        <v>0</v>
      </c>
      <c r="AP134" s="68">
        <v>0</v>
      </c>
      <c r="AQ134" s="68">
        <v>0</v>
      </c>
      <c r="AR134" s="68">
        <v>0</v>
      </c>
      <c r="AS134" s="68">
        <v>0</v>
      </c>
      <c r="AT134" s="68">
        <v>0</v>
      </c>
      <c r="AU134" s="68">
        <v>0</v>
      </c>
      <c r="AV134" s="68">
        <v>0</v>
      </c>
      <c r="AW134" s="68">
        <v>0</v>
      </c>
      <c r="AX134" s="68">
        <v>0</v>
      </c>
      <c r="AY134" s="68">
        <v>0</v>
      </c>
      <c r="AZ134" s="68">
        <v>0</v>
      </c>
      <c r="BA134" s="68">
        <v>0</v>
      </c>
      <c r="BB134" s="68">
        <v>0</v>
      </c>
      <c r="BC134" s="68">
        <v>0</v>
      </c>
      <c r="BD134" s="68">
        <v>0</v>
      </c>
      <c r="BE134" s="68">
        <v>0</v>
      </c>
      <c r="BF134" s="68">
        <v>0</v>
      </c>
      <c r="BG134" s="68">
        <v>0</v>
      </c>
      <c r="BH134" s="68">
        <v>0</v>
      </c>
      <c r="BI134" s="68">
        <v>0</v>
      </c>
      <c r="BJ134" s="68">
        <v>0</v>
      </c>
      <c r="BK134" s="68">
        <v>0</v>
      </c>
      <c r="BL134" s="68">
        <v>0</v>
      </c>
      <c r="BM134" s="68">
        <v>0</v>
      </c>
      <c r="BN134" s="68">
        <v>0</v>
      </c>
      <c r="BO134" s="68">
        <v>0</v>
      </c>
      <c r="BP134" s="68">
        <v>0</v>
      </c>
      <c r="BQ134" s="68">
        <v>0</v>
      </c>
      <c r="BR134" s="68">
        <v>0</v>
      </c>
      <c r="BS134" s="68">
        <v>0</v>
      </c>
      <c r="BT134" s="68">
        <v>0</v>
      </c>
      <c r="BU134" s="68">
        <v>0</v>
      </c>
      <c r="BV134" s="68">
        <v>0</v>
      </c>
      <c r="BW134" s="68">
        <v>0</v>
      </c>
      <c r="BX134" s="68">
        <v>0</v>
      </c>
      <c r="BY134" s="68">
        <v>0</v>
      </c>
      <c r="BZ134" s="68">
        <v>0</v>
      </c>
      <c r="CA134" s="68">
        <v>0</v>
      </c>
      <c r="CB134" s="68">
        <v>0</v>
      </c>
      <c r="CC134" s="68">
        <v>0</v>
      </c>
      <c r="CD134" s="68">
        <v>0</v>
      </c>
      <c r="CE134" s="68">
        <v>0</v>
      </c>
      <c r="CF134" s="68">
        <v>0</v>
      </c>
      <c r="CG134" s="68">
        <v>0</v>
      </c>
      <c r="CH134" s="68">
        <v>0</v>
      </c>
      <c r="CI134" s="68">
        <v>0</v>
      </c>
      <c r="CJ134" s="68">
        <v>0</v>
      </c>
      <c r="CK134" s="68">
        <v>0</v>
      </c>
      <c r="CL134" s="68">
        <v>0</v>
      </c>
      <c r="CM134" s="68">
        <v>0</v>
      </c>
      <c r="CN134" s="68">
        <v>0</v>
      </c>
      <c r="CO134" s="68">
        <v>0</v>
      </c>
      <c r="CP134" s="68">
        <v>0</v>
      </c>
      <c r="CQ134" s="68">
        <v>0</v>
      </c>
      <c r="CR134" s="68">
        <v>0</v>
      </c>
      <c r="CS134" s="68">
        <v>0</v>
      </c>
      <c r="CT134" s="68">
        <v>0</v>
      </c>
      <c r="CU134" s="68">
        <v>0</v>
      </c>
      <c r="CV134" s="68">
        <v>0</v>
      </c>
      <c r="CW134" s="68">
        <v>0</v>
      </c>
      <c r="CX134" s="68">
        <v>0</v>
      </c>
      <c r="CY134" s="68">
        <v>0</v>
      </c>
      <c r="CZ134" s="68">
        <v>0</v>
      </c>
      <c r="DA134" s="68">
        <v>0</v>
      </c>
      <c r="DB134" s="68">
        <v>0</v>
      </c>
      <c r="DC134" s="68">
        <v>0</v>
      </c>
      <c r="DD134" s="68">
        <v>0</v>
      </c>
      <c r="DE134" s="68">
        <v>0</v>
      </c>
      <c r="DF134" s="68">
        <v>0</v>
      </c>
      <c r="DG134" s="68">
        <v>0</v>
      </c>
      <c r="DH134" s="94">
        <v>0</v>
      </c>
      <c r="DI134" s="68">
        <v>0</v>
      </c>
      <c r="DJ134" s="68">
        <v>0</v>
      </c>
      <c r="DK134" s="68">
        <v>0</v>
      </c>
      <c r="DL134" s="68">
        <v>0</v>
      </c>
      <c r="DM134" s="68">
        <v>0</v>
      </c>
      <c r="DN134" s="68">
        <v>0</v>
      </c>
      <c r="DO134" s="68">
        <v>0</v>
      </c>
      <c r="DP134" s="68">
        <v>0</v>
      </c>
      <c r="DQ134" s="68">
        <v>0</v>
      </c>
      <c r="DR134" s="68">
        <v>0</v>
      </c>
      <c r="DS134" s="68">
        <v>0</v>
      </c>
      <c r="DT134" s="67"/>
      <c r="DU134" s="68"/>
      <c r="DV134" s="69"/>
      <c r="DW134" s="69"/>
      <c r="DX134" s="69"/>
      <c r="DY134" s="69"/>
      <c r="DZ134" s="69"/>
      <c r="EA134" s="69"/>
      <c r="EB134" s="69"/>
      <c r="EC134" s="69"/>
      <c r="ED134" s="69"/>
      <c r="EE134" s="69"/>
      <c r="EF134" s="69"/>
      <c r="EG134" s="69"/>
      <c r="EH134" s="69"/>
      <c r="EI134" s="69"/>
      <c r="EJ134" s="69"/>
      <c r="EK134" s="69"/>
      <c r="EL134" s="69"/>
      <c r="EM134" s="69"/>
      <c r="EN134" s="69"/>
      <c r="EO134" s="69"/>
      <c r="EP134" s="69"/>
      <c r="EQ134" s="69"/>
      <c r="ER134" s="69"/>
      <c r="ES134" s="69"/>
      <c r="ET134" s="69"/>
      <c r="EU134" s="69"/>
      <c r="EV134" s="69"/>
      <c r="EW134" s="69"/>
      <c r="EX134" s="69"/>
      <c r="EY134" s="69"/>
      <c r="EZ134" s="69"/>
      <c r="FA134" s="69"/>
      <c r="FB134" s="69"/>
      <c r="FC134" s="69"/>
      <c r="FD134" s="69"/>
      <c r="FE134" s="69"/>
      <c r="FF134" s="69"/>
      <c r="FG134" s="69"/>
      <c r="FH134" s="69"/>
      <c r="FI134" s="69"/>
      <c r="FJ134" s="69"/>
      <c r="FK134" s="69"/>
      <c r="FL134" s="69"/>
      <c r="FM134" s="69"/>
      <c r="FN134" s="69"/>
      <c r="FO134" s="69"/>
      <c r="FP134" s="69"/>
      <c r="FQ134" s="69"/>
      <c r="FR134" s="69"/>
      <c r="FS134" s="69"/>
      <c r="FT134" s="69"/>
      <c r="FU134" s="69"/>
      <c r="FV134" s="69"/>
      <c r="FW134" s="69"/>
      <c r="FX134" s="69"/>
      <c r="FY134" s="69"/>
      <c r="FZ134" s="69"/>
      <c r="GA134" s="69"/>
      <c r="GB134" s="69"/>
      <c r="GC134" s="69"/>
      <c r="GD134" s="69"/>
      <c r="GE134" s="69"/>
      <c r="GF134" s="69"/>
      <c r="GG134" s="165"/>
    </row>
    <row r="135" spans="1:189" s="66" customFormat="1" x14ac:dyDescent="0.2">
      <c r="A135"/>
      <c r="B135" s="82">
        <v>44105</v>
      </c>
      <c r="C135" s="68">
        <v>0</v>
      </c>
      <c r="D135" s="68">
        <v>0</v>
      </c>
      <c r="E135" s="68">
        <v>0</v>
      </c>
      <c r="F135" s="68">
        <v>0</v>
      </c>
      <c r="G135" s="68">
        <v>0</v>
      </c>
      <c r="H135" s="68">
        <v>0</v>
      </c>
      <c r="I135" s="68">
        <v>0</v>
      </c>
      <c r="J135" s="68">
        <v>0</v>
      </c>
      <c r="K135" s="68">
        <v>0</v>
      </c>
      <c r="L135" s="68">
        <v>0</v>
      </c>
      <c r="M135" s="68">
        <v>0</v>
      </c>
      <c r="N135" s="68">
        <v>0</v>
      </c>
      <c r="O135" s="68">
        <v>0</v>
      </c>
      <c r="P135" s="68">
        <v>0</v>
      </c>
      <c r="Q135" s="68">
        <v>0</v>
      </c>
      <c r="R135" s="68">
        <v>0</v>
      </c>
      <c r="S135" s="68">
        <v>0</v>
      </c>
      <c r="T135" s="68">
        <v>0</v>
      </c>
      <c r="U135" s="68">
        <v>0</v>
      </c>
      <c r="V135" s="68">
        <v>0</v>
      </c>
      <c r="W135" s="68">
        <v>0</v>
      </c>
      <c r="X135" s="68">
        <v>0</v>
      </c>
      <c r="Y135" s="68">
        <v>0</v>
      </c>
      <c r="Z135" s="68">
        <v>0</v>
      </c>
      <c r="AA135" s="68">
        <v>0</v>
      </c>
      <c r="AB135" s="68">
        <v>0</v>
      </c>
      <c r="AC135" s="68">
        <v>0</v>
      </c>
      <c r="AD135" s="68">
        <v>0</v>
      </c>
      <c r="AE135" s="68">
        <v>0</v>
      </c>
      <c r="AF135" s="68">
        <v>0</v>
      </c>
      <c r="AG135" s="68">
        <v>0</v>
      </c>
      <c r="AH135" s="68">
        <v>0</v>
      </c>
      <c r="AI135" s="68">
        <v>0</v>
      </c>
      <c r="AJ135" s="68">
        <v>0</v>
      </c>
      <c r="AK135" s="68">
        <v>0</v>
      </c>
      <c r="AL135" s="68">
        <v>0</v>
      </c>
      <c r="AM135" s="68">
        <v>0</v>
      </c>
      <c r="AN135" s="68">
        <v>0</v>
      </c>
      <c r="AO135" s="68">
        <v>0</v>
      </c>
      <c r="AP135" s="68">
        <v>0</v>
      </c>
      <c r="AQ135" s="68">
        <v>0</v>
      </c>
      <c r="AR135" s="68">
        <v>0</v>
      </c>
      <c r="AS135" s="68">
        <v>0</v>
      </c>
      <c r="AT135" s="68">
        <v>0</v>
      </c>
      <c r="AU135" s="68">
        <v>0</v>
      </c>
      <c r="AV135" s="68">
        <v>0</v>
      </c>
      <c r="AW135" s="68">
        <v>0</v>
      </c>
      <c r="AX135" s="68">
        <v>0</v>
      </c>
      <c r="AY135" s="68">
        <v>0</v>
      </c>
      <c r="AZ135" s="68">
        <v>0</v>
      </c>
      <c r="BA135" s="68">
        <v>0</v>
      </c>
      <c r="BB135" s="68">
        <v>0</v>
      </c>
      <c r="BC135" s="68">
        <v>0</v>
      </c>
      <c r="BD135" s="68">
        <v>0</v>
      </c>
      <c r="BE135" s="68">
        <v>0</v>
      </c>
      <c r="BF135" s="68">
        <v>0</v>
      </c>
      <c r="BG135" s="68">
        <v>0</v>
      </c>
      <c r="BH135" s="68">
        <v>0</v>
      </c>
      <c r="BI135" s="68">
        <v>0</v>
      </c>
      <c r="BJ135" s="68">
        <v>0</v>
      </c>
      <c r="BK135" s="68">
        <v>0</v>
      </c>
      <c r="BL135" s="68">
        <v>0</v>
      </c>
      <c r="BM135" s="68">
        <v>0</v>
      </c>
      <c r="BN135" s="68">
        <v>0</v>
      </c>
      <c r="BO135" s="68">
        <v>0</v>
      </c>
      <c r="BP135" s="68">
        <v>0</v>
      </c>
      <c r="BQ135" s="68">
        <v>0</v>
      </c>
      <c r="BR135" s="68">
        <v>0</v>
      </c>
      <c r="BS135" s="68">
        <v>0</v>
      </c>
      <c r="BT135" s="68">
        <v>0</v>
      </c>
      <c r="BU135" s="68">
        <v>0</v>
      </c>
      <c r="BV135" s="68">
        <v>0</v>
      </c>
      <c r="BW135" s="68">
        <v>0</v>
      </c>
      <c r="BX135" s="68">
        <v>0</v>
      </c>
      <c r="BY135" s="68">
        <v>0</v>
      </c>
      <c r="BZ135" s="68">
        <v>0</v>
      </c>
      <c r="CA135" s="68">
        <v>0</v>
      </c>
      <c r="CB135" s="68">
        <v>0</v>
      </c>
      <c r="CC135" s="68">
        <v>0</v>
      </c>
      <c r="CD135" s="68">
        <v>0</v>
      </c>
      <c r="CE135" s="68">
        <v>0</v>
      </c>
      <c r="CF135" s="68">
        <v>0</v>
      </c>
      <c r="CG135" s="68">
        <v>0</v>
      </c>
      <c r="CH135" s="68">
        <v>0</v>
      </c>
      <c r="CI135" s="68">
        <v>0</v>
      </c>
      <c r="CJ135" s="68">
        <v>0</v>
      </c>
      <c r="CK135" s="68">
        <v>0</v>
      </c>
      <c r="CL135" s="68">
        <v>0</v>
      </c>
      <c r="CM135" s="68">
        <v>0</v>
      </c>
      <c r="CN135" s="68">
        <v>0</v>
      </c>
      <c r="CO135" s="68">
        <v>0</v>
      </c>
      <c r="CP135" s="68">
        <v>0</v>
      </c>
      <c r="CQ135" s="68">
        <v>0</v>
      </c>
      <c r="CR135" s="68">
        <v>0</v>
      </c>
      <c r="CS135" s="68">
        <v>0</v>
      </c>
      <c r="CT135" s="68">
        <v>0</v>
      </c>
      <c r="CU135" s="68">
        <v>0</v>
      </c>
      <c r="CV135" s="68">
        <v>0</v>
      </c>
      <c r="CW135" s="68">
        <v>0</v>
      </c>
      <c r="CX135" s="68">
        <v>0</v>
      </c>
      <c r="CY135" s="68">
        <v>0</v>
      </c>
      <c r="CZ135" s="68">
        <v>0</v>
      </c>
      <c r="DA135" s="68">
        <v>0</v>
      </c>
      <c r="DB135" s="68">
        <v>0</v>
      </c>
      <c r="DC135" s="68">
        <v>0</v>
      </c>
      <c r="DD135" s="68">
        <v>0</v>
      </c>
      <c r="DE135" s="68">
        <v>0</v>
      </c>
      <c r="DF135" s="68">
        <v>0</v>
      </c>
      <c r="DG135" s="68">
        <v>0</v>
      </c>
      <c r="DH135" s="68">
        <v>0</v>
      </c>
      <c r="DI135" s="94">
        <v>0</v>
      </c>
      <c r="DJ135" s="68">
        <v>0</v>
      </c>
      <c r="DK135" s="68">
        <v>0</v>
      </c>
      <c r="DL135" s="68">
        <v>0</v>
      </c>
      <c r="DM135" s="68">
        <v>0</v>
      </c>
      <c r="DN135" s="68">
        <v>0</v>
      </c>
      <c r="DO135" s="68">
        <v>0</v>
      </c>
      <c r="DP135" s="68">
        <v>-0.25984839326265785</v>
      </c>
      <c r="DQ135" s="68">
        <v>-0.37637667432373689</v>
      </c>
      <c r="DR135" s="68">
        <v>-0.50778626971933249</v>
      </c>
      <c r="DS135" s="68">
        <v>-0.55372091133340007</v>
      </c>
      <c r="DT135" s="68">
        <v>-0.71566662818747773</v>
      </c>
      <c r="DU135" s="67"/>
      <c r="DV135" s="68"/>
      <c r="DW135" s="69"/>
      <c r="DX135" s="69"/>
      <c r="DY135" s="69"/>
      <c r="DZ135" s="69"/>
      <c r="EA135" s="69"/>
      <c r="EB135" s="69"/>
      <c r="EC135" s="69"/>
      <c r="ED135" s="69"/>
      <c r="EE135" s="69"/>
      <c r="EF135" s="69"/>
      <c r="EG135" s="69"/>
      <c r="EH135" s="69"/>
      <c r="EI135" s="69"/>
      <c r="EJ135" s="69"/>
      <c r="EK135" s="69"/>
      <c r="EL135" s="69"/>
      <c r="EM135" s="69"/>
      <c r="EN135" s="69"/>
      <c r="EO135" s="69"/>
      <c r="EP135" s="69"/>
      <c r="EQ135" s="69"/>
      <c r="ER135" s="69"/>
      <c r="ES135" s="69"/>
      <c r="ET135" s="69"/>
      <c r="EU135" s="69"/>
      <c r="EV135" s="69"/>
      <c r="EW135" s="69"/>
      <c r="EX135" s="69"/>
      <c r="EY135" s="69"/>
      <c r="EZ135" s="69"/>
      <c r="FA135" s="69"/>
      <c r="FB135" s="69"/>
      <c r="FC135" s="69"/>
      <c r="FD135" s="69"/>
      <c r="FE135" s="69"/>
      <c r="FF135" s="69"/>
      <c r="FG135" s="69"/>
      <c r="FH135" s="69"/>
      <c r="FI135" s="69"/>
      <c r="FJ135" s="69"/>
      <c r="FK135" s="69"/>
      <c r="FL135" s="69"/>
      <c r="FM135" s="69"/>
      <c r="FN135" s="69"/>
      <c r="FO135" s="69"/>
      <c r="FP135" s="69"/>
      <c r="FQ135" s="69"/>
      <c r="FR135" s="69"/>
      <c r="FS135" s="69"/>
      <c r="FT135" s="69"/>
      <c r="FU135" s="69"/>
      <c r="FV135" s="69"/>
      <c r="FW135" s="69"/>
      <c r="FX135" s="69"/>
      <c r="FY135" s="69"/>
      <c r="FZ135" s="69"/>
      <c r="GA135" s="69"/>
      <c r="GB135" s="69"/>
      <c r="GC135" s="69"/>
      <c r="GD135" s="69"/>
      <c r="GE135" s="69"/>
      <c r="GF135" s="69"/>
      <c r="GG135" s="165"/>
    </row>
    <row r="136" spans="1:189" s="66" customFormat="1" x14ac:dyDescent="0.2">
      <c r="A136"/>
      <c r="B136" s="82">
        <v>44136</v>
      </c>
      <c r="C136" s="68">
        <v>0</v>
      </c>
      <c r="D136" s="68">
        <v>0</v>
      </c>
      <c r="E136" s="68">
        <v>0</v>
      </c>
      <c r="F136" s="68">
        <v>0</v>
      </c>
      <c r="G136" s="68">
        <v>0</v>
      </c>
      <c r="H136" s="68">
        <v>0</v>
      </c>
      <c r="I136" s="68">
        <v>0</v>
      </c>
      <c r="J136" s="68">
        <v>0</v>
      </c>
      <c r="K136" s="68">
        <v>0</v>
      </c>
      <c r="L136" s="68">
        <v>0</v>
      </c>
      <c r="M136" s="68">
        <v>0</v>
      </c>
      <c r="N136" s="68">
        <v>0</v>
      </c>
      <c r="O136" s="68">
        <v>0</v>
      </c>
      <c r="P136" s="68">
        <v>0</v>
      </c>
      <c r="Q136" s="68">
        <v>0</v>
      </c>
      <c r="R136" s="68">
        <v>0</v>
      </c>
      <c r="S136" s="68">
        <v>0</v>
      </c>
      <c r="T136" s="68">
        <v>0</v>
      </c>
      <c r="U136" s="68">
        <v>0</v>
      </c>
      <c r="V136" s="68">
        <v>0</v>
      </c>
      <c r="W136" s="68">
        <v>0</v>
      </c>
      <c r="X136" s="68">
        <v>0</v>
      </c>
      <c r="Y136" s="68">
        <v>0</v>
      </c>
      <c r="Z136" s="68">
        <v>0</v>
      </c>
      <c r="AA136" s="68">
        <v>0</v>
      </c>
      <c r="AB136" s="68">
        <v>0</v>
      </c>
      <c r="AC136" s="68">
        <v>0</v>
      </c>
      <c r="AD136" s="68">
        <v>0</v>
      </c>
      <c r="AE136" s="68">
        <v>0</v>
      </c>
      <c r="AF136" s="68">
        <v>0</v>
      </c>
      <c r="AG136" s="68">
        <v>0</v>
      </c>
      <c r="AH136" s="68">
        <v>0</v>
      </c>
      <c r="AI136" s="68">
        <v>0</v>
      </c>
      <c r="AJ136" s="68">
        <v>0</v>
      </c>
      <c r="AK136" s="68">
        <v>0</v>
      </c>
      <c r="AL136" s="68">
        <v>0</v>
      </c>
      <c r="AM136" s="68">
        <v>0</v>
      </c>
      <c r="AN136" s="68">
        <v>0</v>
      </c>
      <c r="AO136" s="68">
        <v>0</v>
      </c>
      <c r="AP136" s="68">
        <v>0</v>
      </c>
      <c r="AQ136" s="68">
        <v>0</v>
      </c>
      <c r="AR136" s="68">
        <v>0</v>
      </c>
      <c r="AS136" s="68">
        <v>0</v>
      </c>
      <c r="AT136" s="68">
        <v>0</v>
      </c>
      <c r="AU136" s="68">
        <v>0</v>
      </c>
      <c r="AV136" s="68">
        <v>0</v>
      </c>
      <c r="AW136" s="68">
        <v>0</v>
      </c>
      <c r="AX136" s="68">
        <v>0</v>
      </c>
      <c r="AY136" s="68">
        <v>0</v>
      </c>
      <c r="AZ136" s="68">
        <v>0</v>
      </c>
      <c r="BA136" s="68">
        <v>0</v>
      </c>
      <c r="BB136" s="68">
        <v>0</v>
      </c>
      <c r="BC136" s="68">
        <v>0</v>
      </c>
      <c r="BD136" s="68">
        <v>0</v>
      </c>
      <c r="BE136" s="68">
        <v>0</v>
      </c>
      <c r="BF136" s="68">
        <v>0</v>
      </c>
      <c r="BG136" s="68">
        <v>0</v>
      </c>
      <c r="BH136" s="68">
        <v>0</v>
      </c>
      <c r="BI136" s="68">
        <v>0</v>
      </c>
      <c r="BJ136" s="68">
        <v>0</v>
      </c>
      <c r="BK136" s="68">
        <v>0</v>
      </c>
      <c r="BL136" s="68">
        <v>0</v>
      </c>
      <c r="BM136" s="68">
        <v>0</v>
      </c>
      <c r="BN136" s="68">
        <v>0</v>
      </c>
      <c r="BO136" s="68">
        <v>0</v>
      </c>
      <c r="BP136" s="68">
        <v>0</v>
      </c>
      <c r="BQ136" s="68">
        <v>0</v>
      </c>
      <c r="BR136" s="68">
        <v>0</v>
      </c>
      <c r="BS136" s="68">
        <v>0</v>
      </c>
      <c r="BT136" s="68">
        <v>0</v>
      </c>
      <c r="BU136" s="68">
        <v>0</v>
      </c>
      <c r="BV136" s="68">
        <v>0</v>
      </c>
      <c r="BW136" s="68">
        <v>0</v>
      </c>
      <c r="BX136" s="68">
        <v>0</v>
      </c>
      <c r="BY136" s="68">
        <v>0</v>
      </c>
      <c r="BZ136" s="68">
        <v>0</v>
      </c>
      <c r="CA136" s="68">
        <v>0</v>
      </c>
      <c r="CB136" s="68">
        <v>0</v>
      </c>
      <c r="CC136" s="68">
        <v>0</v>
      </c>
      <c r="CD136" s="68">
        <v>0</v>
      </c>
      <c r="CE136" s="68">
        <v>0</v>
      </c>
      <c r="CF136" s="68">
        <v>0</v>
      </c>
      <c r="CG136" s="68">
        <v>0</v>
      </c>
      <c r="CH136" s="68">
        <v>0</v>
      </c>
      <c r="CI136" s="68">
        <v>0</v>
      </c>
      <c r="CJ136" s="68">
        <v>0</v>
      </c>
      <c r="CK136" s="68">
        <v>0</v>
      </c>
      <c r="CL136" s="68">
        <v>0</v>
      </c>
      <c r="CM136" s="68">
        <v>0</v>
      </c>
      <c r="CN136" s="68">
        <v>0</v>
      </c>
      <c r="CO136" s="68">
        <v>0</v>
      </c>
      <c r="CP136" s="68">
        <v>0</v>
      </c>
      <c r="CQ136" s="68">
        <v>0</v>
      </c>
      <c r="CR136" s="68">
        <v>0</v>
      </c>
      <c r="CS136" s="68">
        <v>0</v>
      </c>
      <c r="CT136" s="68">
        <v>0</v>
      </c>
      <c r="CU136" s="68">
        <v>0</v>
      </c>
      <c r="CV136" s="68">
        <v>0</v>
      </c>
      <c r="CW136" s="68">
        <v>0</v>
      </c>
      <c r="CX136" s="68">
        <v>0</v>
      </c>
      <c r="CY136" s="68">
        <v>0</v>
      </c>
      <c r="CZ136" s="68">
        <v>0</v>
      </c>
      <c r="DA136" s="68">
        <v>0</v>
      </c>
      <c r="DB136" s="68">
        <v>0</v>
      </c>
      <c r="DC136" s="68">
        <v>0</v>
      </c>
      <c r="DD136" s="68">
        <v>0</v>
      </c>
      <c r="DE136" s="68">
        <v>0</v>
      </c>
      <c r="DF136" s="68">
        <v>0</v>
      </c>
      <c r="DG136" s="68">
        <v>0</v>
      </c>
      <c r="DH136" s="68">
        <v>0</v>
      </c>
      <c r="DI136" s="68">
        <v>0</v>
      </c>
      <c r="DJ136" s="94">
        <v>0</v>
      </c>
      <c r="DK136" s="68">
        <v>0</v>
      </c>
      <c r="DL136" s="68">
        <v>0</v>
      </c>
      <c r="DM136" s="68">
        <v>0</v>
      </c>
      <c r="DN136" s="68">
        <v>0</v>
      </c>
      <c r="DO136" s="68">
        <v>0</v>
      </c>
      <c r="DP136" s="68">
        <v>0</v>
      </c>
      <c r="DQ136" s="68">
        <v>0</v>
      </c>
      <c r="DR136" s="68">
        <v>0</v>
      </c>
      <c r="DS136" s="68">
        <v>0</v>
      </c>
      <c r="DT136" s="68">
        <v>0</v>
      </c>
      <c r="DU136" s="68">
        <v>0</v>
      </c>
      <c r="DV136" s="67"/>
      <c r="DW136" s="68"/>
      <c r="DX136" s="69"/>
      <c r="DY136" s="69"/>
      <c r="DZ136" s="69"/>
      <c r="EA136" s="69"/>
      <c r="EB136" s="69"/>
      <c r="EC136" s="69"/>
      <c r="ED136" s="69"/>
      <c r="EE136" s="69"/>
      <c r="EF136" s="69"/>
      <c r="EG136" s="69"/>
      <c r="EH136" s="69"/>
      <c r="EI136" s="69"/>
      <c r="EJ136" s="69"/>
      <c r="EK136" s="69"/>
      <c r="EL136" s="69"/>
      <c r="EM136" s="69"/>
      <c r="EN136" s="69"/>
      <c r="EO136" s="69"/>
      <c r="EP136" s="69"/>
      <c r="EQ136" s="69"/>
      <c r="ER136" s="69"/>
      <c r="ES136" s="69"/>
      <c r="ET136" s="69"/>
      <c r="EU136" s="69"/>
      <c r="EV136" s="69"/>
      <c r="EW136" s="69"/>
      <c r="EX136" s="69"/>
      <c r="EY136" s="69"/>
      <c r="EZ136" s="69"/>
      <c r="FA136" s="69"/>
      <c r="FB136" s="69"/>
      <c r="FC136" s="69"/>
      <c r="FD136" s="69"/>
      <c r="FE136" s="69"/>
      <c r="FF136" s="69"/>
      <c r="FG136" s="69"/>
      <c r="FH136" s="69"/>
      <c r="FI136" s="69"/>
      <c r="FJ136" s="69"/>
      <c r="FK136" s="69"/>
      <c r="FL136" s="69"/>
      <c r="FM136" s="69"/>
      <c r="FN136" s="69"/>
      <c r="FO136" s="69"/>
      <c r="FP136" s="69"/>
      <c r="FQ136" s="69"/>
      <c r="FR136" s="69"/>
      <c r="FS136" s="69"/>
      <c r="FT136" s="69"/>
      <c r="FU136" s="69"/>
      <c r="FV136" s="69"/>
      <c r="FW136" s="69"/>
      <c r="FX136" s="69"/>
      <c r="FY136" s="69"/>
      <c r="FZ136" s="69"/>
      <c r="GA136" s="69"/>
      <c r="GB136" s="69"/>
      <c r="GC136" s="69"/>
      <c r="GD136" s="69"/>
      <c r="GE136" s="69"/>
      <c r="GF136" s="69"/>
      <c r="GG136" s="165"/>
    </row>
    <row r="137" spans="1:189" s="66" customFormat="1" x14ac:dyDescent="0.2">
      <c r="A137"/>
      <c r="B137" s="82">
        <v>44166</v>
      </c>
      <c r="C137" s="68">
        <v>0</v>
      </c>
      <c r="D137" s="68">
        <v>0</v>
      </c>
      <c r="E137" s="68">
        <v>0</v>
      </c>
      <c r="F137" s="68">
        <v>0</v>
      </c>
      <c r="G137" s="68">
        <v>0</v>
      </c>
      <c r="H137" s="68">
        <v>0</v>
      </c>
      <c r="I137" s="68">
        <v>0</v>
      </c>
      <c r="J137" s="68">
        <v>0</v>
      </c>
      <c r="K137" s="68">
        <v>0</v>
      </c>
      <c r="L137" s="68">
        <v>0</v>
      </c>
      <c r="M137" s="68">
        <v>0</v>
      </c>
      <c r="N137" s="68">
        <v>0</v>
      </c>
      <c r="O137" s="68">
        <v>0</v>
      </c>
      <c r="P137" s="68">
        <v>0</v>
      </c>
      <c r="Q137" s="68">
        <v>0</v>
      </c>
      <c r="R137" s="68">
        <v>0</v>
      </c>
      <c r="S137" s="68">
        <v>0</v>
      </c>
      <c r="T137" s="68">
        <v>0</v>
      </c>
      <c r="U137" s="68">
        <v>0</v>
      </c>
      <c r="V137" s="68">
        <v>0</v>
      </c>
      <c r="W137" s="68">
        <v>0</v>
      </c>
      <c r="X137" s="68">
        <v>0</v>
      </c>
      <c r="Y137" s="68">
        <v>0</v>
      </c>
      <c r="Z137" s="68">
        <v>0</v>
      </c>
      <c r="AA137" s="68">
        <v>0</v>
      </c>
      <c r="AB137" s="68">
        <v>0</v>
      </c>
      <c r="AC137" s="68">
        <v>0</v>
      </c>
      <c r="AD137" s="68">
        <v>0</v>
      </c>
      <c r="AE137" s="68">
        <v>0</v>
      </c>
      <c r="AF137" s="68">
        <v>0</v>
      </c>
      <c r="AG137" s="68">
        <v>0</v>
      </c>
      <c r="AH137" s="68">
        <v>0</v>
      </c>
      <c r="AI137" s="68">
        <v>0</v>
      </c>
      <c r="AJ137" s="68">
        <v>0</v>
      </c>
      <c r="AK137" s="68">
        <v>0</v>
      </c>
      <c r="AL137" s="68">
        <v>0</v>
      </c>
      <c r="AM137" s="68">
        <v>0</v>
      </c>
      <c r="AN137" s="68">
        <v>0</v>
      </c>
      <c r="AO137" s="68">
        <v>0</v>
      </c>
      <c r="AP137" s="68">
        <v>0</v>
      </c>
      <c r="AQ137" s="68">
        <v>0</v>
      </c>
      <c r="AR137" s="68">
        <v>0</v>
      </c>
      <c r="AS137" s="68">
        <v>0</v>
      </c>
      <c r="AT137" s="68">
        <v>0</v>
      </c>
      <c r="AU137" s="68">
        <v>0</v>
      </c>
      <c r="AV137" s="68">
        <v>0</v>
      </c>
      <c r="AW137" s="68">
        <v>0</v>
      </c>
      <c r="AX137" s="68">
        <v>0</v>
      </c>
      <c r="AY137" s="68">
        <v>0</v>
      </c>
      <c r="AZ137" s="68">
        <v>0</v>
      </c>
      <c r="BA137" s="68">
        <v>0</v>
      </c>
      <c r="BB137" s="68">
        <v>0</v>
      </c>
      <c r="BC137" s="68">
        <v>0</v>
      </c>
      <c r="BD137" s="68">
        <v>0</v>
      </c>
      <c r="BE137" s="68">
        <v>0</v>
      </c>
      <c r="BF137" s="68">
        <v>0</v>
      </c>
      <c r="BG137" s="68">
        <v>0</v>
      </c>
      <c r="BH137" s="68">
        <v>0</v>
      </c>
      <c r="BI137" s="68">
        <v>0</v>
      </c>
      <c r="BJ137" s="68">
        <v>0</v>
      </c>
      <c r="BK137" s="68">
        <v>0</v>
      </c>
      <c r="BL137" s="68">
        <v>0</v>
      </c>
      <c r="BM137" s="68">
        <v>0</v>
      </c>
      <c r="BN137" s="68">
        <v>0</v>
      </c>
      <c r="BO137" s="68">
        <v>0</v>
      </c>
      <c r="BP137" s="68">
        <v>0</v>
      </c>
      <c r="BQ137" s="68">
        <v>0</v>
      </c>
      <c r="BR137" s="68">
        <v>0</v>
      </c>
      <c r="BS137" s="68">
        <v>0</v>
      </c>
      <c r="BT137" s="68">
        <v>0</v>
      </c>
      <c r="BU137" s="68">
        <v>0</v>
      </c>
      <c r="BV137" s="68">
        <v>0</v>
      </c>
      <c r="BW137" s="68">
        <v>0</v>
      </c>
      <c r="BX137" s="68">
        <v>0</v>
      </c>
      <c r="BY137" s="68">
        <v>0</v>
      </c>
      <c r="BZ137" s="68">
        <v>0</v>
      </c>
      <c r="CA137" s="68">
        <v>0</v>
      </c>
      <c r="CB137" s="68">
        <v>0</v>
      </c>
      <c r="CC137" s="68">
        <v>0</v>
      </c>
      <c r="CD137" s="68">
        <v>0</v>
      </c>
      <c r="CE137" s="68">
        <v>0</v>
      </c>
      <c r="CF137" s="68">
        <v>0</v>
      </c>
      <c r="CG137" s="68">
        <v>0</v>
      </c>
      <c r="CH137" s="68">
        <v>0</v>
      </c>
      <c r="CI137" s="68">
        <v>0</v>
      </c>
      <c r="CJ137" s="68">
        <v>0</v>
      </c>
      <c r="CK137" s="68">
        <v>0</v>
      </c>
      <c r="CL137" s="68">
        <v>0</v>
      </c>
      <c r="CM137" s="68">
        <v>0</v>
      </c>
      <c r="CN137" s="68">
        <v>0</v>
      </c>
      <c r="CO137" s="68">
        <v>0</v>
      </c>
      <c r="CP137" s="68">
        <v>0</v>
      </c>
      <c r="CQ137" s="68">
        <v>0</v>
      </c>
      <c r="CR137" s="68">
        <v>0</v>
      </c>
      <c r="CS137" s="68">
        <v>0</v>
      </c>
      <c r="CT137" s="68">
        <v>0</v>
      </c>
      <c r="CU137" s="68">
        <v>0</v>
      </c>
      <c r="CV137" s="68">
        <v>0</v>
      </c>
      <c r="CW137" s="68">
        <v>0</v>
      </c>
      <c r="CX137" s="68">
        <v>0</v>
      </c>
      <c r="CY137" s="68">
        <v>0</v>
      </c>
      <c r="CZ137" s="68">
        <v>0</v>
      </c>
      <c r="DA137" s="68">
        <v>0</v>
      </c>
      <c r="DB137" s="68">
        <v>0</v>
      </c>
      <c r="DC137" s="68">
        <v>0</v>
      </c>
      <c r="DD137" s="68">
        <v>0</v>
      </c>
      <c r="DE137" s="68">
        <v>0</v>
      </c>
      <c r="DF137" s="68">
        <v>0</v>
      </c>
      <c r="DG137" s="68">
        <v>0</v>
      </c>
      <c r="DH137" s="68">
        <v>0</v>
      </c>
      <c r="DI137" s="68">
        <v>0</v>
      </c>
      <c r="DJ137" s="68">
        <v>0</v>
      </c>
      <c r="DK137" s="94">
        <v>0</v>
      </c>
      <c r="DL137" s="68">
        <v>0</v>
      </c>
      <c r="DM137" s="68">
        <v>0</v>
      </c>
      <c r="DN137" s="68">
        <v>0</v>
      </c>
      <c r="DO137" s="68">
        <v>0</v>
      </c>
      <c r="DP137" s="68">
        <v>0</v>
      </c>
      <c r="DQ137" s="68">
        <v>0</v>
      </c>
      <c r="DR137" s="68">
        <v>0</v>
      </c>
      <c r="DS137" s="68">
        <v>0</v>
      </c>
      <c r="DT137" s="68">
        <v>0</v>
      </c>
      <c r="DU137" s="68">
        <v>0</v>
      </c>
      <c r="DV137" s="68">
        <v>0</v>
      </c>
      <c r="DW137" s="67"/>
      <c r="DX137" s="68"/>
      <c r="DY137" s="69"/>
      <c r="DZ137" s="69"/>
      <c r="EA137" s="69"/>
      <c r="EB137" s="69"/>
      <c r="EC137" s="69"/>
      <c r="ED137" s="69"/>
      <c r="EE137" s="69"/>
      <c r="EF137" s="69"/>
      <c r="EG137" s="69"/>
      <c r="EH137" s="69"/>
      <c r="EI137" s="69"/>
      <c r="EJ137" s="69"/>
      <c r="EK137" s="69"/>
      <c r="EL137" s="69"/>
      <c r="EM137" s="69"/>
      <c r="EN137" s="69"/>
      <c r="EO137" s="69"/>
      <c r="EP137" s="69"/>
      <c r="EQ137" s="69"/>
      <c r="ER137" s="69"/>
      <c r="ES137" s="69"/>
      <c r="ET137" s="69"/>
      <c r="EU137" s="69"/>
      <c r="EV137" s="69"/>
      <c r="EW137" s="69"/>
      <c r="EX137" s="69"/>
      <c r="EY137" s="69"/>
      <c r="EZ137" s="69"/>
      <c r="FA137" s="69"/>
      <c r="FB137" s="69"/>
      <c r="FC137" s="69"/>
      <c r="FD137" s="69"/>
      <c r="FE137" s="69"/>
      <c r="FF137" s="69"/>
      <c r="FG137" s="69"/>
      <c r="FH137" s="69"/>
      <c r="FI137" s="69"/>
      <c r="FJ137" s="69"/>
      <c r="FK137" s="69"/>
      <c r="FL137" s="69"/>
      <c r="FM137" s="69"/>
      <c r="FN137" s="69"/>
      <c r="FO137" s="69"/>
      <c r="FP137" s="69"/>
      <c r="FQ137" s="69"/>
      <c r="FR137" s="69"/>
      <c r="FS137" s="69"/>
      <c r="FT137" s="69"/>
      <c r="FU137" s="69"/>
      <c r="FV137" s="69"/>
      <c r="FW137" s="69"/>
      <c r="FX137" s="69"/>
      <c r="FY137" s="69"/>
      <c r="FZ137" s="69"/>
      <c r="GA137" s="69"/>
      <c r="GB137" s="69"/>
      <c r="GC137" s="69"/>
      <c r="GD137" s="69"/>
      <c r="GE137" s="69"/>
      <c r="GF137" s="69"/>
      <c r="GG137" s="165"/>
    </row>
    <row r="138" spans="1:189" s="66" customFormat="1" x14ac:dyDescent="0.2">
      <c r="A138"/>
      <c r="B138" s="82">
        <v>44197</v>
      </c>
      <c r="C138" s="68">
        <v>0</v>
      </c>
      <c r="D138" s="68">
        <v>0</v>
      </c>
      <c r="E138" s="68">
        <v>0</v>
      </c>
      <c r="F138" s="68">
        <v>0</v>
      </c>
      <c r="G138" s="68">
        <v>0</v>
      </c>
      <c r="H138" s="68">
        <v>0</v>
      </c>
      <c r="I138" s="68">
        <v>0</v>
      </c>
      <c r="J138" s="68">
        <v>0</v>
      </c>
      <c r="K138" s="68">
        <v>0</v>
      </c>
      <c r="L138" s="68">
        <v>0</v>
      </c>
      <c r="M138" s="68">
        <v>0</v>
      </c>
      <c r="N138" s="68">
        <v>0</v>
      </c>
      <c r="O138" s="68">
        <v>0</v>
      </c>
      <c r="P138" s="68">
        <v>0</v>
      </c>
      <c r="Q138" s="68">
        <v>0</v>
      </c>
      <c r="R138" s="68">
        <v>0</v>
      </c>
      <c r="S138" s="68">
        <v>0</v>
      </c>
      <c r="T138" s="68">
        <v>0</v>
      </c>
      <c r="U138" s="68">
        <v>0</v>
      </c>
      <c r="V138" s="68">
        <v>0</v>
      </c>
      <c r="W138" s="68">
        <v>0</v>
      </c>
      <c r="X138" s="68">
        <v>0</v>
      </c>
      <c r="Y138" s="68">
        <v>0</v>
      </c>
      <c r="Z138" s="68">
        <v>0</v>
      </c>
      <c r="AA138" s="68">
        <v>0</v>
      </c>
      <c r="AB138" s="68">
        <v>0</v>
      </c>
      <c r="AC138" s="68">
        <v>0</v>
      </c>
      <c r="AD138" s="68">
        <v>0</v>
      </c>
      <c r="AE138" s="68">
        <v>0</v>
      </c>
      <c r="AF138" s="68">
        <v>0</v>
      </c>
      <c r="AG138" s="68">
        <v>0</v>
      </c>
      <c r="AH138" s="68">
        <v>0</v>
      </c>
      <c r="AI138" s="68">
        <v>0</v>
      </c>
      <c r="AJ138" s="68">
        <v>0</v>
      </c>
      <c r="AK138" s="68">
        <v>0</v>
      </c>
      <c r="AL138" s="68">
        <v>0</v>
      </c>
      <c r="AM138" s="68">
        <v>0</v>
      </c>
      <c r="AN138" s="68">
        <v>0</v>
      </c>
      <c r="AO138" s="68">
        <v>0</v>
      </c>
      <c r="AP138" s="68">
        <v>0</v>
      </c>
      <c r="AQ138" s="68">
        <v>0</v>
      </c>
      <c r="AR138" s="68">
        <v>0</v>
      </c>
      <c r="AS138" s="68">
        <v>0</v>
      </c>
      <c r="AT138" s="68">
        <v>0</v>
      </c>
      <c r="AU138" s="68">
        <v>0</v>
      </c>
      <c r="AV138" s="68">
        <v>0</v>
      </c>
      <c r="AW138" s="68">
        <v>0</v>
      </c>
      <c r="AX138" s="68">
        <v>0</v>
      </c>
      <c r="AY138" s="68">
        <v>0</v>
      </c>
      <c r="AZ138" s="68">
        <v>0</v>
      </c>
      <c r="BA138" s="68">
        <v>0</v>
      </c>
      <c r="BB138" s="68">
        <v>0</v>
      </c>
      <c r="BC138" s="68">
        <v>0</v>
      </c>
      <c r="BD138" s="68">
        <v>0</v>
      </c>
      <c r="BE138" s="68">
        <v>0</v>
      </c>
      <c r="BF138" s="68">
        <v>0</v>
      </c>
      <c r="BG138" s="68">
        <v>0</v>
      </c>
      <c r="BH138" s="68">
        <v>0</v>
      </c>
      <c r="BI138" s="68">
        <v>0</v>
      </c>
      <c r="BJ138" s="68">
        <v>0</v>
      </c>
      <c r="BK138" s="68">
        <v>0</v>
      </c>
      <c r="BL138" s="68">
        <v>0</v>
      </c>
      <c r="BM138" s="68">
        <v>0</v>
      </c>
      <c r="BN138" s="68">
        <v>0</v>
      </c>
      <c r="BO138" s="68">
        <v>0</v>
      </c>
      <c r="BP138" s="68">
        <v>0</v>
      </c>
      <c r="BQ138" s="68">
        <v>0</v>
      </c>
      <c r="BR138" s="68">
        <v>0</v>
      </c>
      <c r="BS138" s="68">
        <v>0</v>
      </c>
      <c r="BT138" s="68">
        <v>0</v>
      </c>
      <c r="BU138" s="68">
        <v>0</v>
      </c>
      <c r="BV138" s="68">
        <v>0</v>
      </c>
      <c r="BW138" s="68">
        <v>0</v>
      </c>
      <c r="BX138" s="68">
        <v>0</v>
      </c>
      <c r="BY138" s="68">
        <v>0</v>
      </c>
      <c r="BZ138" s="68">
        <v>0</v>
      </c>
      <c r="CA138" s="68">
        <v>0</v>
      </c>
      <c r="CB138" s="68">
        <v>0</v>
      </c>
      <c r="CC138" s="68">
        <v>0</v>
      </c>
      <c r="CD138" s="68">
        <v>0</v>
      </c>
      <c r="CE138" s="68">
        <v>0</v>
      </c>
      <c r="CF138" s="68">
        <v>0</v>
      </c>
      <c r="CG138" s="68">
        <v>0</v>
      </c>
      <c r="CH138" s="68">
        <v>0</v>
      </c>
      <c r="CI138" s="68">
        <v>0</v>
      </c>
      <c r="CJ138" s="68">
        <v>0</v>
      </c>
      <c r="CK138" s="68">
        <v>0</v>
      </c>
      <c r="CL138" s="68">
        <v>0</v>
      </c>
      <c r="CM138" s="68">
        <v>0</v>
      </c>
      <c r="CN138" s="68">
        <v>0</v>
      </c>
      <c r="CO138" s="68">
        <v>0</v>
      </c>
      <c r="CP138" s="68">
        <v>0</v>
      </c>
      <c r="CQ138" s="68">
        <v>0</v>
      </c>
      <c r="CR138" s="68">
        <v>0</v>
      </c>
      <c r="CS138" s="68">
        <v>0</v>
      </c>
      <c r="CT138" s="68">
        <v>0</v>
      </c>
      <c r="CU138" s="68">
        <v>0</v>
      </c>
      <c r="CV138" s="68">
        <v>0</v>
      </c>
      <c r="CW138" s="68">
        <v>0</v>
      </c>
      <c r="CX138" s="68">
        <v>0</v>
      </c>
      <c r="CY138" s="68">
        <v>0</v>
      </c>
      <c r="CZ138" s="68">
        <v>0</v>
      </c>
      <c r="DA138" s="68">
        <v>0</v>
      </c>
      <c r="DB138" s="68">
        <v>0</v>
      </c>
      <c r="DC138" s="68">
        <v>0</v>
      </c>
      <c r="DD138" s="68">
        <v>0</v>
      </c>
      <c r="DE138" s="68">
        <v>0</v>
      </c>
      <c r="DF138" s="68">
        <v>0</v>
      </c>
      <c r="DG138" s="68">
        <v>0</v>
      </c>
      <c r="DH138" s="68">
        <v>0</v>
      </c>
      <c r="DI138" s="68">
        <v>0</v>
      </c>
      <c r="DJ138" s="68">
        <v>0</v>
      </c>
      <c r="DK138" s="68">
        <v>0</v>
      </c>
      <c r="DL138" s="94">
        <v>0</v>
      </c>
      <c r="DM138" s="68">
        <v>0</v>
      </c>
      <c r="DN138" s="68">
        <v>0</v>
      </c>
      <c r="DO138" s="68">
        <v>0</v>
      </c>
      <c r="DP138" s="68">
        <v>0</v>
      </c>
      <c r="DQ138" s="68">
        <v>0</v>
      </c>
      <c r="DR138" s="68">
        <v>0</v>
      </c>
      <c r="DS138" s="68">
        <v>0</v>
      </c>
      <c r="DT138" s="68">
        <v>0</v>
      </c>
      <c r="DU138" s="68">
        <v>0</v>
      </c>
      <c r="DV138" s="68">
        <v>0</v>
      </c>
      <c r="DW138" s="68">
        <v>0</v>
      </c>
      <c r="DX138" s="67"/>
      <c r="DY138" s="68"/>
      <c r="DZ138" s="69"/>
      <c r="EA138" s="69"/>
      <c r="EB138" s="69"/>
      <c r="EC138" s="69"/>
      <c r="ED138" s="69"/>
      <c r="EE138" s="69"/>
      <c r="EF138" s="69"/>
      <c r="EG138" s="69"/>
      <c r="EH138" s="69"/>
      <c r="EI138" s="69"/>
      <c r="EJ138" s="69"/>
      <c r="EK138" s="69"/>
      <c r="EL138" s="69"/>
      <c r="EM138" s="69"/>
      <c r="EN138" s="69"/>
      <c r="EO138" s="69"/>
      <c r="EP138" s="69"/>
      <c r="EQ138" s="69"/>
      <c r="ER138" s="69"/>
      <c r="ES138" s="69"/>
      <c r="ET138" s="69"/>
      <c r="EU138" s="69"/>
      <c r="EV138" s="69"/>
      <c r="EW138" s="69"/>
      <c r="EX138" s="69"/>
      <c r="EY138" s="69"/>
      <c r="EZ138" s="69"/>
      <c r="FA138" s="69"/>
      <c r="FB138" s="69"/>
      <c r="FC138" s="69"/>
      <c r="FD138" s="69"/>
      <c r="FE138" s="69"/>
      <c r="FF138" s="69"/>
      <c r="FG138" s="69"/>
      <c r="FH138" s="69"/>
      <c r="FI138" s="69"/>
      <c r="FJ138" s="69"/>
      <c r="FK138" s="69"/>
      <c r="FL138" s="69"/>
      <c r="FM138" s="69"/>
      <c r="FN138" s="69"/>
      <c r="FO138" s="69"/>
      <c r="FP138" s="69"/>
      <c r="FQ138" s="69"/>
      <c r="FR138" s="69"/>
      <c r="FS138" s="69"/>
      <c r="FT138" s="69"/>
      <c r="FU138" s="69"/>
      <c r="FV138" s="69"/>
      <c r="FW138" s="69"/>
      <c r="FX138" s="69"/>
      <c r="FY138" s="69"/>
      <c r="FZ138" s="69"/>
      <c r="GA138" s="69"/>
      <c r="GB138" s="69"/>
      <c r="GC138" s="69"/>
      <c r="GD138" s="69"/>
      <c r="GE138" s="69"/>
      <c r="GF138" s="69"/>
      <c r="GG138" s="165"/>
    </row>
    <row r="139" spans="1:189" s="66" customFormat="1" x14ac:dyDescent="0.2">
      <c r="A139"/>
      <c r="B139" s="82">
        <v>44228</v>
      </c>
      <c r="C139" s="68">
        <v>0</v>
      </c>
      <c r="D139" s="68">
        <v>0</v>
      </c>
      <c r="E139" s="68">
        <v>0</v>
      </c>
      <c r="F139" s="68">
        <v>0</v>
      </c>
      <c r="G139" s="68">
        <v>0</v>
      </c>
      <c r="H139" s="68">
        <v>0</v>
      </c>
      <c r="I139" s="68">
        <v>0</v>
      </c>
      <c r="J139" s="68">
        <v>0</v>
      </c>
      <c r="K139" s="68">
        <v>0</v>
      </c>
      <c r="L139" s="68">
        <v>0</v>
      </c>
      <c r="M139" s="68">
        <v>0</v>
      </c>
      <c r="N139" s="68">
        <v>0</v>
      </c>
      <c r="O139" s="68">
        <v>0</v>
      </c>
      <c r="P139" s="68">
        <v>0</v>
      </c>
      <c r="Q139" s="68">
        <v>0</v>
      </c>
      <c r="R139" s="68">
        <v>0</v>
      </c>
      <c r="S139" s="68">
        <v>0</v>
      </c>
      <c r="T139" s="68">
        <v>0</v>
      </c>
      <c r="U139" s="68">
        <v>0</v>
      </c>
      <c r="V139" s="68">
        <v>0</v>
      </c>
      <c r="W139" s="68">
        <v>0</v>
      </c>
      <c r="X139" s="68">
        <v>0</v>
      </c>
      <c r="Y139" s="68">
        <v>0</v>
      </c>
      <c r="Z139" s="68">
        <v>0</v>
      </c>
      <c r="AA139" s="68">
        <v>0</v>
      </c>
      <c r="AB139" s="68">
        <v>0</v>
      </c>
      <c r="AC139" s="68">
        <v>0</v>
      </c>
      <c r="AD139" s="68">
        <v>0</v>
      </c>
      <c r="AE139" s="68">
        <v>0</v>
      </c>
      <c r="AF139" s="68">
        <v>0</v>
      </c>
      <c r="AG139" s="68">
        <v>0</v>
      </c>
      <c r="AH139" s="68">
        <v>0</v>
      </c>
      <c r="AI139" s="68">
        <v>0</v>
      </c>
      <c r="AJ139" s="68">
        <v>0</v>
      </c>
      <c r="AK139" s="68">
        <v>0</v>
      </c>
      <c r="AL139" s="68">
        <v>0</v>
      </c>
      <c r="AM139" s="68">
        <v>0</v>
      </c>
      <c r="AN139" s="68">
        <v>0</v>
      </c>
      <c r="AO139" s="68">
        <v>0</v>
      </c>
      <c r="AP139" s="68">
        <v>0</v>
      </c>
      <c r="AQ139" s="68">
        <v>0</v>
      </c>
      <c r="AR139" s="68">
        <v>0</v>
      </c>
      <c r="AS139" s="68">
        <v>0</v>
      </c>
      <c r="AT139" s="68">
        <v>0</v>
      </c>
      <c r="AU139" s="68">
        <v>0</v>
      </c>
      <c r="AV139" s="68">
        <v>0</v>
      </c>
      <c r="AW139" s="68">
        <v>0</v>
      </c>
      <c r="AX139" s="68">
        <v>0</v>
      </c>
      <c r="AY139" s="68">
        <v>0</v>
      </c>
      <c r="AZ139" s="68">
        <v>0</v>
      </c>
      <c r="BA139" s="68">
        <v>0</v>
      </c>
      <c r="BB139" s="68">
        <v>0</v>
      </c>
      <c r="BC139" s="68">
        <v>0</v>
      </c>
      <c r="BD139" s="68">
        <v>0</v>
      </c>
      <c r="BE139" s="68">
        <v>0</v>
      </c>
      <c r="BF139" s="68">
        <v>0</v>
      </c>
      <c r="BG139" s="68">
        <v>0</v>
      </c>
      <c r="BH139" s="68">
        <v>0</v>
      </c>
      <c r="BI139" s="68">
        <v>0</v>
      </c>
      <c r="BJ139" s="68">
        <v>0</v>
      </c>
      <c r="BK139" s="68">
        <v>0</v>
      </c>
      <c r="BL139" s="68">
        <v>0</v>
      </c>
      <c r="BM139" s="68">
        <v>0</v>
      </c>
      <c r="BN139" s="68">
        <v>0</v>
      </c>
      <c r="BO139" s="68">
        <v>0</v>
      </c>
      <c r="BP139" s="68">
        <v>0</v>
      </c>
      <c r="BQ139" s="68">
        <v>0</v>
      </c>
      <c r="BR139" s="68">
        <v>0</v>
      </c>
      <c r="BS139" s="68">
        <v>0</v>
      </c>
      <c r="BT139" s="68">
        <v>0</v>
      </c>
      <c r="BU139" s="68">
        <v>0</v>
      </c>
      <c r="BV139" s="68">
        <v>0</v>
      </c>
      <c r="BW139" s="68">
        <v>0</v>
      </c>
      <c r="BX139" s="68">
        <v>0</v>
      </c>
      <c r="BY139" s="68">
        <v>0</v>
      </c>
      <c r="BZ139" s="68">
        <v>0</v>
      </c>
      <c r="CA139" s="68">
        <v>0</v>
      </c>
      <c r="CB139" s="68">
        <v>0</v>
      </c>
      <c r="CC139" s="68">
        <v>0</v>
      </c>
      <c r="CD139" s="68">
        <v>0</v>
      </c>
      <c r="CE139" s="68">
        <v>0</v>
      </c>
      <c r="CF139" s="68">
        <v>0</v>
      </c>
      <c r="CG139" s="68">
        <v>0</v>
      </c>
      <c r="CH139" s="68">
        <v>0</v>
      </c>
      <c r="CI139" s="68">
        <v>0</v>
      </c>
      <c r="CJ139" s="68">
        <v>0</v>
      </c>
      <c r="CK139" s="68">
        <v>0</v>
      </c>
      <c r="CL139" s="68">
        <v>0</v>
      </c>
      <c r="CM139" s="68">
        <v>0</v>
      </c>
      <c r="CN139" s="68">
        <v>0</v>
      </c>
      <c r="CO139" s="68">
        <v>0</v>
      </c>
      <c r="CP139" s="68">
        <v>0</v>
      </c>
      <c r="CQ139" s="68">
        <v>0</v>
      </c>
      <c r="CR139" s="68">
        <v>0</v>
      </c>
      <c r="CS139" s="68">
        <v>0</v>
      </c>
      <c r="CT139" s="68">
        <v>0</v>
      </c>
      <c r="CU139" s="68">
        <v>0</v>
      </c>
      <c r="CV139" s="68">
        <v>0</v>
      </c>
      <c r="CW139" s="68">
        <v>0</v>
      </c>
      <c r="CX139" s="68">
        <v>0</v>
      </c>
      <c r="CY139" s="68">
        <v>0</v>
      </c>
      <c r="CZ139" s="68">
        <v>0</v>
      </c>
      <c r="DA139" s="68">
        <v>0</v>
      </c>
      <c r="DB139" s="68">
        <v>0</v>
      </c>
      <c r="DC139" s="68">
        <v>0</v>
      </c>
      <c r="DD139" s="68">
        <v>0</v>
      </c>
      <c r="DE139" s="68">
        <v>0</v>
      </c>
      <c r="DF139" s="68">
        <v>0</v>
      </c>
      <c r="DG139" s="68">
        <v>0</v>
      </c>
      <c r="DH139" s="68">
        <v>0</v>
      </c>
      <c r="DI139" s="68">
        <v>0</v>
      </c>
      <c r="DJ139" s="68">
        <v>0</v>
      </c>
      <c r="DK139" s="68">
        <v>0</v>
      </c>
      <c r="DL139" s="68">
        <v>0</v>
      </c>
      <c r="DM139" s="94">
        <v>0</v>
      </c>
      <c r="DN139" s="68">
        <v>0</v>
      </c>
      <c r="DO139" s="68">
        <v>0</v>
      </c>
      <c r="DP139" s="68">
        <v>0</v>
      </c>
      <c r="DQ139" s="68">
        <v>0</v>
      </c>
      <c r="DR139" s="68">
        <v>0</v>
      </c>
      <c r="DS139" s="68">
        <v>0</v>
      </c>
      <c r="DT139" s="68">
        <v>0</v>
      </c>
      <c r="DU139" s="68">
        <v>0</v>
      </c>
      <c r="DV139" s="68">
        <v>0</v>
      </c>
      <c r="DW139" s="68">
        <v>0</v>
      </c>
      <c r="DX139" s="68">
        <v>0</v>
      </c>
      <c r="DY139" s="67"/>
      <c r="DZ139" s="68"/>
      <c r="EA139" s="69"/>
      <c r="EB139" s="69"/>
      <c r="EC139" s="69"/>
      <c r="ED139" s="69"/>
      <c r="EE139" s="69"/>
      <c r="EF139" s="69"/>
      <c r="EG139" s="69"/>
      <c r="EH139" s="69"/>
      <c r="EI139" s="69"/>
      <c r="EJ139" s="69"/>
      <c r="EK139" s="69"/>
      <c r="EL139" s="69"/>
      <c r="EM139" s="69"/>
      <c r="EN139" s="69"/>
      <c r="EO139" s="69"/>
      <c r="EP139" s="69"/>
      <c r="EQ139" s="69"/>
      <c r="ER139" s="69"/>
      <c r="ES139" s="69"/>
      <c r="ET139" s="69"/>
      <c r="EU139" s="69"/>
      <c r="EV139" s="69"/>
      <c r="EW139" s="69"/>
      <c r="EX139" s="69"/>
      <c r="EY139" s="69"/>
      <c r="EZ139" s="69"/>
      <c r="FA139" s="69"/>
      <c r="FB139" s="69"/>
      <c r="FC139" s="69"/>
      <c r="FD139" s="69"/>
      <c r="FE139" s="69"/>
      <c r="FF139" s="69"/>
      <c r="FG139" s="69"/>
      <c r="FH139" s="69"/>
      <c r="FI139" s="69"/>
      <c r="FJ139" s="69"/>
      <c r="FK139" s="69"/>
      <c r="FL139" s="69"/>
      <c r="FM139" s="69"/>
      <c r="FN139" s="69"/>
      <c r="FO139" s="69"/>
      <c r="FP139" s="69"/>
      <c r="FQ139" s="69"/>
      <c r="FR139" s="69"/>
      <c r="FS139" s="69"/>
      <c r="FT139" s="69"/>
      <c r="FU139" s="69"/>
      <c r="FV139" s="69"/>
      <c r="FW139" s="69"/>
      <c r="FX139" s="69"/>
      <c r="FY139" s="69"/>
      <c r="FZ139" s="69"/>
      <c r="GA139" s="69"/>
      <c r="GB139" s="69"/>
      <c r="GC139" s="69"/>
      <c r="GD139" s="69"/>
      <c r="GE139" s="69"/>
      <c r="GF139" s="69"/>
      <c r="GG139" s="165"/>
    </row>
    <row r="140" spans="1:189" s="66" customFormat="1" x14ac:dyDescent="0.2">
      <c r="A140"/>
      <c r="B140" s="82">
        <v>44256</v>
      </c>
      <c r="C140" s="68">
        <v>0</v>
      </c>
      <c r="D140" s="68">
        <v>0</v>
      </c>
      <c r="E140" s="68">
        <v>0</v>
      </c>
      <c r="F140" s="68">
        <v>0</v>
      </c>
      <c r="G140" s="68">
        <v>0</v>
      </c>
      <c r="H140" s="68">
        <v>0</v>
      </c>
      <c r="I140" s="68">
        <v>0</v>
      </c>
      <c r="J140" s="68">
        <v>0</v>
      </c>
      <c r="K140" s="68">
        <v>0</v>
      </c>
      <c r="L140" s="68">
        <v>0</v>
      </c>
      <c r="M140" s="68">
        <v>0</v>
      </c>
      <c r="N140" s="68">
        <v>0</v>
      </c>
      <c r="O140" s="68">
        <v>0</v>
      </c>
      <c r="P140" s="68">
        <v>0</v>
      </c>
      <c r="Q140" s="68">
        <v>0</v>
      </c>
      <c r="R140" s="68">
        <v>0</v>
      </c>
      <c r="S140" s="68">
        <v>0</v>
      </c>
      <c r="T140" s="68">
        <v>0</v>
      </c>
      <c r="U140" s="68">
        <v>0</v>
      </c>
      <c r="V140" s="68">
        <v>0</v>
      </c>
      <c r="W140" s="68">
        <v>0</v>
      </c>
      <c r="X140" s="68">
        <v>0</v>
      </c>
      <c r="Y140" s="68">
        <v>0</v>
      </c>
      <c r="Z140" s="68">
        <v>0</v>
      </c>
      <c r="AA140" s="68">
        <v>0</v>
      </c>
      <c r="AB140" s="68">
        <v>0</v>
      </c>
      <c r="AC140" s="68">
        <v>0</v>
      </c>
      <c r="AD140" s="68">
        <v>0</v>
      </c>
      <c r="AE140" s="68">
        <v>0</v>
      </c>
      <c r="AF140" s="68">
        <v>0</v>
      </c>
      <c r="AG140" s="68">
        <v>0</v>
      </c>
      <c r="AH140" s="68">
        <v>0</v>
      </c>
      <c r="AI140" s="68">
        <v>0</v>
      </c>
      <c r="AJ140" s="68">
        <v>0</v>
      </c>
      <c r="AK140" s="68">
        <v>0</v>
      </c>
      <c r="AL140" s="68">
        <v>0</v>
      </c>
      <c r="AM140" s="68">
        <v>0</v>
      </c>
      <c r="AN140" s="68">
        <v>0</v>
      </c>
      <c r="AO140" s="68">
        <v>0</v>
      </c>
      <c r="AP140" s="68">
        <v>0</v>
      </c>
      <c r="AQ140" s="68">
        <v>0</v>
      </c>
      <c r="AR140" s="68">
        <v>0</v>
      </c>
      <c r="AS140" s="68">
        <v>0</v>
      </c>
      <c r="AT140" s="68">
        <v>0</v>
      </c>
      <c r="AU140" s="68">
        <v>0</v>
      </c>
      <c r="AV140" s="68">
        <v>0</v>
      </c>
      <c r="AW140" s="68">
        <v>0</v>
      </c>
      <c r="AX140" s="68">
        <v>0</v>
      </c>
      <c r="AY140" s="68">
        <v>0</v>
      </c>
      <c r="AZ140" s="68">
        <v>0</v>
      </c>
      <c r="BA140" s="68">
        <v>0</v>
      </c>
      <c r="BB140" s="68">
        <v>0</v>
      </c>
      <c r="BC140" s="68">
        <v>0</v>
      </c>
      <c r="BD140" s="68">
        <v>0</v>
      </c>
      <c r="BE140" s="68">
        <v>0</v>
      </c>
      <c r="BF140" s="68">
        <v>0</v>
      </c>
      <c r="BG140" s="68">
        <v>0</v>
      </c>
      <c r="BH140" s="68">
        <v>0</v>
      </c>
      <c r="BI140" s="68">
        <v>0</v>
      </c>
      <c r="BJ140" s="68">
        <v>0</v>
      </c>
      <c r="BK140" s="68">
        <v>0</v>
      </c>
      <c r="BL140" s="68">
        <v>0</v>
      </c>
      <c r="BM140" s="68">
        <v>0</v>
      </c>
      <c r="BN140" s="68">
        <v>0</v>
      </c>
      <c r="BO140" s="68">
        <v>0</v>
      </c>
      <c r="BP140" s="68">
        <v>0</v>
      </c>
      <c r="BQ140" s="68">
        <v>0</v>
      </c>
      <c r="BR140" s="68">
        <v>0</v>
      </c>
      <c r="BS140" s="68">
        <v>0</v>
      </c>
      <c r="BT140" s="68">
        <v>0</v>
      </c>
      <c r="BU140" s="68">
        <v>0</v>
      </c>
      <c r="BV140" s="68">
        <v>0</v>
      </c>
      <c r="BW140" s="68">
        <v>0</v>
      </c>
      <c r="BX140" s="68">
        <v>0</v>
      </c>
      <c r="BY140" s="68">
        <v>0</v>
      </c>
      <c r="BZ140" s="68">
        <v>0</v>
      </c>
      <c r="CA140" s="68">
        <v>0</v>
      </c>
      <c r="CB140" s="68">
        <v>0</v>
      </c>
      <c r="CC140" s="68">
        <v>0</v>
      </c>
      <c r="CD140" s="68">
        <v>0</v>
      </c>
      <c r="CE140" s="68">
        <v>0</v>
      </c>
      <c r="CF140" s="68">
        <v>0</v>
      </c>
      <c r="CG140" s="68">
        <v>0</v>
      </c>
      <c r="CH140" s="68">
        <v>0</v>
      </c>
      <c r="CI140" s="68">
        <v>0</v>
      </c>
      <c r="CJ140" s="68">
        <v>0</v>
      </c>
      <c r="CK140" s="68">
        <v>0</v>
      </c>
      <c r="CL140" s="68">
        <v>0</v>
      </c>
      <c r="CM140" s="68">
        <v>0</v>
      </c>
      <c r="CN140" s="68">
        <v>0</v>
      </c>
      <c r="CO140" s="68">
        <v>0</v>
      </c>
      <c r="CP140" s="68">
        <v>0</v>
      </c>
      <c r="CQ140" s="68">
        <v>0</v>
      </c>
      <c r="CR140" s="68">
        <v>0</v>
      </c>
      <c r="CS140" s="68">
        <v>0</v>
      </c>
      <c r="CT140" s="68">
        <v>0</v>
      </c>
      <c r="CU140" s="68">
        <v>0</v>
      </c>
      <c r="CV140" s="68">
        <v>0</v>
      </c>
      <c r="CW140" s="68">
        <v>0</v>
      </c>
      <c r="CX140" s="68">
        <v>0</v>
      </c>
      <c r="CY140" s="68">
        <v>0</v>
      </c>
      <c r="CZ140" s="68">
        <v>0</v>
      </c>
      <c r="DA140" s="68">
        <v>0</v>
      </c>
      <c r="DB140" s="68">
        <v>0</v>
      </c>
      <c r="DC140" s="68">
        <v>0</v>
      </c>
      <c r="DD140" s="68">
        <v>0</v>
      </c>
      <c r="DE140" s="68">
        <v>0</v>
      </c>
      <c r="DF140" s="68">
        <v>0</v>
      </c>
      <c r="DG140" s="68">
        <v>0</v>
      </c>
      <c r="DH140" s="68">
        <v>0</v>
      </c>
      <c r="DI140" s="68">
        <v>0</v>
      </c>
      <c r="DJ140" s="68">
        <v>0</v>
      </c>
      <c r="DK140" s="68">
        <v>0</v>
      </c>
      <c r="DL140" s="68">
        <v>0</v>
      </c>
      <c r="DM140" s="68">
        <v>0</v>
      </c>
      <c r="DN140" s="94">
        <v>0</v>
      </c>
      <c r="DO140" s="68">
        <v>0</v>
      </c>
      <c r="DP140" s="68">
        <v>0</v>
      </c>
      <c r="DQ140" s="68">
        <v>0</v>
      </c>
      <c r="DR140" s="68">
        <v>0</v>
      </c>
      <c r="DS140" s="68">
        <v>0</v>
      </c>
      <c r="DT140" s="68">
        <v>0</v>
      </c>
      <c r="DU140" s="68">
        <v>0</v>
      </c>
      <c r="DV140" s="68">
        <v>0</v>
      </c>
      <c r="DW140" s="68">
        <v>0</v>
      </c>
      <c r="DX140" s="68">
        <v>0</v>
      </c>
      <c r="DY140" s="68">
        <v>0</v>
      </c>
      <c r="DZ140" s="67"/>
      <c r="EA140" s="68"/>
      <c r="EB140" s="69"/>
      <c r="EC140" s="69"/>
      <c r="ED140" s="69"/>
      <c r="EE140" s="69"/>
      <c r="EF140" s="69"/>
      <c r="EG140" s="69"/>
      <c r="EH140" s="69"/>
      <c r="EI140" s="69"/>
      <c r="EJ140" s="69"/>
      <c r="EK140" s="69"/>
      <c r="EL140" s="69"/>
      <c r="EM140" s="69"/>
      <c r="EN140" s="69"/>
      <c r="EO140" s="69"/>
      <c r="EP140" s="69"/>
      <c r="EQ140" s="69"/>
      <c r="ER140" s="69"/>
      <c r="ES140" s="69"/>
      <c r="ET140" s="69"/>
      <c r="EU140" s="69"/>
      <c r="EV140" s="69"/>
      <c r="EW140" s="69"/>
      <c r="EX140" s="69"/>
      <c r="EY140" s="69"/>
      <c r="EZ140" s="69"/>
      <c r="FA140" s="69"/>
      <c r="FB140" s="69"/>
      <c r="FC140" s="69"/>
      <c r="FD140" s="69"/>
      <c r="FE140" s="69"/>
      <c r="FF140" s="69"/>
      <c r="FG140" s="69"/>
      <c r="FH140" s="69"/>
      <c r="FI140" s="69"/>
      <c r="FJ140" s="69"/>
      <c r="FK140" s="69"/>
      <c r="FL140" s="69"/>
      <c r="FM140" s="69"/>
      <c r="FN140" s="69"/>
      <c r="FO140" s="69"/>
      <c r="FP140" s="69"/>
      <c r="FQ140" s="69"/>
      <c r="FR140" s="69"/>
      <c r="FS140" s="69"/>
      <c r="FT140" s="69"/>
      <c r="FU140" s="69"/>
      <c r="FV140" s="69"/>
      <c r="FW140" s="69"/>
      <c r="FX140" s="69"/>
      <c r="FY140" s="69"/>
      <c r="FZ140" s="69"/>
      <c r="GA140" s="69"/>
      <c r="GB140" s="69"/>
      <c r="GC140" s="69"/>
      <c r="GD140" s="69"/>
      <c r="GE140" s="69"/>
      <c r="GF140" s="69"/>
      <c r="GG140" s="165"/>
    </row>
    <row r="141" spans="1:189" s="66" customFormat="1" x14ac:dyDescent="0.2">
      <c r="A141"/>
      <c r="B141" s="82">
        <v>44287</v>
      </c>
      <c r="C141" s="68">
        <v>0</v>
      </c>
      <c r="D141" s="68">
        <v>0</v>
      </c>
      <c r="E141" s="68">
        <v>0</v>
      </c>
      <c r="F141" s="68">
        <v>0</v>
      </c>
      <c r="G141" s="68">
        <v>0</v>
      </c>
      <c r="H141" s="68">
        <v>0</v>
      </c>
      <c r="I141" s="68">
        <v>0</v>
      </c>
      <c r="J141" s="68">
        <v>0</v>
      </c>
      <c r="K141" s="68">
        <v>0</v>
      </c>
      <c r="L141" s="68">
        <v>0</v>
      </c>
      <c r="M141" s="68">
        <v>0</v>
      </c>
      <c r="N141" s="68">
        <v>0</v>
      </c>
      <c r="O141" s="68">
        <v>0</v>
      </c>
      <c r="P141" s="68">
        <v>0</v>
      </c>
      <c r="Q141" s="68">
        <v>0</v>
      </c>
      <c r="R141" s="68">
        <v>0</v>
      </c>
      <c r="S141" s="68">
        <v>0</v>
      </c>
      <c r="T141" s="68">
        <v>0</v>
      </c>
      <c r="U141" s="68">
        <v>0</v>
      </c>
      <c r="V141" s="68">
        <v>0</v>
      </c>
      <c r="W141" s="68">
        <v>0</v>
      </c>
      <c r="X141" s="68">
        <v>0</v>
      </c>
      <c r="Y141" s="68">
        <v>0</v>
      </c>
      <c r="Z141" s="68">
        <v>0</v>
      </c>
      <c r="AA141" s="68">
        <v>0</v>
      </c>
      <c r="AB141" s="68">
        <v>0</v>
      </c>
      <c r="AC141" s="68">
        <v>0</v>
      </c>
      <c r="AD141" s="68">
        <v>0</v>
      </c>
      <c r="AE141" s="68">
        <v>0</v>
      </c>
      <c r="AF141" s="68">
        <v>0</v>
      </c>
      <c r="AG141" s="68">
        <v>0</v>
      </c>
      <c r="AH141" s="68">
        <v>0</v>
      </c>
      <c r="AI141" s="68">
        <v>0</v>
      </c>
      <c r="AJ141" s="68">
        <v>0</v>
      </c>
      <c r="AK141" s="68">
        <v>0</v>
      </c>
      <c r="AL141" s="68">
        <v>0</v>
      </c>
      <c r="AM141" s="68">
        <v>0</v>
      </c>
      <c r="AN141" s="68">
        <v>0</v>
      </c>
      <c r="AO141" s="68">
        <v>0</v>
      </c>
      <c r="AP141" s="68">
        <v>0</v>
      </c>
      <c r="AQ141" s="68">
        <v>0</v>
      </c>
      <c r="AR141" s="68">
        <v>0</v>
      </c>
      <c r="AS141" s="68">
        <v>0</v>
      </c>
      <c r="AT141" s="68">
        <v>0</v>
      </c>
      <c r="AU141" s="68">
        <v>0</v>
      </c>
      <c r="AV141" s="68">
        <v>0</v>
      </c>
      <c r="AW141" s="68">
        <v>0</v>
      </c>
      <c r="AX141" s="68">
        <v>0</v>
      </c>
      <c r="AY141" s="68">
        <v>0</v>
      </c>
      <c r="AZ141" s="68">
        <v>0</v>
      </c>
      <c r="BA141" s="68">
        <v>0</v>
      </c>
      <c r="BB141" s="68">
        <v>0</v>
      </c>
      <c r="BC141" s="68">
        <v>0</v>
      </c>
      <c r="BD141" s="68">
        <v>0</v>
      </c>
      <c r="BE141" s="68">
        <v>0</v>
      </c>
      <c r="BF141" s="68">
        <v>0</v>
      </c>
      <c r="BG141" s="68">
        <v>0</v>
      </c>
      <c r="BH141" s="68">
        <v>0</v>
      </c>
      <c r="BI141" s="68">
        <v>0</v>
      </c>
      <c r="BJ141" s="68">
        <v>0</v>
      </c>
      <c r="BK141" s="68">
        <v>0</v>
      </c>
      <c r="BL141" s="68">
        <v>0</v>
      </c>
      <c r="BM141" s="68">
        <v>0</v>
      </c>
      <c r="BN141" s="68">
        <v>0</v>
      </c>
      <c r="BO141" s="68">
        <v>0</v>
      </c>
      <c r="BP141" s="68">
        <v>0</v>
      </c>
      <c r="BQ141" s="68">
        <v>0</v>
      </c>
      <c r="BR141" s="68">
        <v>0</v>
      </c>
      <c r="BS141" s="68">
        <v>0</v>
      </c>
      <c r="BT141" s="68">
        <v>0</v>
      </c>
      <c r="BU141" s="68">
        <v>0</v>
      </c>
      <c r="BV141" s="68">
        <v>0</v>
      </c>
      <c r="BW141" s="68">
        <v>0</v>
      </c>
      <c r="BX141" s="68">
        <v>0</v>
      </c>
      <c r="BY141" s="68">
        <v>0</v>
      </c>
      <c r="BZ141" s="68">
        <v>0</v>
      </c>
      <c r="CA141" s="68">
        <v>0</v>
      </c>
      <c r="CB141" s="68">
        <v>0</v>
      </c>
      <c r="CC141" s="68">
        <v>0</v>
      </c>
      <c r="CD141" s="68">
        <v>0</v>
      </c>
      <c r="CE141" s="68">
        <v>0</v>
      </c>
      <c r="CF141" s="68">
        <v>0</v>
      </c>
      <c r="CG141" s="68">
        <v>0</v>
      </c>
      <c r="CH141" s="68">
        <v>0</v>
      </c>
      <c r="CI141" s="68">
        <v>0</v>
      </c>
      <c r="CJ141" s="68">
        <v>0</v>
      </c>
      <c r="CK141" s="68">
        <v>0</v>
      </c>
      <c r="CL141" s="68">
        <v>0</v>
      </c>
      <c r="CM141" s="68">
        <v>0</v>
      </c>
      <c r="CN141" s="68">
        <v>0</v>
      </c>
      <c r="CO141" s="68">
        <v>0</v>
      </c>
      <c r="CP141" s="68">
        <v>0</v>
      </c>
      <c r="CQ141" s="68">
        <v>0</v>
      </c>
      <c r="CR141" s="68">
        <v>0</v>
      </c>
      <c r="CS141" s="68">
        <v>0</v>
      </c>
      <c r="CT141" s="68">
        <v>0</v>
      </c>
      <c r="CU141" s="68">
        <v>0</v>
      </c>
      <c r="CV141" s="68">
        <v>0</v>
      </c>
      <c r="CW141" s="68">
        <v>0</v>
      </c>
      <c r="CX141" s="68">
        <v>0</v>
      </c>
      <c r="CY141" s="68">
        <v>0</v>
      </c>
      <c r="CZ141" s="68">
        <v>0</v>
      </c>
      <c r="DA141" s="68">
        <v>0</v>
      </c>
      <c r="DB141" s="68">
        <v>0</v>
      </c>
      <c r="DC141" s="68">
        <v>0</v>
      </c>
      <c r="DD141" s="68">
        <v>0</v>
      </c>
      <c r="DE141" s="68">
        <v>0</v>
      </c>
      <c r="DF141" s="68">
        <v>0</v>
      </c>
      <c r="DG141" s="68">
        <v>0</v>
      </c>
      <c r="DH141" s="68">
        <v>0</v>
      </c>
      <c r="DI141" s="68">
        <v>0</v>
      </c>
      <c r="DJ141" s="68">
        <v>0</v>
      </c>
      <c r="DK141" s="68">
        <v>0</v>
      </c>
      <c r="DL141" s="68">
        <v>0</v>
      </c>
      <c r="DM141" s="68">
        <v>0</v>
      </c>
      <c r="DN141" s="68">
        <v>0</v>
      </c>
      <c r="DO141" s="94">
        <v>0</v>
      </c>
      <c r="DP141" s="68">
        <v>0</v>
      </c>
      <c r="DQ141" s="68">
        <v>0</v>
      </c>
      <c r="DR141" s="68">
        <v>0</v>
      </c>
      <c r="DS141" s="68">
        <v>0</v>
      </c>
      <c r="DT141" s="68">
        <v>0</v>
      </c>
      <c r="DU141" s="68">
        <v>0</v>
      </c>
      <c r="DV141" s="68">
        <v>0</v>
      </c>
      <c r="DW141" s="68">
        <v>0</v>
      </c>
      <c r="DX141" s="68">
        <v>0</v>
      </c>
      <c r="DY141" s="68">
        <v>0</v>
      </c>
      <c r="DZ141" s="68">
        <v>0</v>
      </c>
      <c r="EA141" s="67"/>
      <c r="EB141" s="68"/>
      <c r="EC141" s="69"/>
      <c r="ED141" s="69"/>
      <c r="EE141" s="69"/>
      <c r="EF141" s="69"/>
      <c r="EG141" s="69"/>
      <c r="EH141" s="69"/>
      <c r="EI141" s="69"/>
      <c r="EJ141" s="69"/>
      <c r="EK141" s="69"/>
      <c r="EL141" s="69"/>
      <c r="EM141" s="69"/>
      <c r="EN141" s="69"/>
      <c r="EO141" s="69"/>
      <c r="EP141" s="69"/>
      <c r="EQ141" s="69"/>
      <c r="ER141" s="69"/>
      <c r="ES141" s="69"/>
      <c r="ET141" s="69"/>
      <c r="EU141" s="69"/>
      <c r="EV141" s="69"/>
      <c r="EW141" s="69"/>
      <c r="EX141" s="69"/>
      <c r="EY141" s="69"/>
      <c r="EZ141" s="69"/>
      <c r="FA141" s="69"/>
      <c r="FB141" s="69"/>
      <c r="FC141" s="69"/>
      <c r="FD141" s="69"/>
      <c r="FE141" s="69"/>
      <c r="FF141" s="69"/>
      <c r="FG141" s="69"/>
      <c r="FH141" s="69"/>
      <c r="FI141" s="69"/>
      <c r="FJ141" s="69"/>
      <c r="FK141" s="69"/>
      <c r="FL141" s="69"/>
      <c r="FM141" s="69"/>
      <c r="FN141" s="69"/>
      <c r="FO141" s="69"/>
      <c r="FP141" s="69"/>
      <c r="FQ141" s="69"/>
      <c r="FR141" s="69"/>
      <c r="FS141" s="69"/>
      <c r="FT141" s="69"/>
      <c r="FU141" s="69"/>
      <c r="FV141" s="69"/>
      <c r="FW141" s="69"/>
      <c r="FX141" s="69"/>
      <c r="FY141" s="69"/>
      <c r="FZ141" s="69"/>
      <c r="GA141" s="69"/>
      <c r="GB141" s="69"/>
      <c r="GC141" s="69"/>
      <c r="GD141" s="69"/>
      <c r="GE141" s="69"/>
      <c r="GF141" s="69"/>
      <c r="GG141" s="165"/>
    </row>
    <row r="142" spans="1:189" s="66" customFormat="1" x14ac:dyDescent="0.2">
      <c r="A142"/>
      <c r="B142" s="82">
        <v>44317</v>
      </c>
      <c r="C142" s="68">
        <v>0</v>
      </c>
      <c r="D142" s="68">
        <v>0</v>
      </c>
      <c r="E142" s="68">
        <v>0</v>
      </c>
      <c r="F142" s="68">
        <v>0</v>
      </c>
      <c r="G142" s="68">
        <v>0</v>
      </c>
      <c r="H142" s="68">
        <v>0</v>
      </c>
      <c r="I142" s="68">
        <v>0</v>
      </c>
      <c r="J142" s="68">
        <v>0</v>
      </c>
      <c r="K142" s="68">
        <v>0</v>
      </c>
      <c r="L142" s="68">
        <v>0</v>
      </c>
      <c r="M142" s="68">
        <v>0</v>
      </c>
      <c r="N142" s="68">
        <v>0</v>
      </c>
      <c r="O142" s="68">
        <v>0</v>
      </c>
      <c r="P142" s="68">
        <v>0</v>
      </c>
      <c r="Q142" s="68">
        <v>0</v>
      </c>
      <c r="R142" s="68">
        <v>0</v>
      </c>
      <c r="S142" s="68">
        <v>0</v>
      </c>
      <c r="T142" s="68">
        <v>0</v>
      </c>
      <c r="U142" s="68">
        <v>0</v>
      </c>
      <c r="V142" s="68">
        <v>0</v>
      </c>
      <c r="W142" s="68">
        <v>0</v>
      </c>
      <c r="X142" s="68">
        <v>0</v>
      </c>
      <c r="Y142" s="68">
        <v>0</v>
      </c>
      <c r="Z142" s="68">
        <v>0</v>
      </c>
      <c r="AA142" s="68">
        <v>0</v>
      </c>
      <c r="AB142" s="68">
        <v>0</v>
      </c>
      <c r="AC142" s="68">
        <v>0</v>
      </c>
      <c r="AD142" s="68">
        <v>0</v>
      </c>
      <c r="AE142" s="68">
        <v>0</v>
      </c>
      <c r="AF142" s="68">
        <v>0</v>
      </c>
      <c r="AG142" s="68">
        <v>0</v>
      </c>
      <c r="AH142" s="68">
        <v>0</v>
      </c>
      <c r="AI142" s="68">
        <v>0</v>
      </c>
      <c r="AJ142" s="68">
        <v>0</v>
      </c>
      <c r="AK142" s="68">
        <v>0</v>
      </c>
      <c r="AL142" s="68">
        <v>0</v>
      </c>
      <c r="AM142" s="68">
        <v>0</v>
      </c>
      <c r="AN142" s="68">
        <v>0</v>
      </c>
      <c r="AO142" s="68">
        <v>0</v>
      </c>
      <c r="AP142" s="68">
        <v>0</v>
      </c>
      <c r="AQ142" s="68">
        <v>0</v>
      </c>
      <c r="AR142" s="68">
        <v>0</v>
      </c>
      <c r="AS142" s="68">
        <v>0</v>
      </c>
      <c r="AT142" s="68">
        <v>0</v>
      </c>
      <c r="AU142" s="68">
        <v>0</v>
      </c>
      <c r="AV142" s="68">
        <v>0</v>
      </c>
      <c r="AW142" s="68">
        <v>0</v>
      </c>
      <c r="AX142" s="68">
        <v>0</v>
      </c>
      <c r="AY142" s="68">
        <v>0</v>
      </c>
      <c r="AZ142" s="68">
        <v>0</v>
      </c>
      <c r="BA142" s="68">
        <v>0</v>
      </c>
      <c r="BB142" s="68">
        <v>0</v>
      </c>
      <c r="BC142" s="68">
        <v>0</v>
      </c>
      <c r="BD142" s="68">
        <v>0</v>
      </c>
      <c r="BE142" s="68">
        <v>0</v>
      </c>
      <c r="BF142" s="68">
        <v>0</v>
      </c>
      <c r="BG142" s="68">
        <v>0</v>
      </c>
      <c r="BH142" s="68">
        <v>0</v>
      </c>
      <c r="BI142" s="68">
        <v>0</v>
      </c>
      <c r="BJ142" s="68">
        <v>0</v>
      </c>
      <c r="BK142" s="68">
        <v>0</v>
      </c>
      <c r="BL142" s="68">
        <v>0</v>
      </c>
      <c r="BM142" s="68">
        <v>0</v>
      </c>
      <c r="BN142" s="68">
        <v>0</v>
      </c>
      <c r="BO142" s="68">
        <v>0</v>
      </c>
      <c r="BP142" s="68">
        <v>0</v>
      </c>
      <c r="BQ142" s="68">
        <v>0</v>
      </c>
      <c r="BR142" s="68">
        <v>0</v>
      </c>
      <c r="BS142" s="68">
        <v>0</v>
      </c>
      <c r="BT142" s="68">
        <v>0</v>
      </c>
      <c r="BU142" s="68">
        <v>0</v>
      </c>
      <c r="BV142" s="68">
        <v>0</v>
      </c>
      <c r="BW142" s="68">
        <v>0</v>
      </c>
      <c r="BX142" s="68">
        <v>0</v>
      </c>
      <c r="BY142" s="68">
        <v>0</v>
      </c>
      <c r="BZ142" s="68">
        <v>0</v>
      </c>
      <c r="CA142" s="68">
        <v>0</v>
      </c>
      <c r="CB142" s="68">
        <v>0</v>
      </c>
      <c r="CC142" s="68">
        <v>0</v>
      </c>
      <c r="CD142" s="68">
        <v>0</v>
      </c>
      <c r="CE142" s="68">
        <v>0</v>
      </c>
      <c r="CF142" s="68">
        <v>0</v>
      </c>
      <c r="CG142" s="68">
        <v>0</v>
      </c>
      <c r="CH142" s="68">
        <v>0</v>
      </c>
      <c r="CI142" s="68">
        <v>0</v>
      </c>
      <c r="CJ142" s="68">
        <v>0</v>
      </c>
      <c r="CK142" s="68">
        <v>0</v>
      </c>
      <c r="CL142" s="68">
        <v>0</v>
      </c>
      <c r="CM142" s="68">
        <v>0</v>
      </c>
      <c r="CN142" s="68">
        <v>0</v>
      </c>
      <c r="CO142" s="68">
        <v>0</v>
      </c>
      <c r="CP142" s="68">
        <v>0</v>
      </c>
      <c r="CQ142" s="68">
        <v>0</v>
      </c>
      <c r="CR142" s="68">
        <v>0</v>
      </c>
      <c r="CS142" s="68">
        <v>0</v>
      </c>
      <c r="CT142" s="68">
        <v>0</v>
      </c>
      <c r="CU142" s="68">
        <v>0</v>
      </c>
      <c r="CV142" s="68">
        <v>0</v>
      </c>
      <c r="CW142" s="68">
        <v>0</v>
      </c>
      <c r="CX142" s="68">
        <v>0</v>
      </c>
      <c r="CY142" s="68">
        <v>0</v>
      </c>
      <c r="CZ142" s="68">
        <v>0</v>
      </c>
      <c r="DA142" s="68">
        <v>0</v>
      </c>
      <c r="DB142" s="68">
        <v>0</v>
      </c>
      <c r="DC142" s="68">
        <v>0</v>
      </c>
      <c r="DD142" s="68">
        <v>0</v>
      </c>
      <c r="DE142" s="68">
        <v>0</v>
      </c>
      <c r="DF142" s="68">
        <v>0</v>
      </c>
      <c r="DG142" s="68">
        <v>0</v>
      </c>
      <c r="DH142" s="68">
        <v>0</v>
      </c>
      <c r="DI142" s="68">
        <v>0</v>
      </c>
      <c r="DJ142" s="68">
        <v>0</v>
      </c>
      <c r="DK142" s="68">
        <v>0</v>
      </c>
      <c r="DL142" s="68">
        <v>0</v>
      </c>
      <c r="DM142" s="68">
        <v>0</v>
      </c>
      <c r="DN142" s="68">
        <v>0</v>
      </c>
      <c r="DO142" s="68">
        <v>0</v>
      </c>
      <c r="DP142" s="94">
        <v>0</v>
      </c>
      <c r="DQ142" s="68">
        <v>0</v>
      </c>
      <c r="DR142" s="68">
        <v>0</v>
      </c>
      <c r="DS142" s="68">
        <v>0</v>
      </c>
      <c r="DT142" s="68">
        <v>0</v>
      </c>
      <c r="DU142" s="68">
        <v>0</v>
      </c>
      <c r="DV142" s="68">
        <v>0</v>
      </c>
      <c r="DW142" s="68">
        <v>0</v>
      </c>
      <c r="DX142" s="68">
        <v>0</v>
      </c>
      <c r="DY142" s="68">
        <v>0</v>
      </c>
      <c r="DZ142" s="68">
        <v>0</v>
      </c>
      <c r="EA142" s="68">
        <v>0</v>
      </c>
      <c r="EB142" s="67"/>
      <c r="EC142" s="68"/>
      <c r="ED142" s="69"/>
      <c r="EE142" s="69"/>
      <c r="EF142" s="69"/>
      <c r="EG142" s="69"/>
      <c r="EH142" s="69"/>
      <c r="EI142" s="69"/>
      <c r="EJ142" s="69"/>
      <c r="EK142" s="69"/>
      <c r="EL142" s="69"/>
      <c r="EM142" s="69"/>
      <c r="EN142" s="69"/>
      <c r="EO142" s="69"/>
      <c r="EP142" s="69"/>
      <c r="EQ142" s="69"/>
      <c r="ER142" s="69"/>
      <c r="ES142" s="69"/>
      <c r="ET142" s="69"/>
      <c r="EU142" s="69"/>
      <c r="EV142" s="69"/>
      <c r="EW142" s="69"/>
      <c r="EX142" s="69"/>
      <c r="EY142" s="69"/>
      <c r="EZ142" s="69"/>
      <c r="FA142" s="69"/>
      <c r="FB142" s="69"/>
      <c r="FC142" s="69"/>
      <c r="FD142" s="69"/>
      <c r="FE142" s="69"/>
      <c r="FF142" s="69"/>
      <c r="FG142" s="69"/>
      <c r="FH142" s="69"/>
      <c r="FI142" s="69"/>
      <c r="FJ142" s="69"/>
      <c r="FK142" s="69"/>
      <c r="FL142" s="69"/>
      <c r="FM142" s="69"/>
      <c r="FN142" s="69"/>
      <c r="FO142" s="69"/>
      <c r="FP142" s="69"/>
      <c r="FQ142" s="69"/>
      <c r="FR142" s="69"/>
      <c r="FS142" s="69"/>
      <c r="FT142" s="69"/>
      <c r="FU142" s="69"/>
      <c r="FV142" s="69"/>
      <c r="FW142" s="69"/>
      <c r="FX142" s="69"/>
      <c r="FY142" s="69"/>
      <c r="FZ142" s="69"/>
      <c r="GA142" s="69"/>
      <c r="GB142" s="69"/>
      <c r="GC142" s="69"/>
      <c r="GD142" s="69"/>
      <c r="GE142" s="69"/>
      <c r="GF142" s="69"/>
      <c r="GG142" s="165"/>
    </row>
    <row r="143" spans="1:189" s="66" customFormat="1" x14ac:dyDescent="0.2">
      <c r="A143"/>
      <c r="B143" s="82">
        <v>44348</v>
      </c>
      <c r="C143" s="68">
        <v>0</v>
      </c>
      <c r="D143" s="68">
        <v>0</v>
      </c>
      <c r="E143" s="68">
        <v>0</v>
      </c>
      <c r="F143" s="68">
        <v>0</v>
      </c>
      <c r="G143" s="68">
        <v>0</v>
      </c>
      <c r="H143" s="68">
        <v>0</v>
      </c>
      <c r="I143" s="68">
        <v>0</v>
      </c>
      <c r="J143" s="68">
        <v>0</v>
      </c>
      <c r="K143" s="68">
        <v>0</v>
      </c>
      <c r="L143" s="68">
        <v>0</v>
      </c>
      <c r="M143" s="68">
        <v>0</v>
      </c>
      <c r="N143" s="68">
        <v>0</v>
      </c>
      <c r="O143" s="68">
        <v>0</v>
      </c>
      <c r="P143" s="68">
        <v>0</v>
      </c>
      <c r="Q143" s="68">
        <v>0</v>
      </c>
      <c r="R143" s="68">
        <v>0</v>
      </c>
      <c r="S143" s="68">
        <v>0</v>
      </c>
      <c r="T143" s="68">
        <v>0</v>
      </c>
      <c r="U143" s="68">
        <v>0</v>
      </c>
      <c r="V143" s="68">
        <v>0</v>
      </c>
      <c r="W143" s="68">
        <v>0</v>
      </c>
      <c r="X143" s="68">
        <v>0</v>
      </c>
      <c r="Y143" s="68">
        <v>0</v>
      </c>
      <c r="Z143" s="68">
        <v>0</v>
      </c>
      <c r="AA143" s="68">
        <v>0</v>
      </c>
      <c r="AB143" s="68">
        <v>0</v>
      </c>
      <c r="AC143" s="68">
        <v>0</v>
      </c>
      <c r="AD143" s="68">
        <v>0</v>
      </c>
      <c r="AE143" s="68">
        <v>0</v>
      </c>
      <c r="AF143" s="68">
        <v>0</v>
      </c>
      <c r="AG143" s="68">
        <v>0</v>
      </c>
      <c r="AH143" s="68">
        <v>0</v>
      </c>
      <c r="AI143" s="68">
        <v>0</v>
      </c>
      <c r="AJ143" s="68">
        <v>0</v>
      </c>
      <c r="AK143" s="68">
        <v>0</v>
      </c>
      <c r="AL143" s="68">
        <v>0</v>
      </c>
      <c r="AM143" s="68">
        <v>0</v>
      </c>
      <c r="AN143" s="68">
        <v>0</v>
      </c>
      <c r="AO143" s="68">
        <v>0</v>
      </c>
      <c r="AP143" s="68">
        <v>0</v>
      </c>
      <c r="AQ143" s="68">
        <v>0</v>
      </c>
      <c r="AR143" s="68">
        <v>0</v>
      </c>
      <c r="AS143" s="68">
        <v>0</v>
      </c>
      <c r="AT143" s="68">
        <v>0</v>
      </c>
      <c r="AU143" s="68">
        <v>0</v>
      </c>
      <c r="AV143" s="68">
        <v>0</v>
      </c>
      <c r="AW143" s="68">
        <v>0</v>
      </c>
      <c r="AX143" s="68">
        <v>0</v>
      </c>
      <c r="AY143" s="68">
        <v>0</v>
      </c>
      <c r="AZ143" s="68">
        <v>0</v>
      </c>
      <c r="BA143" s="68">
        <v>0</v>
      </c>
      <c r="BB143" s="68">
        <v>0</v>
      </c>
      <c r="BC143" s="68">
        <v>0</v>
      </c>
      <c r="BD143" s="68">
        <v>0</v>
      </c>
      <c r="BE143" s="68">
        <v>0</v>
      </c>
      <c r="BF143" s="68">
        <v>0</v>
      </c>
      <c r="BG143" s="68">
        <v>0</v>
      </c>
      <c r="BH143" s="68">
        <v>0</v>
      </c>
      <c r="BI143" s="68">
        <v>0</v>
      </c>
      <c r="BJ143" s="68">
        <v>0</v>
      </c>
      <c r="BK143" s="68">
        <v>0</v>
      </c>
      <c r="BL143" s="68">
        <v>0</v>
      </c>
      <c r="BM143" s="68">
        <v>0</v>
      </c>
      <c r="BN143" s="68">
        <v>0</v>
      </c>
      <c r="BO143" s="68">
        <v>0</v>
      </c>
      <c r="BP143" s="68">
        <v>0</v>
      </c>
      <c r="BQ143" s="68">
        <v>0</v>
      </c>
      <c r="BR143" s="68">
        <v>0</v>
      </c>
      <c r="BS143" s="68">
        <v>0</v>
      </c>
      <c r="BT143" s="68">
        <v>0</v>
      </c>
      <c r="BU143" s="68">
        <v>0</v>
      </c>
      <c r="BV143" s="68">
        <v>0</v>
      </c>
      <c r="BW143" s="68">
        <v>0</v>
      </c>
      <c r="BX143" s="68">
        <v>0</v>
      </c>
      <c r="BY143" s="68">
        <v>0</v>
      </c>
      <c r="BZ143" s="68">
        <v>0</v>
      </c>
      <c r="CA143" s="68">
        <v>0</v>
      </c>
      <c r="CB143" s="68">
        <v>0</v>
      </c>
      <c r="CC143" s="68">
        <v>0</v>
      </c>
      <c r="CD143" s="68">
        <v>0</v>
      </c>
      <c r="CE143" s="68">
        <v>0</v>
      </c>
      <c r="CF143" s="68">
        <v>0</v>
      </c>
      <c r="CG143" s="68">
        <v>0</v>
      </c>
      <c r="CH143" s="68">
        <v>0</v>
      </c>
      <c r="CI143" s="68">
        <v>0</v>
      </c>
      <c r="CJ143" s="68">
        <v>0</v>
      </c>
      <c r="CK143" s="68">
        <v>0</v>
      </c>
      <c r="CL143" s="68">
        <v>0</v>
      </c>
      <c r="CM143" s="68">
        <v>0</v>
      </c>
      <c r="CN143" s="68">
        <v>0</v>
      </c>
      <c r="CO143" s="68">
        <v>0</v>
      </c>
      <c r="CP143" s="68">
        <v>0</v>
      </c>
      <c r="CQ143" s="68">
        <v>0</v>
      </c>
      <c r="CR143" s="68">
        <v>0</v>
      </c>
      <c r="CS143" s="68">
        <v>0</v>
      </c>
      <c r="CT143" s="68">
        <v>0</v>
      </c>
      <c r="CU143" s="68">
        <v>0</v>
      </c>
      <c r="CV143" s="68">
        <v>0</v>
      </c>
      <c r="CW143" s="68">
        <v>0</v>
      </c>
      <c r="CX143" s="68">
        <v>0</v>
      </c>
      <c r="CY143" s="68">
        <v>0</v>
      </c>
      <c r="CZ143" s="68">
        <v>0</v>
      </c>
      <c r="DA143" s="68">
        <v>0</v>
      </c>
      <c r="DB143" s="68">
        <v>0</v>
      </c>
      <c r="DC143" s="68">
        <v>0</v>
      </c>
      <c r="DD143" s="68">
        <v>0</v>
      </c>
      <c r="DE143" s="68">
        <v>0</v>
      </c>
      <c r="DF143" s="68">
        <v>0</v>
      </c>
      <c r="DG143" s="68">
        <v>0</v>
      </c>
      <c r="DH143" s="68">
        <v>0</v>
      </c>
      <c r="DI143" s="68">
        <v>0</v>
      </c>
      <c r="DJ143" s="68">
        <v>0</v>
      </c>
      <c r="DK143" s="68">
        <v>0</v>
      </c>
      <c r="DL143" s="68">
        <v>0</v>
      </c>
      <c r="DM143" s="68">
        <v>0</v>
      </c>
      <c r="DN143" s="68">
        <v>0</v>
      </c>
      <c r="DO143" s="68">
        <v>0</v>
      </c>
      <c r="DP143" s="68">
        <v>0</v>
      </c>
      <c r="DQ143" s="94">
        <v>0</v>
      </c>
      <c r="DR143" s="68">
        <v>0</v>
      </c>
      <c r="DS143" s="68">
        <v>0</v>
      </c>
      <c r="DT143" s="68">
        <v>0</v>
      </c>
      <c r="DU143" s="68">
        <v>0</v>
      </c>
      <c r="DV143" s="68">
        <v>0</v>
      </c>
      <c r="DW143" s="68">
        <v>0</v>
      </c>
      <c r="DX143" s="68">
        <v>0</v>
      </c>
      <c r="DY143" s="68">
        <v>0</v>
      </c>
      <c r="DZ143" s="68">
        <v>0</v>
      </c>
      <c r="EA143" s="68">
        <v>0</v>
      </c>
      <c r="EB143" s="68">
        <v>0</v>
      </c>
      <c r="EC143" s="67"/>
      <c r="ED143" s="68"/>
      <c r="EE143" s="69"/>
      <c r="EF143" s="69"/>
      <c r="EG143" s="69"/>
      <c r="EH143" s="69"/>
      <c r="EI143" s="69"/>
      <c r="EJ143" s="69"/>
      <c r="EK143" s="69"/>
      <c r="EL143" s="69"/>
      <c r="EM143" s="69"/>
      <c r="EN143" s="69"/>
      <c r="EO143" s="69"/>
      <c r="EP143" s="69"/>
      <c r="EQ143" s="69"/>
      <c r="ER143" s="69"/>
      <c r="ES143" s="69"/>
      <c r="ET143" s="69"/>
      <c r="EU143" s="69"/>
      <c r="EV143" s="69"/>
      <c r="EW143" s="69"/>
      <c r="EX143" s="69"/>
      <c r="EY143" s="69"/>
      <c r="EZ143" s="69"/>
      <c r="FA143" s="69"/>
      <c r="FB143" s="69"/>
      <c r="FC143" s="69"/>
      <c r="FD143" s="69"/>
      <c r="FE143" s="69"/>
      <c r="FF143" s="69"/>
      <c r="FG143" s="69"/>
      <c r="FH143" s="69"/>
      <c r="FI143" s="69"/>
      <c r="FJ143" s="69"/>
      <c r="FK143" s="69"/>
      <c r="FL143" s="69"/>
      <c r="FM143" s="69"/>
      <c r="FN143" s="69"/>
      <c r="FO143" s="69"/>
      <c r="FP143" s="69"/>
      <c r="FQ143" s="69"/>
      <c r="FR143" s="69"/>
      <c r="FS143" s="69"/>
      <c r="FT143" s="69"/>
      <c r="FU143" s="69"/>
      <c r="FV143" s="69"/>
      <c r="FW143" s="69"/>
      <c r="FX143" s="69"/>
      <c r="FY143" s="69"/>
      <c r="FZ143" s="69"/>
      <c r="GA143" s="69"/>
      <c r="GB143" s="69"/>
      <c r="GC143" s="69"/>
      <c r="GD143" s="69"/>
      <c r="GE143" s="69"/>
      <c r="GF143" s="69"/>
      <c r="GG143" s="165"/>
    </row>
    <row r="144" spans="1:189" s="66" customFormat="1" x14ac:dyDescent="0.2">
      <c r="A144"/>
      <c r="B144" s="82">
        <v>44378</v>
      </c>
      <c r="C144" s="68">
        <v>0</v>
      </c>
      <c r="D144" s="68">
        <v>0</v>
      </c>
      <c r="E144" s="68">
        <v>0</v>
      </c>
      <c r="F144" s="68">
        <v>0</v>
      </c>
      <c r="G144" s="68">
        <v>0</v>
      </c>
      <c r="H144" s="68">
        <v>0</v>
      </c>
      <c r="I144" s="68">
        <v>0</v>
      </c>
      <c r="J144" s="68">
        <v>0</v>
      </c>
      <c r="K144" s="68">
        <v>0</v>
      </c>
      <c r="L144" s="68">
        <v>0</v>
      </c>
      <c r="M144" s="68">
        <v>0</v>
      </c>
      <c r="N144" s="68">
        <v>0</v>
      </c>
      <c r="O144" s="68">
        <v>0</v>
      </c>
      <c r="P144" s="68">
        <v>0</v>
      </c>
      <c r="Q144" s="68">
        <v>0</v>
      </c>
      <c r="R144" s="68">
        <v>0</v>
      </c>
      <c r="S144" s="68">
        <v>0</v>
      </c>
      <c r="T144" s="68">
        <v>0</v>
      </c>
      <c r="U144" s="68">
        <v>0</v>
      </c>
      <c r="V144" s="68">
        <v>0</v>
      </c>
      <c r="W144" s="68">
        <v>0</v>
      </c>
      <c r="X144" s="68">
        <v>0</v>
      </c>
      <c r="Y144" s="68">
        <v>0</v>
      </c>
      <c r="Z144" s="68">
        <v>0</v>
      </c>
      <c r="AA144" s="68">
        <v>0</v>
      </c>
      <c r="AB144" s="68">
        <v>0</v>
      </c>
      <c r="AC144" s="68">
        <v>0</v>
      </c>
      <c r="AD144" s="68">
        <v>0</v>
      </c>
      <c r="AE144" s="68">
        <v>0</v>
      </c>
      <c r="AF144" s="68">
        <v>0</v>
      </c>
      <c r="AG144" s="68">
        <v>0</v>
      </c>
      <c r="AH144" s="68">
        <v>0</v>
      </c>
      <c r="AI144" s="68">
        <v>0</v>
      </c>
      <c r="AJ144" s="68">
        <v>0</v>
      </c>
      <c r="AK144" s="68">
        <v>0</v>
      </c>
      <c r="AL144" s="68">
        <v>0</v>
      </c>
      <c r="AM144" s="68">
        <v>0</v>
      </c>
      <c r="AN144" s="68">
        <v>0</v>
      </c>
      <c r="AO144" s="68">
        <v>0</v>
      </c>
      <c r="AP144" s="68">
        <v>0</v>
      </c>
      <c r="AQ144" s="68">
        <v>0</v>
      </c>
      <c r="AR144" s="68">
        <v>0</v>
      </c>
      <c r="AS144" s="68">
        <v>0</v>
      </c>
      <c r="AT144" s="68">
        <v>0</v>
      </c>
      <c r="AU144" s="68">
        <v>0</v>
      </c>
      <c r="AV144" s="68">
        <v>0</v>
      </c>
      <c r="AW144" s="68">
        <v>0</v>
      </c>
      <c r="AX144" s="68">
        <v>0</v>
      </c>
      <c r="AY144" s="68">
        <v>0</v>
      </c>
      <c r="AZ144" s="68">
        <v>0</v>
      </c>
      <c r="BA144" s="68">
        <v>0</v>
      </c>
      <c r="BB144" s="68">
        <v>0</v>
      </c>
      <c r="BC144" s="68">
        <v>0</v>
      </c>
      <c r="BD144" s="68">
        <v>0</v>
      </c>
      <c r="BE144" s="68">
        <v>0</v>
      </c>
      <c r="BF144" s="68">
        <v>0</v>
      </c>
      <c r="BG144" s="68">
        <v>0</v>
      </c>
      <c r="BH144" s="68">
        <v>0</v>
      </c>
      <c r="BI144" s="68">
        <v>0</v>
      </c>
      <c r="BJ144" s="68">
        <v>0</v>
      </c>
      <c r="BK144" s="68">
        <v>0</v>
      </c>
      <c r="BL144" s="68">
        <v>0</v>
      </c>
      <c r="BM144" s="68">
        <v>0</v>
      </c>
      <c r="BN144" s="68">
        <v>0</v>
      </c>
      <c r="BO144" s="68">
        <v>0</v>
      </c>
      <c r="BP144" s="68">
        <v>0</v>
      </c>
      <c r="BQ144" s="68">
        <v>0</v>
      </c>
      <c r="BR144" s="68">
        <v>0</v>
      </c>
      <c r="BS144" s="68">
        <v>0</v>
      </c>
      <c r="BT144" s="68">
        <v>0</v>
      </c>
      <c r="BU144" s="68">
        <v>0</v>
      </c>
      <c r="BV144" s="68">
        <v>0</v>
      </c>
      <c r="BW144" s="68">
        <v>0</v>
      </c>
      <c r="BX144" s="68">
        <v>0</v>
      </c>
      <c r="BY144" s="68">
        <v>0</v>
      </c>
      <c r="BZ144" s="68">
        <v>0</v>
      </c>
      <c r="CA144" s="68">
        <v>0</v>
      </c>
      <c r="CB144" s="68">
        <v>0</v>
      </c>
      <c r="CC144" s="68">
        <v>0</v>
      </c>
      <c r="CD144" s="68">
        <v>0</v>
      </c>
      <c r="CE144" s="68">
        <v>0</v>
      </c>
      <c r="CF144" s="68">
        <v>0</v>
      </c>
      <c r="CG144" s="68">
        <v>0</v>
      </c>
      <c r="CH144" s="68">
        <v>0</v>
      </c>
      <c r="CI144" s="68">
        <v>0</v>
      </c>
      <c r="CJ144" s="68">
        <v>0</v>
      </c>
      <c r="CK144" s="68">
        <v>0</v>
      </c>
      <c r="CL144" s="68">
        <v>0</v>
      </c>
      <c r="CM144" s="68">
        <v>0</v>
      </c>
      <c r="CN144" s="68">
        <v>0</v>
      </c>
      <c r="CO144" s="68">
        <v>0</v>
      </c>
      <c r="CP144" s="68">
        <v>0</v>
      </c>
      <c r="CQ144" s="68">
        <v>0</v>
      </c>
      <c r="CR144" s="68">
        <v>0</v>
      </c>
      <c r="CS144" s="68">
        <v>0</v>
      </c>
      <c r="CT144" s="68">
        <v>0</v>
      </c>
      <c r="CU144" s="68">
        <v>0</v>
      </c>
      <c r="CV144" s="68">
        <v>0</v>
      </c>
      <c r="CW144" s="68">
        <v>0</v>
      </c>
      <c r="CX144" s="68">
        <v>0</v>
      </c>
      <c r="CY144" s="68">
        <v>0</v>
      </c>
      <c r="CZ144" s="68">
        <v>0</v>
      </c>
      <c r="DA144" s="68">
        <v>0</v>
      </c>
      <c r="DB144" s="68">
        <v>0</v>
      </c>
      <c r="DC144" s="68">
        <v>0</v>
      </c>
      <c r="DD144" s="68">
        <v>0</v>
      </c>
      <c r="DE144" s="68">
        <v>0</v>
      </c>
      <c r="DF144" s="68">
        <v>0</v>
      </c>
      <c r="DG144" s="68">
        <v>0</v>
      </c>
      <c r="DH144" s="68">
        <v>0</v>
      </c>
      <c r="DI144" s="68">
        <v>0</v>
      </c>
      <c r="DJ144" s="68">
        <v>0</v>
      </c>
      <c r="DK144" s="68">
        <v>0</v>
      </c>
      <c r="DL144" s="68">
        <v>0</v>
      </c>
      <c r="DM144" s="68">
        <v>0</v>
      </c>
      <c r="DN144" s="68">
        <v>0</v>
      </c>
      <c r="DO144" s="68">
        <v>0</v>
      </c>
      <c r="DP144" s="68">
        <v>-2.7150678532763095E-2</v>
      </c>
      <c r="DQ144" s="68">
        <v>-6.3817746613267445E-2</v>
      </c>
      <c r="DR144" s="94">
        <v>-5.0413701008181988E-2</v>
      </c>
      <c r="DS144" s="68">
        <v>-9.7884215507079375E-2</v>
      </c>
      <c r="DT144" s="68">
        <v>-0.15917385918854166</v>
      </c>
      <c r="DU144" s="68">
        <v>-0.19011436168817397</v>
      </c>
      <c r="DV144" s="68">
        <v>-0.26710644252499094</v>
      </c>
      <c r="DW144" s="68">
        <v>-0.26435607834542907</v>
      </c>
      <c r="DX144" s="68">
        <v>-0.25129690929267667</v>
      </c>
      <c r="DY144" s="68">
        <v>-0.34609983124431665</v>
      </c>
      <c r="DZ144" s="68">
        <v>-0.38996016471085682</v>
      </c>
      <c r="EA144" s="68">
        <v>-0.37939696204728079</v>
      </c>
      <c r="EB144" s="68">
        <v>-0.47517720443879341</v>
      </c>
      <c r="EC144" s="68">
        <v>-0.4604725420568343</v>
      </c>
      <c r="ED144" s="67"/>
      <c r="EE144" s="68"/>
      <c r="EF144" s="69"/>
      <c r="EG144" s="69"/>
      <c r="EH144" s="69"/>
      <c r="EI144" s="69"/>
      <c r="EJ144" s="69"/>
      <c r="EK144" s="69"/>
      <c r="EL144" s="69"/>
      <c r="EM144" s="69"/>
      <c r="EN144" s="69"/>
      <c r="EO144" s="69"/>
      <c r="EP144" s="69"/>
      <c r="EQ144" s="69"/>
      <c r="ER144" s="69"/>
      <c r="ES144" s="69"/>
      <c r="ET144" s="69"/>
      <c r="EU144" s="69"/>
      <c r="EV144" s="69"/>
      <c r="EW144" s="69"/>
      <c r="EX144" s="69"/>
      <c r="EY144" s="69"/>
      <c r="EZ144" s="69"/>
      <c r="FA144" s="69"/>
      <c r="FB144" s="69"/>
      <c r="FC144" s="69"/>
      <c r="FD144" s="69"/>
      <c r="FE144" s="69"/>
      <c r="FF144" s="69"/>
      <c r="FG144" s="69"/>
      <c r="FH144" s="69"/>
      <c r="FI144" s="69"/>
      <c r="FJ144" s="69"/>
      <c r="FK144" s="69"/>
      <c r="FL144" s="69"/>
      <c r="FM144" s="69"/>
      <c r="FN144" s="69"/>
      <c r="FO144" s="69"/>
      <c r="FP144" s="69"/>
      <c r="FQ144" s="69"/>
      <c r="FR144" s="69"/>
      <c r="FS144" s="69"/>
      <c r="FT144" s="69"/>
      <c r="FU144" s="69"/>
      <c r="FV144" s="69"/>
      <c r="FW144" s="69"/>
      <c r="FX144" s="69"/>
      <c r="FY144" s="69"/>
      <c r="FZ144" s="69"/>
      <c r="GA144" s="69"/>
      <c r="GB144" s="69"/>
      <c r="GC144" s="69"/>
      <c r="GD144" s="69"/>
      <c r="GE144" s="69"/>
      <c r="GF144" s="69"/>
      <c r="GG144" s="165"/>
    </row>
    <row r="145" spans="1:189" s="66" customFormat="1" x14ac:dyDescent="0.2">
      <c r="A145"/>
      <c r="B145" s="82">
        <v>44409</v>
      </c>
      <c r="C145" s="68">
        <v>0</v>
      </c>
      <c r="D145" s="68">
        <v>0</v>
      </c>
      <c r="E145" s="68">
        <v>0</v>
      </c>
      <c r="F145" s="68">
        <v>0</v>
      </c>
      <c r="G145" s="68">
        <v>0</v>
      </c>
      <c r="H145" s="68">
        <v>0</v>
      </c>
      <c r="I145" s="68">
        <v>0</v>
      </c>
      <c r="J145" s="68">
        <v>0</v>
      </c>
      <c r="K145" s="68">
        <v>0</v>
      </c>
      <c r="L145" s="68">
        <v>0</v>
      </c>
      <c r="M145" s="68">
        <v>0</v>
      </c>
      <c r="N145" s="68">
        <v>0</v>
      </c>
      <c r="O145" s="68">
        <v>0</v>
      </c>
      <c r="P145" s="68">
        <v>0</v>
      </c>
      <c r="Q145" s="68">
        <v>0</v>
      </c>
      <c r="R145" s="68">
        <v>0</v>
      </c>
      <c r="S145" s="68">
        <v>0</v>
      </c>
      <c r="T145" s="68">
        <v>0</v>
      </c>
      <c r="U145" s="68">
        <v>0</v>
      </c>
      <c r="V145" s="68">
        <v>0</v>
      </c>
      <c r="W145" s="68">
        <v>0</v>
      </c>
      <c r="X145" s="68">
        <v>0</v>
      </c>
      <c r="Y145" s="68">
        <v>0</v>
      </c>
      <c r="Z145" s="68">
        <v>0</v>
      </c>
      <c r="AA145" s="68">
        <v>0</v>
      </c>
      <c r="AB145" s="68">
        <v>0</v>
      </c>
      <c r="AC145" s="68">
        <v>0</v>
      </c>
      <c r="AD145" s="68">
        <v>0</v>
      </c>
      <c r="AE145" s="68">
        <v>0</v>
      </c>
      <c r="AF145" s="68">
        <v>0</v>
      </c>
      <c r="AG145" s="68">
        <v>0</v>
      </c>
      <c r="AH145" s="68">
        <v>0</v>
      </c>
      <c r="AI145" s="68">
        <v>0</v>
      </c>
      <c r="AJ145" s="68">
        <v>0</v>
      </c>
      <c r="AK145" s="68">
        <v>0</v>
      </c>
      <c r="AL145" s="68">
        <v>0</v>
      </c>
      <c r="AM145" s="68">
        <v>0</v>
      </c>
      <c r="AN145" s="68">
        <v>0</v>
      </c>
      <c r="AO145" s="68">
        <v>0</v>
      </c>
      <c r="AP145" s="68">
        <v>0</v>
      </c>
      <c r="AQ145" s="68">
        <v>0</v>
      </c>
      <c r="AR145" s="68">
        <v>0</v>
      </c>
      <c r="AS145" s="68">
        <v>0</v>
      </c>
      <c r="AT145" s="68">
        <v>0</v>
      </c>
      <c r="AU145" s="68">
        <v>0</v>
      </c>
      <c r="AV145" s="68">
        <v>0</v>
      </c>
      <c r="AW145" s="68">
        <v>0</v>
      </c>
      <c r="AX145" s="68">
        <v>0</v>
      </c>
      <c r="AY145" s="68">
        <v>0</v>
      </c>
      <c r="AZ145" s="68">
        <v>0</v>
      </c>
      <c r="BA145" s="68">
        <v>0</v>
      </c>
      <c r="BB145" s="68">
        <v>0</v>
      </c>
      <c r="BC145" s="68">
        <v>0</v>
      </c>
      <c r="BD145" s="68">
        <v>0</v>
      </c>
      <c r="BE145" s="68">
        <v>0</v>
      </c>
      <c r="BF145" s="68">
        <v>0</v>
      </c>
      <c r="BG145" s="68">
        <v>0</v>
      </c>
      <c r="BH145" s="68">
        <v>0</v>
      </c>
      <c r="BI145" s="68">
        <v>0</v>
      </c>
      <c r="BJ145" s="68">
        <v>0</v>
      </c>
      <c r="BK145" s="68">
        <v>0</v>
      </c>
      <c r="BL145" s="68">
        <v>0</v>
      </c>
      <c r="BM145" s="68">
        <v>0</v>
      </c>
      <c r="BN145" s="68">
        <v>0</v>
      </c>
      <c r="BO145" s="68">
        <v>0</v>
      </c>
      <c r="BP145" s="68">
        <v>0</v>
      </c>
      <c r="BQ145" s="68">
        <v>0</v>
      </c>
      <c r="BR145" s="68">
        <v>0</v>
      </c>
      <c r="BS145" s="68">
        <v>0</v>
      </c>
      <c r="BT145" s="68">
        <v>0</v>
      </c>
      <c r="BU145" s="68">
        <v>0</v>
      </c>
      <c r="BV145" s="68">
        <v>0</v>
      </c>
      <c r="BW145" s="68">
        <v>0</v>
      </c>
      <c r="BX145" s="68">
        <v>0</v>
      </c>
      <c r="BY145" s="68">
        <v>0</v>
      </c>
      <c r="BZ145" s="68">
        <v>0</v>
      </c>
      <c r="CA145" s="68">
        <v>0</v>
      </c>
      <c r="CB145" s="68">
        <v>0</v>
      </c>
      <c r="CC145" s="68">
        <v>0</v>
      </c>
      <c r="CD145" s="68">
        <v>0</v>
      </c>
      <c r="CE145" s="68">
        <v>0</v>
      </c>
      <c r="CF145" s="68">
        <v>0</v>
      </c>
      <c r="CG145" s="68">
        <v>0</v>
      </c>
      <c r="CH145" s="68">
        <v>0</v>
      </c>
      <c r="CI145" s="68">
        <v>0</v>
      </c>
      <c r="CJ145" s="68">
        <v>0</v>
      </c>
      <c r="CK145" s="68">
        <v>0</v>
      </c>
      <c r="CL145" s="68">
        <v>0</v>
      </c>
      <c r="CM145" s="68">
        <v>0</v>
      </c>
      <c r="CN145" s="68">
        <v>0</v>
      </c>
      <c r="CO145" s="68">
        <v>0</v>
      </c>
      <c r="CP145" s="68">
        <v>0</v>
      </c>
      <c r="CQ145" s="68">
        <v>0</v>
      </c>
      <c r="CR145" s="68">
        <v>0</v>
      </c>
      <c r="CS145" s="68">
        <v>0</v>
      </c>
      <c r="CT145" s="68">
        <v>0</v>
      </c>
      <c r="CU145" s="68">
        <v>0</v>
      </c>
      <c r="CV145" s="68">
        <v>0</v>
      </c>
      <c r="CW145" s="68">
        <v>0</v>
      </c>
      <c r="CX145" s="68">
        <v>0</v>
      </c>
      <c r="CY145" s="68">
        <v>0</v>
      </c>
      <c r="CZ145" s="68">
        <v>0</v>
      </c>
      <c r="DA145" s="68">
        <v>0</v>
      </c>
      <c r="DB145" s="68">
        <v>0</v>
      </c>
      <c r="DC145" s="68">
        <v>0</v>
      </c>
      <c r="DD145" s="68">
        <v>0</v>
      </c>
      <c r="DE145" s="68">
        <v>0</v>
      </c>
      <c r="DF145" s="68">
        <v>0</v>
      </c>
      <c r="DG145" s="68">
        <v>0</v>
      </c>
      <c r="DH145" s="68">
        <v>0</v>
      </c>
      <c r="DI145" s="68">
        <v>0</v>
      </c>
      <c r="DJ145" s="68">
        <v>0</v>
      </c>
      <c r="DK145" s="68">
        <v>0</v>
      </c>
      <c r="DL145" s="68">
        <v>0</v>
      </c>
      <c r="DM145" s="68">
        <v>0</v>
      </c>
      <c r="DN145" s="68">
        <v>0</v>
      </c>
      <c r="DO145" s="68">
        <v>0</v>
      </c>
      <c r="DP145" s="68">
        <v>0</v>
      </c>
      <c r="DQ145" s="68">
        <v>0</v>
      </c>
      <c r="DR145" s="68">
        <v>0</v>
      </c>
      <c r="DS145" s="94">
        <v>0</v>
      </c>
      <c r="DT145" s="68">
        <v>0</v>
      </c>
      <c r="DU145" s="68">
        <v>0</v>
      </c>
      <c r="DV145" s="68">
        <v>0</v>
      </c>
      <c r="DW145" s="68">
        <v>0</v>
      </c>
      <c r="DX145" s="68">
        <v>0</v>
      </c>
      <c r="DY145" s="68">
        <v>0</v>
      </c>
      <c r="DZ145" s="68">
        <v>0</v>
      </c>
      <c r="EA145" s="68">
        <v>0</v>
      </c>
      <c r="EB145" s="68">
        <v>0</v>
      </c>
      <c r="EC145" s="68">
        <v>0</v>
      </c>
      <c r="ED145" s="68">
        <v>0</v>
      </c>
      <c r="EE145" s="67"/>
      <c r="EF145" s="68"/>
      <c r="EG145" s="69"/>
      <c r="EH145" s="69"/>
      <c r="EI145" s="69"/>
      <c r="EJ145" s="69"/>
      <c r="EK145" s="69"/>
      <c r="EL145" s="69"/>
      <c r="EM145" s="69"/>
      <c r="EN145" s="69"/>
      <c r="EO145" s="69"/>
      <c r="EP145" s="69"/>
      <c r="EQ145" s="69"/>
      <c r="ER145" s="69"/>
      <c r="ES145" s="69"/>
      <c r="ET145" s="69"/>
      <c r="EU145" s="69"/>
      <c r="EV145" s="69"/>
      <c r="EW145" s="69"/>
      <c r="EX145" s="69"/>
      <c r="EY145" s="69"/>
      <c r="EZ145" s="69"/>
      <c r="FA145" s="69"/>
      <c r="FB145" s="69"/>
      <c r="FC145" s="69"/>
      <c r="FD145" s="69"/>
      <c r="FE145" s="69"/>
      <c r="FF145" s="69"/>
      <c r="FG145" s="69"/>
      <c r="FH145" s="69"/>
      <c r="FI145" s="69"/>
      <c r="FJ145" s="69"/>
      <c r="FK145" s="69"/>
      <c r="FL145" s="69"/>
      <c r="FM145" s="69"/>
      <c r="FN145" s="69"/>
      <c r="FO145" s="69"/>
      <c r="FP145" s="69"/>
      <c r="FQ145" s="69"/>
      <c r="FR145" s="69"/>
      <c r="FS145" s="69"/>
      <c r="FT145" s="69"/>
      <c r="FU145" s="69"/>
      <c r="FV145" s="69"/>
      <c r="FW145" s="69"/>
      <c r="FX145" s="69"/>
      <c r="FY145" s="69"/>
      <c r="FZ145" s="69"/>
      <c r="GA145" s="69"/>
      <c r="GB145" s="69"/>
      <c r="GC145" s="69"/>
      <c r="GD145" s="69"/>
      <c r="GE145" s="69"/>
      <c r="GF145" s="69"/>
      <c r="GG145" s="165"/>
    </row>
    <row r="146" spans="1:189" s="66" customFormat="1" x14ac:dyDescent="0.2">
      <c r="A146"/>
      <c r="B146" s="82">
        <v>44440</v>
      </c>
      <c r="C146" s="68">
        <v>0</v>
      </c>
      <c r="D146" s="68">
        <v>0</v>
      </c>
      <c r="E146" s="68">
        <v>0</v>
      </c>
      <c r="F146" s="68">
        <v>0</v>
      </c>
      <c r="G146" s="68">
        <v>0</v>
      </c>
      <c r="H146" s="68">
        <v>0</v>
      </c>
      <c r="I146" s="68">
        <v>0</v>
      </c>
      <c r="J146" s="68">
        <v>0</v>
      </c>
      <c r="K146" s="68">
        <v>0</v>
      </c>
      <c r="L146" s="68">
        <v>0</v>
      </c>
      <c r="M146" s="68">
        <v>0</v>
      </c>
      <c r="N146" s="68">
        <v>0</v>
      </c>
      <c r="O146" s="68">
        <v>0</v>
      </c>
      <c r="P146" s="68">
        <v>0</v>
      </c>
      <c r="Q146" s="68">
        <v>0</v>
      </c>
      <c r="R146" s="68">
        <v>0</v>
      </c>
      <c r="S146" s="68">
        <v>0</v>
      </c>
      <c r="T146" s="68">
        <v>0</v>
      </c>
      <c r="U146" s="68">
        <v>0</v>
      </c>
      <c r="V146" s="68">
        <v>0</v>
      </c>
      <c r="W146" s="68">
        <v>0</v>
      </c>
      <c r="X146" s="68">
        <v>0</v>
      </c>
      <c r="Y146" s="68">
        <v>0</v>
      </c>
      <c r="Z146" s="68">
        <v>0</v>
      </c>
      <c r="AA146" s="68">
        <v>0</v>
      </c>
      <c r="AB146" s="68">
        <v>0</v>
      </c>
      <c r="AC146" s="68">
        <v>0</v>
      </c>
      <c r="AD146" s="68">
        <v>0</v>
      </c>
      <c r="AE146" s="68">
        <v>0</v>
      </c>
      <c r="AF146" s="68">
        <v>0</v>
      </c>
      <c r="AG146" s="68">
        <v>0</v>
      </c>
      <c r="AH146" s="68">
        <v>0</v>
      </c>
      <c r="AI146" s="68">
        <v>0</v>
      </c>
      <c r="AJ146" s="68">
        <v>0</v>
      </c>
      <c r="AK146" s="68">
        <v>0</v>
      </c>
      <c r="AL146" s="68">
        <v>0</v>
      </c>
      <c r="AM146" s="68">
        <v>0</v>
      </c>
      <c r="AN146" s="68">
        <v>0</v>
      </c>
      <c r="AO146" s="68">
        <v>0</v>
      </c>
      <c r="AP146" s="68">
        <v>0</v>
      </c>
      <c r="AQ146" s="68">
        <v>0</v>
      </c>
      <c r="AR146" s="68">
        <v>0</v>
      </c>
      <c r="AS146" s="68">
        <v>0</v>
      </c>
      <c r="AT146" s="68">
        <v>0</v>
      </c>
      <c r="AU146" s="68">
        <v>0</v>
      </c>
      <c r="AV146" s="68">
        <v>0</v>
      </c>
      <c r="AW146" s="68">
        <v>0</v>
      </c>
      <c r="AX146" s="68">
        <v>0</v>
      </c>
      <c r="AY146" s="68">
        <v>0</v>
      </c>
      <c r="AZ146" s="68">
        <v>0</v>
      </c>
      <c r="BA146" s="68">
        <v>0</v>
      </c>
      <c r="BB146" s="68">
        <v>0</v>
      </c>
      <c r="BC146" s="68">
        <v>0</v>
      </c>
      <c r="BD146" s="68">
        <v>0</v>
      </c>
      <c r="BE146" s="68">
        <v>0</v>
      </c>
      <c r="BF146" s="68">
        <v>0</v>
      </c>
      <c r="BG146" s="68">
        <v>0</v>
      </c>
      <c r="BH146" s="68">
        <v>0</v>
      </c>
      <c r="BI146" s="68">
        <v>0</v>
      </c>
      <c r="BJ146" s="68">
        <v>0</v>
      </c>
      <c r="BK146" s="68">
        <v>0</v>
      </c>
      <c r="BL146" s="68">
        <v>0</v>
      </c>
      <c r="BM146" s="68">
        <v>0</v>
      </c>
      <c r="BN146" s="68">
        <v>0</v>
      </c>
      <c r="BO146" s="68">
        <v>0</v>
      </c>
      <c r="BP146" s="68">
        <v>0</v>
      </c>
      <c r="BQ146" s="68">
        <v>0</v>
      </c>
      <c r="BR146" s="68">
        <v>0</v>
      </c>
      <c r="BS146" s="68">
        <v>0</v>
      </c>
      <c r="BT146" s="68">
        <v>0</v>
      </c>
      <c r="BU146" s="68">
        <v>0</v>
      </c>
      <c r="BV146" s="68">
        <v>0</v>
      </c>
      <c r="BW146" s="68">
        <v>0</v>
      </c>
      <c r="BX146" s="68">
        <v>0</v>
      </c>
      <c r="BY146" s="68">
        <v>0</v>
      </c>
      <c r="BZ146" s="68">
        <v>0</v>
      </c>
      <c r="CA146" s="68">
        <v>0</v>
      </c>
      <c r="CB146" s="68">
        <v>0</v>
      </c>
      <c r="CC146" s="68">
        <v>0</v>
      </c>
      <c r="CD146" s="68">
        <v>0</v>
      </c>
      <c r="CE146" s="68">
        <v>0</v>
      </c>
      <c r="CF146" s="68">
        <v>0</v>
      </c>
      <c r="CG146" s="68">
        <v>0</v>
      </c>
      <c r="CH146" s="68">
        <v>0</v>
      </c>
      <c r="CI146" s="68">
        <v>0</v>
      </c>
      <c r="CJ146" s="68">
        <v>0</v>
      </c>
      <c r="CK146" s="68">
        <v>0</v>
      </c>
      <c r="CL146" s="68">
        <v>0</v>
      </c>
      <c r="CM146" s="68">
        <v>0</v>
      </c>
      <c r="CN146" s="68">
        <v>0</v>
      </c>
      <c r="CO146" s="68">
        <v>0</v>
      </c>
      <c r="CP146" s="68">
        <v>0</v>
      </c>
      <c r="CQ146" s="68">
        <v>0</v>
      </c>
      <c r="CR146" s="68">
        <v>0</v>
      </c>
      <c r="CS146" s="68">
        <v>0</v>
      </c>
      <c r="CT146" s="68">
        <v>0</v>
      </c>
      <c r="CU146" s="68">
        <v>0</v>
      </c>
      <c r="CV146" s="68">
        <v>0</v>
      </c>
      <c r="CW146" s="68">
        <v>0</v>
      </c>
      <c r="CX146" s="68">
        <v>0</v>
      </c>
      <c r="CY146" s="68">
        <v>0</v>
      </c>
      <c r="CZ146" s="68">
        <v>0</v>
      </c>
      <c r="DA146" s="68">
        <v>0</v>
      </c>
      <c r="DB146" s="68">
        <v>0</v>
      </c>
      <c r="DC146" s="68">
        <v>0</v>
      </c>
      <c r="DD146" s="68">
        <v>0</v>
      </c>
      <c r="DE146" s="68">
        <v>0</v>
      </c>
      <c r="DF146" s="68">
        <v>0</v>
      </c>
      <c r="DG146" s="68">
        <v>0</v>
      </c>
      <c r="DH146" s="68">
        <v>0</v>
      </c>
      <c r="DI146" s="68">
        <v>0</v>
      </c>
      <c r="DJ146" s="68">
        <v>0</v>
      </c>
      <c r="DK146" s="68">
        <v>0</v>
      </c>
      <c r="DL146" s="68">
        <v>0</v>
      </c>
      <c r="DM146" s="68">
        <v>0</v>
      </c>
      <c r="DN146" s="68">
        <v>0</v>
      </c>
      <c r="DO146" s="68">
        <v>0</v>
      </c>
      <c r="DP146" s="68">
        <v>0</v>
      </c>
      <c r="DQ146" s="68">
        <v>0</v>
      </c>
      <c r="DR146" s="68">
        <v>0</v>
      </c>
      <c r="DS146" s="68">
        <v>0</v>
      </c>
      <c r="DT146" s="94">
        <v>0</v>
      </c>
      <c r="DU146" s="68">
        <v>0</v>
      </c>
      <c r="DV146" s="68">
        <v>0</v>
      </c>
      <c r="DW146" s="68">
        <v>0</v>
      </c>
      <c r="DX146" s="68">
        <v>0</v>
      </c>
      <c r="DY146" s="68">
        <v>0</v>
      </c>
      <c r="DZ146" s="68">
        <v>0</v>
      </c>
      <c r="EA146" s="68">
        <v>0</v>
      </c>
      <c r="EB146" s="68">
        <v>0</v>
      </c>
      <c r="EC146" s="68">
        <v>0</v>
      </c>
      <c r="ED146" s="68">
        <v>0</v>
      </c>
      <c r="EE146" s="68">
        <v>0</v>
      </c>
      <c r="EF146" s="67"/>
      <c r="EG146" s="68"/>
      <c r="EH146" s="69"/>
      <c r="EI146" s="69"/>
      <c r="EJ146" s="69"/>
      <c r="EK146" s="69"/>
      <c r="EL146" s="69"/>
      <c r="EM146" s="69"/>
      <c r="EN146" s="69"/>
      <c r="EO146" s="69"/>
      <c r="EP146" s="69"/>
      <c r="EQ146" s="69"/>
      <c r="ER146" s="69"/>
      <c r="ES146" s="69"/>
      <c r="ET146" s="69"/>
      <c r="EU146" s="69"/>
      <c r="EV146" s="69"/>
      <c r="EW146" s="69"/>
      <c r="EX146" s="69"/>
      <c r="EY146" s="69"/>
      <c r="EZ146" s="69"/>
      <c r="FA146" s="69"/>
      <c r="FB146" s="69"/>
      <c r="FC146" s="69"/>
      <c r="FD146" s="69"/>
      <c r="FE146" s="69"/>
      <c r="FF146" s="69"/>
      <c r="FG146" s="69"/>
      <c r="FH146" s="69"/>
      <c r="FI146" s="69"/>
      <c r="FJ146" s="69"/>
      <c r="FK146" s="69"/>
      <c r="FL146" s="69"/>
      <c r="FM146" s="69"/>
      <c r="FN146" s="69"/>
      <c r="FO146" s="69"/>
      <c r="FP146" s="69"/>
      <c r="FQ146" s="69"/>
      <c r="FR146" s="69"/>
      <c r="FS146" s="69"/>
      <c r="FT146" s="69"/>
      <c r="FU146" s="69"/>
      <c r="FV146" s="69"/>
      <c r="FW146" s="69"/>
      <c r="FX146" s="69"/>
      <c r="FY146" s="69"/>
      <c r="FZ146" s="69"/>
      <c r="GA146" s="69"/>
      <c r="GB146" s="69"/>
      <c r="GC146" s="69"/>
      <c r="GD146" s="69"/>
      <c r="GE146" s="69"/>
      <c r="GF146" s="69"/>
      <c r="GG146" s="165"/>
    </row>
    <row r="147" spans="1:189" s="66" customFormat="1" x14ac:dyDescent="0.2">
      <c r="A147"/>
      <c r="B147" s="82">
        <v>44470</v>
      </c>
      <c r="C147" s="68">
        <v>0</v>
      </c>
      <c r="D147" s="68">
        <v>0</v>
      </c>
      <c r="E147" s="68">
        <v>0</v>
      </c>
      <c r="F147" s="68">
        <v>0</v>
      </c>
      <c r="G147" s="68">
        <v>0</v>
      </c>
      <c r="H147" s="68">
        <v>0</v>
      </c>
      <c r="I147" s="68">
        <v>0</v>
      </c>
      <c r="J147" s="68">
        <v>0</v>
      </c>
      <c r="K147" s="68">
        <v>0</v>
      </c>
      <c r="L147" s="68">
        <v>0</v>
      </c>
      <c r="M147" s="68">
        <v>0</v>
      </c>
      <c r="N147" s="68">
        <v>0</v>
      </c>
      <c r="O147" s="68">
        <v>0</v>
      </c>
      <c r="P147" s="68">
        <v>0</v>
      </c>
      <c r="Q147" s="68">
        <v>0</v>
      </c>
      <c r="R147" s="68">
        <v>0</v>
      </c>
      <c r="S147" s="68">
        <v>0</v>
      </c>
      <c r="T147" s="68">
        <v>0</v>
      </c>
      <c r="U147" s="68">
        <v>0</v>
      </c>
      <c r="V147" s="68">
        <v>0</v>
      </c>
      <c r="W147" s="68">
        <v>0</v>
      </c>
      <c r="X147" s="68">
        <v>0</v>
      </c>
      <c r="Y147" s="68">
        <v>0</v>
      </c>
      <c r="Z147" s="68">
        <v>0</v>
      </c>
      <c r="AA147" s="68">
        <v>0</v>
      </c>
      <c r="AB147" s="68">
        <v>0</v>
      </c>
      <c r="AC147" s="68">
        <v>0</v>
      </c>
      <c r="AD147" s="68">
        <v>0</v>
      </c>
      <c r="AE147" s="68">
        <v>0</v>
      </c>
      <c r="AF147" s="68">
        <v>0</v>
      </c>
      <c r="AG147" s="68">
        <v>0</v>
      </c>
      <c r="AH147" s="68">
        <v>0</v>
      </c>
      <c r="AI147" s="68">
        <v>0</v>
      </c>
      <c r="AJ147" s="68">
        <v>0</v>
      </c>
      <c r="AK147" s="68">
        <v>0</v>
      </c>
      <c r="AL147" s="68">
        <v>0</v>
      </c>
      <c r="AM147" s="68">
        <v>0</v>
      </c>
      <c r="AN147" s="68">
        <v>0</v>
      </c>
      <c r="AO147" s="68">
        <v>0</v>
      </c>
      <c r="AP147" s="68">
        <v>0</v>
      </c>
      <c r="AQ147" s="68">
        <v>0</v>
      </c>
      <c r="AR147" s="68">
        <v>0</v>
      </c>
      <c r="AS147" s="68">
        <v>0</v>
      </c>
      <c r="AT147" s="68">
        <v>0</v>
      </c>
      <c r="AU147" s="68">
        <v>0</v>
      </c>
      <c r="AV147" s="68">
        <v>0</v>
      </c>
      <c r="AW147" s="68">
        <v>0</v>
      </c>
      <c r="AX147" s="68">
        <v>0</v>
      </c>
      <c r="AY147" s="68">
        <v>0</v>
      </c>
      <c r="AZ147" s="68">
        <v>0</v>
      </c>
      <c r="BA147" s="68">
        <v>0</v>
      </c>
      <c r="BB147" s="68">
        <v>0</v>
      </c>
      <c r="BC147" s="68">
        <v>0</v>
      </c>
      <c r="BD147" s="68">
        <v>0</v>
      </c>
      <c r="BE147" s="68">
        <v>0</v>
      </c>
      <c r="BF147" s="68">
        <v>0</v>
      </c>
      <c r="BG147" s="68">
        <v>0</v>
      </c>
      <c r="BH147" s="68">
        <v>0</v>
      </c>
      <c r="BI147" s="68">
        <v>0</v>
      </c>
      <c r="BJ147" s="68">
        <v>0</v>
      </c>
      <c r="BK147" s="68">
        <v>0</v>
      </c>
      <c r="BL147" s="68">
        <v>0</v>
      </c>
      <c r="BM147" s="68">
        <v>0</v>
      </c>
      <c r="BN147" s="68">
        <v>0</v>
      </c>
      <c r="BO147" s="68">
        <v>0</v>
      </c>
      <c r="BP147" s="68">
        <v>0</v>
      </c>
      <c r="BQ147" s="68">
        <v>0</v>
      </c>
      <c r="BR147" s="68">
        <v>0</v>
      </c>
      <c r="BS147" s="68">
        <v>0</v>
      </c>
      <c r="BT147" s="68">
        <v>0</v>
      </c>
      <c r="BU147" s="68">
        <v>0</v>
      </c>
      <c r="BV147" s="68">
        <v>0</v>
      </c>
      <c r="BW147" s="68">
        <v>0</v>
      </c>
      <c r="BX147" s="68">
        <v>0</v>
      </c>
      <c r="BY147" s="68">
        <v>0</v>
      </c>
      <c r="BZ147" s="68">
        <v>0</v>
      </c>
      <c r="CA147" s="68">
        <v>0</v>
      </c>
      <c r="CB147" s="68">
        <v>0</v>
      </c>
      <c r="CC147" s="68">
        <v>0</v>
      </c>
      <c r="CD147" s="68">
        <v>0</v>
      </c>
      <c r="CE147" s="68">
        <v>0</v>
      </c>
      <c r="CF147" s="68">
        <v>0</v>
      </c>
      <c r="CG147" s="68">
        <v>0</v>
      </c>
      <c r="CH147" s="68">
        <v>0</v>
      </c>
      <c r="CI147" s="68">
        <v>0</v>
      </c>
      <c r="CJ147" s="68">
        <v>0</v>
      </c>
      <c r="CK147" s="68">
        <v>0</v>
      </c>
      <c r="CL147" s="68">
        <v>0</v>
      </c>
      <c r="CM147" s="68">
        <v>0</v>
      </c>
      <c r="CN147" s="68">
        <v>0</v>
      </c>
      <c r="CO147" s="68">
        <v>0</v>
      </c>
      <c r="CP147" s="68">
        <v>0</v>
      </c>
      <c r="CQ147" s="68">
        <v>0</v>
      </c>
      <c r="CR147" s="68">
        <v>0</v>
      </c>
      <c r="CS147" s="68">
        <v>0</v>
      </c>
      <c r="CT147" s="68">
        <v>0</v>
      </c>
      <c r="CU147" s="68">
        <v>0</v>
      </c>
      <c r="CV147" s="68">
        <v>0</v>
      </c>
      <c r="CW147" s="68">
        <v>0</v>
      </c>
      <c r="CX147" s="68">
        <v>0</v>
      </c>
      <c r="CY147" s="68">
        <v>0</v>
      </c>
      <c r="CZ147" s="68">
        <v>0</v>
      </c>
      <c r="DA147" s="68">
        <v>0</v>
      </c>
      <c r="DB147" s="68">
        <v>0</v>
      </c>
      <c r="DC147" s="68">
        <v>0</v>
      </c>
      <c r="DD147" s="68">
        <v>0</v>
      </c>
      <c r="DE147" s="68">
        <v>0</v>
      </c>
      <c r="DF147" s="68">
        <v>0</v>
      </c>
      <c r="DG147" s="68">
        <v>0</v>
      </c>
      <c r="DH147" s="68">
        <v>0</v>
      </c>
      <c r="DI147" s="68">
        <v>0</v>
      </c>
      <c r="DJ147" s="68">
        <v>0</v>
      </c>
      <c r="DK147" s="68">
        <v>0</v>
      </c>
      <c r="DL147" s="68">
        <v>0</v>
      </c>
      <c r="DM147" s="68">
        <v>0</v>
      </c>
      <c r="DN147" s="68">
        <v>0</v>
      </c>
      <c r="DO147" s="68">
        <v>0</v>
      </c>
      <c r="DP147" s="68">
        <v>0</v>
      </c>
      <c r="DQ147" s="68">
        <v>0</v>
      </c>
      <c r="DR147" s="68">
        <v>0</v>
      </c>
      <c r="DS147" s="68">
        <v>0</v>
      </c>
      <c r="DT147" s="68">
        <v>0</v>
      </c>
      <c r="DU147" s="94">
        <v>0</v>
      </c>
      <c r="DV147" s="68">
        <v>0</v>
      </c>
      <c r="DW147" s="68">
        <v>0</v>
      </c>
      <c r="DX147" s="68">
        <v>0</v>
      </c>
      <c r="DY147" s="68">
        <v>0</v>
      </c>
      <c r="DZ147" s="68">
        <v>0</v>
      </c>
      <c r="EA147" s="68">
        <v>0</v>
      </c>
      <c r="EB147" s="68">
        <v>0</v>
      </c>
      <c r="EC147" s="68">
        <v>0</v>
      </c>
      <c r="ED147" s="68">
        <v>0</v>
      </c>
      <c r="EE147" s="68">
        <v>0</v>
      </c>
      <c r="EF147" s="68">
        <v>0</v>
      </c>
      <c r="EG147" s="67"/>
      <c r="EH147" s="68"/>
      <c r="EI147" s="69"/>
      <c r="EJ147" s="69"/>
      <c r="EK147" s="69"/>
      <c r="EL147" s="69"/>
      <c r="EM147" s="69"/>
      <c r="EN147" s="69"/>
      <c r="EO147" s="69"/>
      <c r="EP147" s="69"/>
      <c r="EQ147" s="69"/>
      <c r="ER147" s="69"/>
      <c r="ES147" s="69"/>
      <c r="ET147" s="69"/>
      <c r="EU147" s="69"/>
      <c r="EV147" s="69"/>
      <c r="EW147" s="69"/>
      <c r="EX147" s="69"/>
      <c r="EY147" s="69"/>
      <c r="EZ147" s="69"/>
      <c r="FA147" s="69"/>
      <c r="FB147" s="69"/>
      <c r="FC147" s="69"/>
      <c r="FD147" s="69"/>
      <c r="FE147" s="69"/>
      <c r="FF147" s="69"/>
      <c r="FG147" s="69"/>
      <c r="FH147" s="69"/>
      <c r="FI147" s="69"/>
      <c r="FJ147" s="69"/>
      <c r="FK147" s="69"/>
      <c r="FL147" s="69"/>
      <c r="FM147" s="69"/>
      <c r="FN147" s="69"/>
      <c r="FO147" s="69"/>
      <c r="FP147" s="69"/>
      <c r="FQ147" s="69"/>
      <c r="FR147" s="69"/>
      <c r="FS147" s="69"/>
      <c r="FT147" s="69"/>
      <c r="FU147" s="69"/>
      <c r="FV147" s="69"/>
      <c r="FW147" s="69"/>
      <c r="FX147" s="69"/>
      <c r="FY147" s="69"/>
      <c r="FZ147" s="69"/>
      <c r="GA147" s="69"/>
      <c r="GB147" s="69"/>
      <c r="GC147" s="69"/>
      <c r="GD147" s="69"/>
      <c r="GE147" s="69"/>
      <c r="GF147" s="69"/>
      <c r="GG147" s="165"/>
    </row>
    <row r="148" spans="1:189" s="66" customFormat="1" x14ac:dyDescent="0.2">
      <c r="A148"/>
      <c r="B148" s="82">
        <v>44501</v>
      </c>
      <c r="C148" s="68">
        <v>0</v>
      </c>
      <c r="D148" s="68">
        <v>0</v>
      </c>
      <c r="E148" s="68">
        <v>0</v>
      </c>
      <c r="F148" s="68">
        <v>0</v>
      </c>
      <c r="G148" s="68">
        <v>0</v>
      </c>
      <c r="H148" s="68">
        <v>0</v>
      </c>
      <c r="I148" s="68">
        <v>0</v>
      </c>
      <c r="J148" s="68">
        <v>0</v>
      </c>
      <c r="K148" s="68">
        <v>0</v>
      </c>
      <c r="L148" s="68">
        <v>0</v>
      </c>
      <c r="M148" s="68">
        <v>0</v>
      </c>
      <c r="N148" s="68">
        <v>0</v>
      </c>
      <c r="O148" s="68">
        <v>0</v>
      </c>
      <c r="P148" s="68">
        <v>0</v>
      </c>
      <c r="Q148" s="68">
        <v>0</v>
      </c>
      <c r="R148" s="68">
        <v>0</v>
      </c>
      <c r="S148" s="68">
        <v>0</v>
      </c>
      <c r="T148" s="68">
        <v>0</v>
      </c>
      <c r="U148" s="68">
        <v>0</v>
      </c>
      <c r="V148" s="68">
        <v>0</v>
      </c>
      <c r="W148" s="68">
        <v>0</v>
      </c>
      <c r="X148" s="68">
        <v>0</v>
      </c>
      <c r="Y148" s="68">
        <v>0</v>
      </c>
      <c r="Z148" s="68">
        <v>0</v>
      </c>
      <c r="AA148" s="68">
        <v>0</v>
      </c>
      <c r="AB148" s="68">
        <v>0</v>
      </c>
      <c r="AC148" s="68">
        <v>0</v>
      </c>
      <c r="AD148" s="68">
        <v>0</v>
      </c>
      <c r="AE148" s="68">
        <v>0</v>
      </c>
      <c r="AF148" s="68">
        <v>0</v>
      </c>
      <c r="AG148" s="68">
        <v>0</v>
      </c>
      <c r="AH148" s="68">
        <v>0</v>
      </c>
      <c r="AI148" s="68">
        <v>0</v>
      </c>
      <c r="AJ148" s="68">
        <v>0</v>
      </c>
      <c r="AK148" s="68">
        <v>0</v>
      </c>
      <c r="AL148" s="68">
        <v>0</v>
      </c>
      <c r="AM148" s="68">
        <v>0</v>
      </c>
      <c r="AN148" s="68">
        <v>0</v>
      </c>
      <c r="AO148" s="68">
        <v>0</v>
      </c>
      <c r="AP148" s="68">
        <v>0</v>
      </c>
      <c r="AQ148" s="68">
        <v>0</v>
      </c>
      <c r="AR148" s="68">
        <v>0</v>
      </c>
      <c r="AS148" s="68">
        <v>0</v>
      </c>
      <c r="AT148" s="68">
        <v>0</v>
      </c>
      <c r="AU148" s="68">
        <v>0</v>
      </c>
      <c r="AV148" s="68">
        <v>0</v>
      </c>
      <c r="AW148" s="68">
        <v>0</v>
      </c>
      <c r="AX148" s="68">
        <v>0</v>
      </c>
      <c r="AY148" s="68">
        <v>0</v>
      </c>
      <c r="AZ148" s="68">
        <v>0</v>
      </c>
      <c r="BA148" s="68">
        <v>0</v>
      </c>
      <c r="BB148" s="68">
        <v>0</v>
      </c>
      <c r="BC148" s="68">
        <v>0</v>
      </c>
      <c r="BD148" s="68">
        <v>0</v>
      </c>
      <c r="BE148" s="68">
        <v>0</v>
      </c>
      <c r="BF148" s="68">
        <v>0</v>
      </c>
      <c r="BG148" s="68">
        <v>0</v>
      </c>
      <c r="BH148" s="68">
        <v>0</v>
      </c>
      <c r="BI148" s="68">
        <v>0</v>
      </c>
      <c r="BJ148" s="68">
        <v>0</v>
      </c>
      <c r="BK148" s="68">
        <v>0</v>
      </c>
      <c r="BL148" s="68">
        <v>0</v>
      </c>
      <c r="BM148" s="68">
        <v>0</v>
      </c>
      <c r="BN148" s="68">
        <v>0</v>
      </c>
      <c r="BO148" s="68">
        <v>0</v>
      </c>
      <c r="BP148" s="68">
        <v>0</v>
      </c>
      <c r="BQ148" s="68">
        <v>0</v>
      </c>
      <c r="BR148" s="68">
        <v>0</v>
      </c>
      <c r="BS148" s="68">
        <v>0</v>
      </c>
      <c r="BT148" s="68">
        <v>0</v>
      </c>
      <c r="BU148" s="68">
        <v>0</v>
      </c>
      <c r="BV148" s="68">
        <v>0</v>
      </c>
      <c r="BW148" s="68">
        <v>0</v>
      </c>
      <c r="BX148" s="68">
        <v>0</v>
      </c>
      <c r="BY148" s="68">
        <v>0</v>
      </c>
      <c r="BZ148" s="68">
        <v>0</v>
      </c>
      <c r="CA148" s="68">
        <v>0</v>
      </c>
      <c r="CB148" s="68">
        <v>0</v>
      </c>
      <c r="CC148" s="68">
        <v>0</v>
      </c>
      <c r="CD148" s="68">
        <v>0</v>
      </c>
      <c r="CE148" s="68">
        <v>0</v>
      </c>
      <c r="CF148" s="68">
        <v>0</v>
      </c>
      <c r="CG148" s="68">
        <v>0</v>
      </c>
      <c r="CH148" s="68">
        <v>0</v>
      </c>
      <c r="CI148" s="68">
        <v>0</v>
      </c>
      <c r="CJ148" s="68">
        <v>0</v>
      </c>
      <c r="CK148" s="68">
        <v>0</v>
      </c>
      <c r="CL148" s="68">
        <v>0</v>
      </c>
      <c r="CM148" s="68">
        <v>0</v>
      </c>
      <c r="CN148" s="68">
        <v>0</v>
      </c>
      <c r="CO148" s="68">
        <v>0</v>
      </c>
      <c r="CP148" s="68">
        <v>0</v>
      </c>
      <c r="CQ148" s="68">
        <v>0</v>
      </c>
      <c r="CR148" s="68">
        <v>0</v>
      </c>
      <c r="CS148" s="68">
        <v>0</v>
      </c>
      <c r="CT148" s="68">
        <v>0</v>
      </c>
      <c r="CU148" s="68">
        <v>0</v>
      </c>
      <c r="CV148" s="68">
        <v>0</v>
      </c>
      <c r="CW148" s="68">
        <v>0</v>
      </c>
      <c r="CX148" s="68">
        <v>0</v>
      </c>
      <c r="CY148" s="68">
        <v>0</v>
      </c>
      <c r="CZ148" s="68">
        <v>0</v>
      </c>
      <c r="DA148" s="68">
        <v>0</v>
      </c>
      <c r="DB148" s="68">
        <v>0</v>
      </c>
      <c r="DC148" s="68">
        <v>0</v>
      </c>
      <c r="DD148" s="68">
        <v>0</v>
      </c>
      <c r="DE148" s="68">
        <v>0</v>
      </c>
      <c r="DF148" s="68">
        <v>0</v>
      </c>
      <c r="DG148" s="68">
        <v>0</v>
      </c>
      <c r="DH148" s="68">
        <v>0</v>
      </c>
      <c r="DI148" s="68">
        <v>0</v>
      </c>
      <c r="DJ148" s="68">
        <v>0</v>
      </c>
      <c r="DK148" s="68">
        <v>0</v>
      </c>
      <c r="DL148" s="68">
        <v>0</v>
      </c>
      <c r="DM148" s="68">
        <v>0</v>
      </c>
      <c r="DN148" s="68">
        <v>0</v>
      </c>
      <c r="DO148" s="68">
        <v>0</v>
      </c>
      <c r="DP148" s="68">
        <v>0</v>
      </c>
      <c r="DQ148" s="68">
        <v>0</v>
      </c>
      <c r="DR148" s="68">
        <v>0</v>
      </c>
      <c r="DS148" s="68">
        <v>0</v>
      </c>
      <c r="DT148" s="68">
        <v>0</v>
      </c>
      <c r="DU148" s="68">
        <v>0</v>
      </c>
      <c r="DV148" s="94">
        <v>0</v>
      </c>
      <c r="DW148" s="68">
        <v>0</v>
      </c>
      <c r="DX148" s="68">
        <v>0</v>
      </c>
      <c r="DY148" s="68">
        <v>0</v>
      </c>
      <c r="DZ148" s="68">
        <v>0</v>
      </c>
      <c r="EA148" s="68">
        <v>0</v>
      </c>
      <c r="EB148" s="68">
        <v>0</v>
      </c>
      <c r="EC148" s="68">
        <v>0</v>
      </c>
      <c r="ED148" s="68">
        <v>0</v>
      </c>
      <c r="EE148" s="68">
        <v>0</v>
      </c>
      <c r="EF148" s="68">
        <v>0</v>
      </c>
      <c r="EG148" s="68">
        <v>0</v>
      </c>
      <c r="EH148" s="67"/>
      <c r="EI148" s="68"/>
      <c r="EJ148" s="69"/>
      <c r="EK148" s="69"/>
      <c r="EL148" s="69"/>
      <c r="EM148" s="69"/>
      <c r="EN148" s="69"/>
      <c r="EO148" s="69"/>
      <c r="EP148" s="69"/>
      <c r="EQ148" s="69"/>
      <c r="ER148" s="69"/>
      <c r="ES148" s="69"/>
      <c r="ET148" s="69"/>
      <c r="EU148" s="69"/>
      <c r="EV148" s="69"/>
      <c r="EW148" s="69"/>
      <c r="EX148" s="69"/>
      <c r="EY148" s="69"/>
      <c r="EZ148" s="69"/>
      <c r="FA148" s="69"/>
      <c r="FB148" s="69"/>
      <c r="FC148" s="69"/>
      <c r="FD148" s="69"/>
      <c r="FE148" s="69"/>
      <c r="FF148" s="69"/>
      <c r="FG148" s="69"/>
      <c r="FH148" s="69"/>
      <c r="FI148" s="69"/>
      <c r="FJ148" s="69"/>
      <c r="FK148" s="69"/>
      <c r="FL148" s="69"/>
      <c r="FM148" s="69"/>
      <c r="FN148" s="69"/>
      <c r="FO148" s="69"/>
      <c r="FP148" s="69"/>
      <c r="FQ148" s="69"/>
      <c r="FR148" s="69"/>
      <c r="FS148" s="69"/>
      <c r="FT148" s="69"/>
      <c r="FU148" s="69"/>
      <c r="FV148" s="69"/>
      <c r="FW148" s="69"/>
      <c r="FX148" s="69"/>
      <c r="FY148" s="69"/>
      <c r="FZ148" s="69"/>
      <c r="GA148" s="69"/>
      <c r="GB148" s="69"/>
      <c r="GC148" s="69"/>
      <c r="GD148" s="69"/>
      <c r="GE148" s="69"/>
      <c r="GF148" s="69"/>
      <c r="GG148" s="165"/>
    </row>
    <row r="149" spans="1:189" s="66" customFormat="1" x14ac:dyDescent="0.2">
      <c r="A149"/>
      <c r="B149" s="82">
        <v>44531</v>
      </c>
      <c r="C149" s="68">
        <v>0</v>
      </c>
      <c r="D149" s="68">
        <v>0</v>
      </c>
      <c r="E149" s="68">
        <v>0</v>
      </c>
      <c r="F149" s="68">
        <v>0</v>
      </c>
      <c r="G149" s="68">
        <v>0</v>
      </c>
      <c r="H149" s="68">
        <v>0</v>
      </c>
      <c r="I149" s="68">
        <v>0</v>
      </c>
      <c r="J149" s="68">
        <v>0</v>
      </c>
      <c r="K149" s="68">
        <v>0</v>
      </c>
      <c r="L149" s="68">
        <v>0</v>
      </c>
      <c r="M149" s="68">
        <v>0</v>
      </c>
      <c r="N149" s="68">
        <v>0</v>
      </c>
      <c r="O149" s="68">
        <v>0</v>
      </c>
      <c r="P149" s="68">
        <v>0</v>
      </c>
      <c r="Q149" s="68">
        <v>0</v>
      </c>
      <c r="R149" s="68">
        <v>0</v>
      </c>
      <c r="S149" s="68">
        <v>0</v>
      </c>
      <c r="T149" s="68">
        <v>0</v>
      </c>
      <c r="U149" s="68">
        <v>0</v>
      </c>
      <c r="V149" s="68">
        <v>0</v>
      </c>
      <c r="W149" s="68">
        <v>0</v>
      </c>
      <c r="X149" s="68">
        <v>0</v>
      </c>
      <c r="Y149" s="68">
        <v>0</v>
      </c>
      <c r="Z149" s="68">
        <v>0</v>
      </c>
      <c r="AA149" s="68">
        <v>0</v>
      </c>
      <c r="AB149" s="68">
        <v>0</v>
      </c>
      <c r="AC149" s="68">
        <v>0</v>
      </c>
      <c r="AD149" s="68">
        <v>0</v>
      </c>
      <c r="AE149" s="68">
        <v>0</v>
      </c>
      <c r="AF149" s="68">
        <v>0</v>
      </c>
      <c r="AG149" s="68">
        <v>0</v>
      </c>
      <c r="AH149" s="68">
        <v>0</v>
      </c>
      <c r="AI149" s="68">
        <v>0</v>
      </c>
      <c r="AJ149" s="68">
        <v>0</v>
      </c>
      <c r="AK149" s="68">
        <v>0</v>
      </c>
      <c r="AL149" s="68">
        <v>0</v>
      </c>
      <c r="AM149" s="68">
        <v>0</v>
      </c>
      <c r="AN149" s="68">
        <v>0</v>
      </c>
      <c r="AO149" s="68">
        <v>0</v>
      </c>
      <c r="AP149" s="68">
        <v>0</v>
      </c>
      <c r="AQ149" s="68">
        <v>0</v>
      </c>
      <c r="AR149" s="68">
        <v>0</v>
      </c>
      <c r="AS149" s="68">
        <v>0</v>
      </c>
      <c r="AT149" s="68">
        <v>0</v>
      </c>
      <c r="AU149" s="68">
        <v>0</v>
      </c>
      <c r="AV149" s="68">
        <v>0</v>
      </c>
      <c r="AW149" s="68">
        <v>0</v>
      </c>
      <c r="AX149" s="68">
        <v>0</v>
      </c>
      <c r="AY149" s="68">
        <v>0</v>
      </c>
      <c r="AZ149" s="68">
        <v>0</v>
      </c>
      <c r="BA149" s="68">
        <v>0</v>
      </c>
      <c r="BB149" s="68">
        <v>0</v>
      </c>
      <c r="BC149" s="68">
        <v>0</v>
      </c>
      <c r="BD149" s="68">
        <v>0</v>
      </c>
      <c r="BE149" s="68">
        <v>0</v>
      </c>
      <c r="BF149" s="68">
        <v>0</v>
      </c>
      <c r="BG149" s="68">
        <v>0</v>
      </c>
      <c r="BH149" s="68">
        <v>0</v>
      </c>
      <c r="BI149" s="68">
        <v>0</v>
      </c>
      <c r="BJ149" s="68">
        <v>0</v>
      </c>
      <c r="BK149" s="68">
        <v>0</v>
      </c>
      <c r="BL149" s="68">
        <v>0</v>
      </c>
      <c r="BM149" s="68">
        <v>0</v>
      </c>
      <c r="BN149" s="68">
        <v>0</v>
      </c>
      <c r="BO149" s="68">
        <v>0</v>
      </c>
      <c r="BP149" s="68">
        <v>0</v>
      </c>
      <c r="BQ149" s="68">
        <v>0</v>
      </c>
      <c r="BR149" s="68">
        <v>0</v>
      </c>
      <c r="BS149" s="68">
        <v>0</v>
      </c>
      <c r="BT149" s="68">
        <v>0</v>
      </c>
      <c r="BU149" s="68">
        <v>0</v>
      </c>
      <c r="BV149" s="68">
        <v>0</v>
      </c>
      <c r="BW149" s="68">
        <v>0</v>
      </c>
      <c r="BX149" s="68">
        <v>0</v>
      </c>
      <c r="BY149" s="68">
        <v>0</v>
      </c>
      <c r="BZ149" s="68">
        <v>0</v>
      </c>
      <c r="CA149" s="68">
        <v>0</v>
      </c>
      <c r="CB149" s="68">
        <v>0</v>
      </c>
      <c r="CC149" s="68">
        <v>0</v>
      </c>
      <c r="CD149" s="68">
        <v>0</v>
      </c>
      <c r="CE149" s="68">
        <v>0</v>
      </c>
      <c r="CF149" s="68">
        <v>0</v>
      </c>
      <c r="CG149" s="68">
        <v>0</v>
      </c>
      <c r="CH149" s="68">
        <v>0</v>
      </c>
      <c r="CI149" s="68">
        <v>0</v>
      </c>
      <c r="CJ149" s="68">
        <v>0</v>
      </c>
      <c r="CK149" s="68">
        <v>0</v>
      </c>
      <c r="CL149" s="68">
        <v>0</v>
      </c>
      <c r="CM149" s="68">
        <v>0</v>
      </c>
      <c r="CN149" s="68">
        <v>0</v>
      </c>
      <c r="CO149" s="68">
        <v>0</v>
      </c>
      <c r="CP149" s="68">
        <v>0</v>
      </c>
      <c r="CQ149" s="68">
        <v>0</v>
      </c>
      <c r="CR149" s="68">
        <v>0</v>
      </c>
      <c r="CS149" s="68">
        <v>0</v>
      </c>
      <c r="CT149" s="68">
        <v>0</v>
      </c>
      <c r="CU149" s="68">
        <v>0</v>
      </c>
      <c r="CV149" s="68">
        <v>0</v>
      </c>
      <c r="CW149" s="68">
        <v>0</v>
      </c>
      <c r="CX149" s="68">
        <v>0</v>
      </c>
      <c r="CY149" s="68">
        <v>0</v>
      </c>
      <c r="CZ149" s="68">
        <v>0</v>
      </c>
      <c r="DA149" s="68">
        <v>0</v>
      </c>
      <c r="DB149" s="68">
        <v>0</v>
      </c>
      <c r="DC149" s="68">
        <v>0</v>
      </c>
      <c r="DD149" s="68">
        <v>0</v>
      </c>
      <c r="DE149" s="68">
        <v>0</v>
      </c>
      <c r="DF149" s="68">
        <v>0</v>
      </c>
      <c r="DG149" s="68">
        <v>0</v>
      </c>
      <c r="DH149" s="68">
        <v>0</v>
      </c>
      <c r="DI149" s="68">
        <v>0</v>
      </c>
      <c r="DJ149" s="68">
        <v>0</v>
      </c>
      <c r="DK149" s="68">
        <v>0</v>
      </c>
      <c r="DL149" s="68">
        <v>0</v>
      </c>
      <c r="DM149" s="68">
        <v>0</v>
      </c>
      <c r="DN149" s="68">
        <v>0</v>
      </c>
      <c r="DO149" s="68">
        <v>0</v>
      </c>
      <c r="DP149" s="68">
        <v>0</v>
      </c>
      <c r="DQ149" s="68">
        <v>0</v>
      </c>
      <c r="DR149" s="68">
        <v>0</v>
      </c>
      <c r="DS149" s="68">
        <v>0</v>
      </c>
      <c r="DT149" s="68">
        <v>0</v>
      </c>
      <c r="DU149" s="68">
        <v>0</v>
      </c>
      <c r="DV149" s="68">
        <v>0</v>
      </c>
      <c r="DW149" s="94">
        <v>0</v>
      </c>
      <c r="DX149" s="68">
        <v>0</v>
      </c>
      <c r="DY149" s="68">
        <v>0</v>
      </c>
      <c r="DZ149" s="68">
        <v>0</v>
      </c>
      <c r="EA149" s="68">
        <v>0</v>
      </c>
      <c r="EB149" s="68">
        <v>0</v>
      </c>
      <c r="EC149" s="68">
        <v>0</v>
      </c>
      <c r="ED149" s="68">
        <v>0</v>
      </c>
      <c r="EE149" s="68">
        <v>0</v>
      </c>
      <c r="EF149" s="68">
        <v>0</v>
      </c>
      <c r="EG149" s="68">
        <v>0</v>
      </c>
      <c r="EH149" s="95" t="s">
        <v>301</v>
      </c>
      <c r="EI149" s="67"/>
      <c r="EJ149" s="68"/>
      <c r="EK149" s="69"/>
      <c r="EL149" s="69"/>
      <c r="EM149" s="69"/>
      <c r="EN149" s="69"/>
      <c r="EO149" s="69"/>
      <c r="EP149" s="69"/>
      <c r="EQ149" s="69"/>
      <c r="ER149" s="69"/>
      <c r="ES149" s="69"/>
      <c r="ET149" s="69"/>
      <c r="EU149" s="69"/>
      <c r="EV149" s="69"/>
      <c r="EW149" s="69"/>
      <c r="EX149" s="69"/>
      <c r="EY149" s="69"/>
      <c r="EZ149" s="69"/>
      <c r="FA149" s="69"/>
      <c r="FB149" s="69"/>
      <c r="FC149" s="69"/>
      <c r="FD149" s="69"/>
      <c r="FE149" s="69"/>
      <c r="FF149" s="69"/>
      <c r="FG149" s="69"/>
      <c r="FH149" s="69"/>
      <c r="FI149" s="69"/>
      <c r="FJ149" s="69"/>
      <c r="FK149" s="69"/>
      <c r="FL149" s="69"/>
      <c r="FM149" s="69"/>
      <c r="FN149" s="69"/>
      <c r="FO149" s="69"/>
      <c r="FP149" s="69"/>
      <c r="FQ149" s="69"/>
      <c r="FR149" s="69"/>
      <c r="FS149" s="69"/>
      <c r="FT149" s="69"/>
      <c r="FU149" s="69"/>
      <c r="FV149" s="69"/>
      <c r="FW149" s="69"/>
      <c r="FX149" s="69"/>
      <c r="FY149" s="69"/>
      <c r="FZ149" s="69"/>
      <c r="GA149" s="69"/>
      <c r="GB149" s="69"/>
      <c r="GC149" s="69"/>
      <c r="GD149" s="69"/>
      <c r="GE149" s="69"/>
      <c r="GF149" s="69"/>
      <c r="GG149" s="165"/>
    </row>
    <row r="150" spans="1:189" s="66" customFormat="1" x14ac:dyDescent="0.2">
      <c r="A150"/>
      <c r="B150" s="82">
        <v>44562</v>
      </c>
      <c r="C150" s="68">
        <v>0</v>
      </c>
      <c r="D150" s="68">
        <v>0</v>
      </c>
      <c r="E150" s="68">
        <v>0</v>
      </c>
      <c r="F150" s="68">
        <v>0</v>
      </c>
      <c r="G150" s="68">
        <v>0</v>
      </c>
      <c r="H150" s="68">
        <v>0</v>
      </c>
      <c r="I150" s="68">
        <v>0</v>
      </c>
      <c r="J150" s="68">
        <v>0</v>
      </c>
      <c r="K150" s="68">
        <v>0</v>
      </c>
      <c r="L150" s="68">
        <v>0</v>
      </c>
      <c r="M150" s="68">
        <v>0</v>
      </c>
      <c r="N150" s="68">
        <v>0</v>
      </c>
      <c r="O150" s="68">
        <v>0</v>
      </c>
      <c r="P150" s="68">
        <v>0</v>
      </c>
      <c r="Q150" s="68">
        <v>0</v>
      </c>
      <c r="R150" s="68">
        <v>0</v>
      </c>
      <c r="S150" s="68">
        <v>0</v>
      </c>
      <c r="T150" s="68">
        <v>0</v>
      </c>
      <c r="U150" s="68">
        <v>0</v>
      </c>
      <c r="V150" s="68">
        <v>0</v>
      </c>
      <c r="W150" s="68">
        <v>0</v>
      </c>
      <c r="X150" s="68">
        <v>0</v>
      </c>
      <c r="Y150" s="68">
        <v>0</v>
      </c>
      <c r="Z150" s="68">
        <v>0</v>
      </c>
      <c r="AA150" s="68">
        <v>0</v>
      </c>
      <c r="AB150" s="68">
        <v>0</v>
      </c>
      <c r="AC150" s="68">
        <v>0</v>
      </c>
      <c r="AD150" s="68">
        <v>0</v>
      </c>
      <c r="AE150" s="68">
        <v>0</v>
      </c>
      <c r="AF150" s="68">
        <v>0</v>
      </c>
      <c r="AG150" s="68">
        <v>0</v>
      </c>
      <c r="AH150" s="68">
        <v>0</v>
      </c>
      <c r="AI150" s="68">
        <v>0</v>
      </c>
      <c r="AJ150" s="68">
        <v>0</v>
      </c>
      <c r="AK150" s="68">
        <v>0</v>
      </c>
      <c r="AL150" s="68">
        <v>0</v>
      </c>
      <c r="AM150" s="68">
        <v>0</v>
      </c>
      <c r="AN150" s="68">
        <v>0</v>
      </c>
      <c r="AO150" s="68">
        <v>0</v>
      </c>
      <c r="AP150" s="68">
        <v>0</v>
      </c>
      <c r="AQ150" s="68">
        <v>0</v>
      </c>
      <c r="AR150" s="68">
        <v>0</v>
      </c>
      <c r="AS150" s="68">
        <v>0</v>
      </c>
      <c r="AT150" s="68">
        <v>0</v>
      </c>
      <c r="AU150" s="68">
        <v>0</v>
      </c>
      <c r="AV150" s="68">
        <v>0</v>
      </c>
      <c r="AW150" s="68">
        <v>0</v>
      </c>
      <c r="AX150" s="68">
        <v>0</v>
      </c>
      <c r="AY150" s="68">
        <v>0</v>
      </c>
      <c r="AZ150" s="68">
        <v>0</v>
      </c>
      <c r="BA150" s="68">
        <v>0</v>
      </c>
      <c r="BB150" s="68">
        <v>0</v>
      </c>
      <c r="BC150" s="68">
        <v>0</v>
      </c>
      <c r="BD150" s="68">
        <v>0</v>
      </c>
      <c r="BE150" s="68">
        <v>0</v>
      </c>
      <c r="BF150" s="68">
        <v>0</v>
      </c>
      <c r="BG150" s="68">
        <v>0</v>
      </c>
      <c r="BH150" s="68">
        <v>0</v>
      </c>
      <c r="BI150" s="68">
        <v>0</v>
      </c>
      <c r="BJ150" s="68">
        <v>0</v>
      </c>
      <c r="BK150" s="68">
        <v>0</v>
      </c>
      <c r="BL150" s="68">
        <v>0</v>
      </c>
      <c r="BM150" s="68">
        <v>0</v>
      </c>
      <c r="BN150" s="68">
        <v>0</v>
      </c>
      <c r="BO150" s="68">
        <v>0</v>
      </c>
      <c r="BP150" s="68">
        <v>0</v>
      </c>
      <c r="BQ150" s="68">
        <v>0</v>
      </c>
      <c r="BR150" s="68">
        <v>0</v>
      </c>
      <c r="BS150" s="68">
        <v>0</v>
      </c>
      <c r="BT150" s="68">
        <v>0</v>
      </c>
      <c r="BU150" s="68">
        <v>0</v>
      </c>
      <c r="BV150" s="68">
        <v>0</v>
      </c>
      <c r="BW150" s="68">
        <v>0</v>
      </c>
      <c r="BX150" s="68">
        <v>0</v>
      </c>
      <c r="BY150" s="68">
        <v>0</v>
      </c>
      <c r="BZ150" s="68">
        <v>0</v>
      </c>
      <c r="CA150" s="68">
        <v>0</v>
      </c>
      <c r="CB150" s="68">
        <v>0</v>
      </c>
      <c r="CC150" s="68">
        <v>0</v>
      </c>
      <c r="CD150" s="68">
        <v>0</v>
      </c>
      <c r="CE150" s="68">
        <v>0</v>
      </c>
      <c r="CF150" s="68">
        <v>0</v>
      </c>
      <c r="CG150" s="68">
        <v>0</v>
      </c>
      <c r="CH150" s="68">
        <v>0</v>
      </c>
      <c r="CI150" s="68">
        <v>0</v>
      </c>
      <c r="CJ150" s="68">
        <v>0</v>
      </c>
      <c r="CK150" s="68">
        <v>0</v>
      </c>
      <c r="CL150" s="68">
        <v>0</v>
      </c>
      <c r="CM150" s="68">
        <v>0</v>
      </c>
      <c r="CN150" s="68">
        <v>0</v>
      </c>
      <c r="CO150" s="68">
        <v>0</v>
      </c>
      <c r="CP150" s="68">
        <v>0</v>
      </c>
      <c r="CQ150" s="68">
        <v>0</v>
      </c>
      <c r="CR150" s="68">
        <v>0</v>
      </c>
      <c r="CS150" s="68">
        <v>0</v>
      </c>
      <c r="CT150" s="68">
        <v>0</v>
      </c>
      <c r="CU150" s="68">
        <v>0</v>
      </c>
      <c r="CV150" s="68">
        <v>0</v>
      </c>
      <c r="CW150" s="68">
        <v>0</v>
      </c>
      <c r="CX150" s="68">
        <v>0</v>
      </c>
      <c r="CY150" s="68">
        <v>0</v>
      </c>
      <c r="CZ150" s="68">
        <v>0</v>
      </c>
      <c r="DA150" s="68">
        <v>0</v>
      </c>
      <c r="DB150" s="68">
        <v>0</v>
      </c>
      <c r="DC150" s="68">
        <v>0</v>
      </c>
      <c r="DD150" s="68">
        <v>0</v>
      </c>
      <c r="DE150" s="68">
        <v>0</v>
      </c>
      <c r="DF150" s="68">
        <v>0</v>
      </c>
      <c r="DG150" s="68">
        <v>0</v>
      </c>
      <c r="DH150" s="68">
        <v>0</v>
      </c>
      <c r="DI150" s="68">
        <v>0</v>
      </c>
      <c r="DJ150" s="68">
        <v>0</v>
      </c>
      <c r="DK150" s="68">
        <v>0</v>
      </c>
      <c r="DL150" s="68">
        <v>0</v>
      </c>
      <c r="DM150" s="68">
        <v>0</v>
      </c>
      <c r="DN150" s="68">
        <v>0</v>
      </c>
      <c r="DO150" s="68">
        <v>0</v>
      </c>
      <c r="DP150" s="68">
        <v>0</v>
      </c>
      <c r="DQ150" s="68">
        <v>0</v>
      </c>
      <c r="DR150" s="68">
        <v>0</v>
      </c>
      <c r="DS150" s="68">
        <v>0</v>
      </c>
      <c r="DT150" s="68">
        <v>0</v>
      </c>
      <c r="DU150" s="68">
        <v>0</v>
      </c>
      <c r="DV150" s="68">
        <v>0</v>
      </c>
      <c r="DW150" s="68">
        <v>0</v>
      </c>
      <c r="DX150" s="94">
        <v>0</v>
      </c>
      <c r="DY150" s="68">
        <v>0</v>
      </c>
      <c r="DZ150" s="68">
        <v>0</v>
      </c>
      <c r="EA150" s="68">
        <v>0</v>
      </c>
      <c r="EB150" s="68">
        <v>0</v>
      </c>
      <c r="EC150" s="68">
        <v>0</v>
      </c>
      <c r="ED150" s="68">
        <v>0</v>
      </c>
      <c r="EE150" s="68">
        <v>0</v>
      </c>
      <c r="EF150" s="68">
        <v>0</v>
      </c>
      <c r="EG150" s="68">
        <v>0</v>
      </c>
      <c r="EH150" s="68">
        <v>0</v>
      </c>
      <c r="EI150" s="68">
        <v>0</v>
      </c>
      <c r="EJ150" s="67"/>
      <c r="EK150" s="68"/>
      <c r="EL150" s="69"/>
      <c r="EM150" s="69"/>
      <c r="EN150" s="69"/>
      <c r="EO150" s="69"/>
      <c r="EP150" s="69"/>
      <c r="EQ150" s="69"/>
      <c r="ER150" s="69"/>
      <c r="ES150" s="69"/>
      <c r="ET150" s="69"/>
      <c r="EU150" s="69"/>
      <c r="EV150" s="69"/>
      <c r="EW150" s="69"/>
      <c r="EX150" s="69"/>
      <c r="EY150" s="69"/>
      <c r="EZ150" s="69"/>
      <c r="FA150" s="69"/>
      <c r="FB150" s="69"/>
      <c r="FC150" s="69"/>
      <c r="FD150" s="69"/>
      <c r="FE150" s="69"/>
      <c r="FF150" s="69"/>
      <c r="FG150" s="69"/>
      <c r="FH150" s="69"/>
      <c r="FI150" s="69"/>
      <c r="FJ150" s="69"/>
      <c r="FK150" s="69"/>
      <c r="FL150" s="69"/>
      <c r="FM150" s="69"/>
      <c r="FN150" s="69"/>
      <c r="FO150" s="69"/>
      <c r="FP150" s="69"/>
      <c r="FQ150" s="69"/>
      <c r="FR150" s="69"/>
      <c r="FS150" s="69"/>
      <c r="FT150" s="69"/>
      <c r="FU150" s="69"/>
      <c r="FV150" s="69"/>
      <c r="FW150" s="69"/>
      <c r="FX150" s="69"/>
      <c r="FY150" s="69"/>
      <c r="FZ150" s="69"/>
      <c r="GA150" s="69"/>
      <c r="GB150" s="69"/>
      <c r="GC150" s="69"/>
      <c r="GD150" s="69"/>
      <c r="GE150" s="69"/>
      <c r="GF150" s="69"/>
      <c r="GG150" s="165"/>
    </row>
    <row r="151" spans="1:189" s="66" customFormat="1" x14ac:dyDescent="0.2">
      <c r="A151"/>
      <c r="B151" s="82">
        <v>44593</v>
      </c>
      <c r="C151" s="68">
        <v>0</v>
      </c>
      <c r="D151" s="68">
        <v>0</v>
      </c>
      <c r="E151" s="68">
        <v>0</v>
      </c>
      <c r="F151" s="68">
        <v>0</v>
      </c>
      <c r="G151" s="68">
        <v>0</v>
      </c>
      <c r="H151" s="68">
        <v>0</v>
      </c>
      <c r="I151" s="68">
        <v>0</v>
      </c>
      <c r="J151" s="68">
        <v>0</v>
      </c>
      <c r="K151" s="68">
        <v>0</v>
      </c>
      <c r="L151" s="68">
        <v>0</v>
      </c>
      <c r="M151" s="68">
        <v>0</v>
      </c>
      <c r="N151" s="68">
        <v>0</v>
      </c>
      <c r="O151" s="68">
        <v>0</v>
      </c>
      <c r="P151" s="68">
        <v>0</v>
      </c>
      <c r="Q151" s="68">
        <v>0</v>
      </c>
      <c r="R151" s="68">
        <v>0</v>
      </c>
      <c r="S151" s="68">
        <v>0</v>
      </c>
      <c r="T151" s="68">
        <v>0</v>
      </c>
      <c r="U151" s="68">
        <v>0</v>
      </c>
      <c r="V151" s="68">
        <v>0</v>
      </c>
      <c r="W151" s="68">
        <v>0</v>
      </c>
      <c r="X151" s="68">
        <v>0</v>
      </c>
      <c r="Y151" s="68">
        <v>0</v>
      </c>
      <c r="Z151" s="68">
        <v>0</v>
      </c>
      <c r="AA151" s="68">
        <v>0</v>
      </c>
      <c r="AB151" s="68">
        <v>0</v>
      </c>
      <c r="AC151" s="68">
        <v>0</v>
      </c>
      <c r="AD151" s="68">
        <v>0</v>
      </c>
      <c r="AE151" s="68">
        <v>0</v>
      </c>
      <c r="AF151" s="68">
        <v>0</v>
      </c>
      <c r="AG151" s="68">
        <v>0</v>
      </c>
      <c r="AH151" s="68">
        <v>0</v>
      </c>
      <c r="AI151" s="68">
        <v>0</v>
      </c>
      <c r="AJ151" s="68">
        <v>0</v>
      </c>
      <c r="AK151" s="68">
        <v>0</v>
      </c>
      <c r="AL151" s="68">
        <v>0</v>
      </c>
      <c r="AM151" s="68">
        <v>0</v>
      </c>
      <c r="AN151" s="68">
        <v>0</v>
      </c>
      <c r="AO151" s="68">
        <v>0</v>
      </c>
      <c r="AP151" s="68">
        <v>0</v>
      </c>
      <c r="AQ151" s="68">
        <v>0</v>
      </c>
      <c r="AR151" s="68">
        <v>0</v>
      </c>
      <c r="AS151" s="68">
        <v>0</v>
      </c>
      <c r="AT151" s="68">
        <v>0</v>
      </c>
      <c r="AU151" s="68">
        <v>0</v>
      </c>
      <c r="AV151" s="68">
        <v>0</v>
      </c>
      <c r="AW151" s="68">
        <v>0</v>
      </c>
      <c r="AX151" s="68">
        <v>0</v>
      </c>
      <c r="AY151" s="68">
        <v>0</v>
      </c>
      <c r="AZ151" s="68">
        <v>0</v>
      </c>
      <c r="BA151" s="68">
        <v>0</v>
      </c>
      <c r="BB151" s="68">
        <v>0</v>
      </c>
      <c r="BC151" s="68">
        <v>0</v>
      </c>
      <c r="BD151" s="68">
        <v>0</v>
      </c>
      <c r="BE151" s="68">
        <v>0</v>
      </c>
      <c r="BF151" s="68">
        <v>0</v>
      </c>
      <c r="BG151" s="68">
        <v>0</v>
      </c>
      <c r="BH151" s="68">
        <v>0</v>
      </c>
      <c r="BI151" s="68">
        <v>0</v>
      </c>
      <c r="BJ151" s="68">
        <v>0</v>
      </c>
      <c r="BK151" s="68">
        <v>0</v>
      </c>
      <c r="BL151" s="68">
        <v>0</v>
      </c>
      <c r="BM151" s="68">
        <v>0</v>
      </c>
      <c r="BN151" s="68">
        <v>0</v>
      </c>
      <c r="BO151" s="68">
        <v>0</v>
      </c>
      <c r="BP151" s="68">
        <v>0</v>
      </c>
      <c r="BQ151" s="68">
        <v>0</v>
      </c>
      <c r="BR151" s="68">
        <v>0</v>
      </c>
      <c r="BS151" s="68">
        <v>0</v>
      </c>
      <c r="BT151" s="68">
        <v>0</v>
      </c>
      <c r="BU151" s="68">
        <v>0</v>
      </c>
      <c r="BV151" s="68">
        <v>0</v>
      </c>
      <c r="BW151" s="68">
        <v>0</v>
      </c>
      <c r="BX151" s="68">
        <v>0</v>
      </c>
      <c r="BY151" s="68">
        <v>0</v>
      </c>
      <c r="BZ151" s="68">
        <v>0</v>
      </c>
      <c r="CA151" s="68">
        <v>0</v>
      </c>
      <c r="CB151" s="68">
        <v>0</v>
      </c>
      <c r="CC151" s="68">
        <v>0</v>
      </c>
      <c r="CD151" s="68">
        <v>0</v>
      </c>
      <c r="CE151" s="68">
        <v>0</v>
      </c>
      <c r="CF151" s="68">
        <v>0</v>
      </c>
      <c r="CG151" s="68">
        <v>0</v>
      </c>
      <c r="CH151" s="68">
        <v>0</v>
      </c>
      <c r="CI151" s="68">
        <v>0</v>
      </c>
      <c r="CJ151" s="68">
        <v>0</v>
      </c>
      <c r="CK151" s="68">
        <v>0</v>
      </c>
      <c r="CL151" s="68">
        <v>0</v>
      </c>
      <c r="CM151" s="68">
        <v>0</v>
      </c>
      <c r="CN151" s="68">
        <v>0</v>
      </c>
      <c r="CO151" s="68">
        <v>0</v>
      </c>
      <c r="CP151" s="68">
        <v>0</v>
      </c>
      <c r="CQ151" s="68">
        <v>0</v>
      </c>
      <c r="CR151" s="68">
        <v>0</v>
      </c>
      <c r="CS151" s="68">
        <v>0</v>
      </c>
      <c r="CT151" s="68">
        <v>0</v>
      </c>
      <c r="CU151" s="68">
        <v>0</v>
      </c>
      <c r="CV151" s="68">
        <v>0</v>
      </c>
      <c r="CW151" s="68">
        <v>0</v>
      </c>
      <c r="CX151" s="68">
        <v>0</v>
      </c>
      <c r="CY151" s="68">
        <v>0</v>
      </c>
      <c r="CZ151" s="68">
        <v>0</v>
      </c>
      <c r="DA151" s="68">
        <v>0</v>
      </c>
      <c r="DB151" s="68">
        <v>0</v>
      </c>
      <c r="DC151" s="68">
        <v>0</v>
      </c>
      <c r="DD151" s="68">
        <v>0</v>
      </c>
      <c r="DE151" s="68">
        <v>0</v>
      </c>
      <c r="DF151" s="68">
        <v>0</v>
      </c>
      <c r="DG151" s="68">
        <v>0</v>
      </c>
      <c r="DH151" s="68">
        <v>0</v>
      </c>
      <c r="DI151" s="68">
        <v>0</v>
      </c>
      <c r="DJ151" s="68">
        <v>0</v>
      </c>
      <c r="DK151" s="68">
        <v>0</v>
      </c>
      <c r="DL151" s="68">
        <v>0</v>
      </c>
      <c r="DM151" s="68">
        <v>0</v>
      </c>
      <c r="DN151" s="68">
        <v>0</v>
      </c>
      <c r="DO151" s="68">
        <v>0</v>
      </c>
      <c r="DP151" s="68">
        <v>0</v>
      </c>
      <c r="DQ151" s="68">
        <v>0</v>
      </c>
      <c r="DR151" s="68">
        <v>0</v>
      </c>
      <c r="DS151" s="68">
        <v>0</v>
      </c>
      <c r="DT151" s="68">
        <v>0</v>
      </c>
      <c r="DU151" s="68">
        <v>0</v>
      </c>
      <c r="DV151" s="68">
        <v>0</v>
      </c>
      <c r="DW151" s="68">
        <v>0</v>
      </c>
      <c r="DX151" s="68">
        <v>0</v>
      </c>
      <c r="DY151" s="94">
        <v>0</v>
      </c>
      <c r="DZ151" s="68">
        <v>0</v>
      </c>
      <c r="EA151" s="68">
        <v>0</v>
      </c>
      <c r="EB151" s="68">
        <v>0</v>
      </c>
      <c r="EC151" s="68">
        <v>0</v>
      </c>
      <c r="ED151" s="68">
        <v>0</v>
      </c>
      <c r="EE151" s="68">
        <v>0</v>
      </c>
      <c r="EF151" s="68">
        <v>0</v>
      </c>
      <c r="EG151" s="68">
        <v>0</v>
      </c>
      <c r="EH151" s="68">
        <v>0</v>
      </c>
      <c r="EI151" s="68">
        <v>0</v>
      </c>
      <c r="EJ151" s="68">
        <v>0</v>
      </c>
      <c r="EK151" s="67"/>
      <c r="EL151" s="68"/>
      <c r="EM151" s="69"/>
      <c r="EN151" s="69"/>
      <c r="EO151" s="69"/>
      <c r="EP151" s="69"/>
      <c r="EQ151" s="69"/>
      <c r="ER151" s="69"/>
      <c r="ES151" s="69"/>
      <c r="ET151" s="69"/>
      <c r="EU151" s="69"/>
      <c r="EV151" s="69"/>
      <c r="EW151" s="69"/>
      <c r="EX151" s="69"/>
      <c r="EY151" s="69"/>
      <c r="EZ151" s="69"/>
      <c r="FA151" s="69"/>
      <c r="FB151" s="69"/>
      <c r="FC151" s="69"/>
      <c r="FD151" s="69"/>
      <c r="FE151" s="69"/>
      <c r="FF151" s="69"/>
      <c r="FG151" s="69"/>
      <c r="FH151" s="69"/>
      <c r="FI151" s="69"/>
      <c r="FJ151" s="69"/>
      <c r="FK151" s="69"/>
      <c r="FL151" s="69"/>
      <c r="FM151" s="69"/>
      <c r="FN151" s="69"/>
      <c r="FO151" s="69"/>
      <c r="FP151" s="69"/>
      <c r="FQ151" s="69"/>
      <c r="FR151" s="69"/>
      <c r="FS151" s="69"/>
      <c r="FT151" s="69"/>
      <c r="FU151" s="69"/>
      <c r="FV151" s="69"/>
      <c r="FW151" s="69"/>
      <c r="FX151" s="69"/>
      <c r="FY151" s="69"/>
      <c r="FZ151" s="69"/>
      <c r="GA151" s="69"/>
      <c r="GB151" s="69"/>
      <c r="GC151" s="69"/>
      <c r="GD151" s="69"/>
      <c r="GE151" s="69"/>
      <c r="GF151" s="69"/>
      <c r="GG151" s="165"/>
    </row>
    <row r="152" spans="1:189" s="66" customFormat="1" x14ac:dyDescent="0.2">
      <c r="A152"/>
      <c r="B152" s="82">
        <v>44621</v>
      </c>
      <c r="C152" s="68">
        <v>0</v>
      </c>
      <c r="D152" s="68">
        <v>0</v>
      </c>
      <c r="E152" s="68">
        <v>0</v>
      </c>
      <c r="F152" s="68">
        <v>0</v>
      </c>
      <c r="G152" s="68">
        <v>0</v>
      </c>
      <c r="H152" s="68">
        <v>0</v>
      </c>
      <c r="I152" s="68">
        <v>0</v>
      </c>
      <c r="J152" s="68">
        <v>0</v>
      </c>
      <c r="K152" s="68">
        <v>0</v>
      </c>
      <c r="L152" s="68">
        <v>0</v>
      </c>
      <c r="M152" s="68">
        <v>0</v>
      </c>
      <c r="N152" s="68">
        <v>0</v>
      </c>
      <c r="O152" s="68">
        <v>0</v>
      </c>
      <c r="P152" s="68">
        <v>0</v>
      </c>
      <c r="Q152" s="68">
        <v>0</v>
      </c>
      <c r="R152" s="68">
        <v>0</v>
      </c>
      <c r="S152" s="68">
        <v>0</v>
      </c>
      <c r="T152" s="68">
        <v>0</v>
      </c>
      <c r="U152" s="68">
        <v>0</v>
      </c>
      <c r="V152" s="68">
        <v>0</v>
      </c>
      <c r="W152" s="68">
        <v>0</v>
      </c>
      <c r="X152" s="68">
        <v>0</v>
      </c>
      <c r="Y152" s="68">
        <v>0</v>
      </c>
      <c r="Z152" s="68">
        <v>0</v>
      </c>
      <c r="AA152" s="68">
        <v>0</v>
      </c>
      <c r="AB152" s="68">
        <v>0</v>
      </c>
      <c r="AC152" s="68">
        <v>0</v>
      </c>
      <c r="AD152" s="68">
        <v>0</v>
      </c>
      <c r="AE152" s="68">
        <v>0</v>
      </c>
      <c r="AF152" s="68">
        <v>0</v>
      </c>
      <c r="AG152" s="68">
        <v>0</v>
      </c>
      <c r="AH152" s="68">
        <v>0</v>
      </c>
      <c r="AI152" s="68">
        <v>0</v>
      </c>
      <c r="AJ152" s="68">
        <v>0</v>
      </c>
      <c r="AK152" s="68">
        <v>0</v>
      </c>
      <c r="AL152" s="68">
        <v>0</v>
      </c>
      <c r="AM152" s="68">
        <v>0</v>
      </c>
      <c r="AN152" s="68">
        <v>0</v>
      </c>
      <c r="AO152" s="68">
        <v>0</v>
      </c>
      <c r="AP152" s="68">
        <v>0</v>
      </c>
      <c r="AQ152" s="68">
        <v>0</v>
      </c>
      <c r="AR152" s="68">
        <v>0</v>
      </c>
      <c r="AS152" s="68">
        <v>0</v>
      </c>
      <c r="AT152" s="68">
        <v>0</v>
      </c>
      <c r="AU152" s="68">
        <v>0</v>
      </c>
      <c r="AV152" s="68">
        <v>0</v>
      </c>
      <c r="AW152" s="68">
        <v>0</v>
      </c>
      <c r="AX152" s="68">
        <v>0</v>
      </c>
      <c r="AY152" s="68">
        <v>0</v>
      </c>
      <c r="AZ152" s="68">
        <v>0</v>
      </c>
      <c r="BA152" s="68">
        <v>0</v>
      </c>
      <c r="BB152" s="68">
        <v>0</v>
      </c>
      <c r="BC152" s="68">
        <v>0</v>
      </c>
      <c r="BD152" s="68">
        <v>0</v>
      </c>
      <c r="BE152" s="68">
        <v>0</v>
      </c>
      <c r="BF152" s="68">
        <v>0</v>
      </c>
      <c r="BG152" s="68">
        <v>0</v>
      </c>
      <c r="BH152" s="68">
        <v>0</v>
      </c>
      <c r="BI152" s="68">
        <v>0</v>
      </c>
      <c r="BJ152" s="68">
        <v>0</v>
      </c>
      <c r="BK152" s="68">
        <v>0</v>
      </c>
      <c r="BL152" s="68">
        <v>0</v>
      </c>
      <c r="BM152" s="68">
        <v>0</v>
      </c>
      <c r="BN152" s="68">
        <v>0</v>
      </c>
      <c r="BO152" s="68">
        <v>0</v>
      </c>
      <c r="BP152" s="68">
        <v>0</v>
      </c>
      <c r="BQ152" s="68">
        <v>0</v>
      </c>
      <c r="BR152" s="68">
        <v>0</v>
      </c>
      <c r="BS152" s="68">
        <v>0</v>
      </c>
      <c r="BT152" s="68">
        <v>0</v>
      </c>
      <c r="BU152" s="68">
        <v>0</v>
      </c>
      <c r="BV152" s="68">
        <v>0</v>
      </c>
      <c r="BW152" s="68">
        <v>0</v>
      </c>
      <c r="BX152" s="68">
        <v>0</v>
      </c>
      <c r="BY152" s="68">
        <v>0</v>
      </c>
      <c r="BZ152" s="68">
        <v>0</v>
      </c>
      <c r="CA152" s="68">
        <v>0</v>
      </c>
      <c r="CB152" s="68">
        <v>0</v>
      </c>
      <c r="CC152" s="68">
        <v>0</v>
      </c>
      <c r="CD152" s="68">
        <v>0</v>
      </c>
      <c r="CE152" s="68">
        <v>0</v>
      </c>
      <c r="CF152" s="68">
        <v>0</v>
      </c>
      <c r="CG152" s="68">
        <v>0</v>
      </c>
      <c r="CH152" s="68">
        <v>0</v>
      </c>
      <c r="CI152" s="68">
        <v>0</v>
      </c>
      <c r="CJ152" s="68">
        <v>0</v>
      </c>
      <c r="CK152" s="68">
        <v>0</v>
      </c>
      <c r="CL152" s="68">
        <v>0</v>
      </c>
      <c r="CM152" s="68">
        <v>0</v>
      </c>
      <c r="CN152" s="68">
        <v>0</v>
      </c>
      <c r="CO152" s="68">
        <v>0</v>
      </c>
      <c r="CP152" s="68">
        <v>0</v>
      </c>
      <c r="CQ152" s="68">
        <v>0</v>
      </c>
      <c r="CR152" s="68">
        <v>0</v>
      </c>
      <c r="CS152" s="68">
        <v>0</v>
      </c>
      <c r="CT152" s="68">
        <v>0</v>
      </c>
      <c r="CU152" s="68">
        <v>0</v>
      </c>
      <c r="CV152" s="68">
        <v>0</v>
      </c>
      <c r="CW152" s="68">
        <v>0</v>
      </c>
      <c r="CX152" s="68">
        <v>0</v>
      </c>
      <c r="CY152" s="68">
        <v>0</v>
      </c>
      <c r="CZ152" s="68">
        <v>0</v>
      </c>
      <c r="DA152" s="68">
        <v>0</v>
      </c>
      <c r="DB152" s="68">
        <v>0</v>
      </c>
      <c r="DC152" s="68">
        <v>0</v>
      </c>
      <c r="DD152" s="68">
        <v>0</v>
      </c>
      <c r="DE152" s="68">
        <v>0</v>
      </c>
      <c r="DF152" s="68">
        <v>0</v>
      </c>
      <c r="DG152" s="68">
        <v>0</v>
      </c>
      <c r="DH152" s="68">
        <v>0</v>
      </c>
      <c r="DI152" s="68">
        <v>0</v>
      </c>
      <c r="DJ152" s="68">
        <v>0</v>
      </c>
      <c r="DK152" s="68">
        <v>0</v>
      </c>
      <c r="DL152" s="68">
        <v>0</v>
      </c>
      <c r="DM152" s="68">
        <v>0</v>
      </c>
      <c r="DN152" s="68">
        <v>0</v>
      </c>
      <c r="DO152" s="68">
        <v>0</v>
      </c>
      <c r="DP152" s="68">
        <v>0</v>
      </c>
      <c r="DQ152" s="68">
        <v>0</v>
      </c>
      <c r="DR152" s="68">
        <v>0</v>
      </c>
      <c r="DS152" s="68">
        <v>0</v>
      </c>
      <c r="DT152" s="68">
        <v>0</v>
      </c>
      <c r="DU152" s="68">
        <v>0</v>
      </c>
      <c r="DV152" s="68">
        <v>0</v>
      </c>
      <c r="DW152" s="68">
        <v>0</v>
      </c>
      <c r="DX152" s="68">
        <v>0</v>
      </c>
      <c r="DY152" s="68">
        <v>0</v>
      </c>
      <c r="DZ152" s="94">
        <v>0</v>
      </c>
      <c r="EA152" s="68">
        <v>0</v>
      </c>
      <c r="EB152" s="68">
        <v>0</v>
      </c>
      <c r="EC152" s="68">
        <v>0</v>
      </c>
      <c r="ED152" s="68">
        <v>0</v>
      </c>
      <c r="EE152" s="68">
        <v>0</v>
      </c>
      <c r="EF152" s="68">
        <v>0</v>
      </c>
      <c r="EG152" s="68">
        <v>0</v>
      </c>
      <c r="EH152" s="68">
        <v>0</v>
      </c>
      <c r="EI152" s="68">
        <v>0</v>
      </c>
      <c r="EJ152" s="68">
        <v>0</v>
      </c>
      <c r="EK152" s="68">
        <v>0</v>
      </c>
      <c r="EL152" s="67"/>
      <c r="EM152" s="68"/>
      <c r="EN152" s="69"/>
      <c r="EO152" s="69"/>
      <c r="EP152" s="69"/>
      <c r="EQ152" s="69"/>
      <c r="ER152" s="69"/>
      <c r="ES152" s="69"/>
      <c r="ET152" s="69"/>
      <c r="EU152" s="69"/>
      <c r="EV152" s="69"/>
      <c r="EW152" s="69"/>
      <c r="EX152" s="69"/>
      <c r="EY152" s="69"/>
      <c r="EZ152" s="69"/>
      <c r="FA152" s="69"/>
      <c r="FB152" s="69"/>
      <c r="FC152" s="69"/>
      <c r="FD152" s="69"/>
      <c r="FE152" s="69"/>
      <c r="FF152" s="69"/>
      <c r="FG152" s="69"/>
      <c r="FH152" s="69"/>
      <c r="FI152" s="69"/>
      <c r="FJ152" s="69"/>
      <c r="FK152" s="69"/>
      <c r="FL152" s="69"/>
      <c r="FM152" s="69"/>
      <c r="FN152" s="69"/>
      <c r="FO152" s="69"/>
      <c r="FP152" s="69"/>
      <c r="FQ152" s="69"/>
      <c r="FR152" s="69"/>
      <c r="FS152" s="69"/>
      <c r="FT152" s="69"/>
      <c r="FU152" s="69"/>
      <c r="FV152" s="69"/>
      <c r="FW152" s="69"/>
      <c r="FX152" s="69"/>
      <c r="FY152" s="69"/>
      <c r="FZ152" s="69"/>
      <c r="GA152" s="69"/>
      <c r="GB152" s="69"/>
      <c r="GC152" s="69"/>
      <c r="GD152" s="69"/>
      <c r="GE152" s="69"/>
      <c r="GF152" s="69"/>
      <c r="GG152" s="165"/>
    </row>
    <row r="153" spans="1:189" s="66" customFormat="1" x14ac:dyDescent="0.2">
      <c r="A153"/>
      <c r="B153" s="82">
        <v>44652</v>
      </c>
      <c r="C153" s="68">
        <v>0</v>
      </c>
      <c r="D153" s="68">
        <v>0</v>
      </c>
      <c r="E153" s="68">
        <v>0</v>
      </c>
      <c r="F153" s="68">
        <v>0</v>
      </c>
      <c r="G153" s="68">
        <v>0</v>
      </c>
      <c r="H153" s="68">
        <v>0</v>
      </c>
      <c r="I153" s="68">
        <v>0</v>
      </c>
      <c r="J153" s="68">
        <v>0</v>
      </c>
      <c r="K153" s="68">
        <v>0</v>
      </c>
      <c r="L153" s="68">
        <v>0</v>
      </c>
      <c r="M153" s="68">
        <v>0</v>
      </c>
      <c r="N153" s="68">
        <v>0</v>
      </c>
      <c r="O153" s="68">
        <v>0</v>
      </c>
      <c r="P153" s="68">
        <v>0</v>
      </c>
      <c r="Q153" s="68">
        <v>0</v>
      </c>
      <c r="R153" s="68">
        <v>0</v>
      </c>
      <c r="S153" s="68">
        <v>0</v>
      </c>
      <c r="T153" s="68">
        <v>0</v>
      </c>
      <c r="U153" s="68">
        <v>0</v>
      </c>
      <c r="V153" s="68">
        <v>0</v>
      </c>
      <c r="W153" s="68">
        <v>0</v>
      </c>
      <c r="X153" s="68">
        <v>0</v>
      </c>
      <c r="Y153" s="68">
        <v>0</v>
      </c>
      <c r="Z153" s="68">
        <v>0</v>
      </c>
      <c r="AA153" s="68">
        <v>0</v>
      </c>
      <c r="AB153" s="68">
        <v>0</v>
      </c>
      <c r="AC153" s="68">
        <v>0</v>
      </c>
      <c r="AD153" s="68">
        <v>0</v>
      </c>
      <c r="AE153" s="68">
        <v>0</v>
      </c>
      <c r="AF153" s="68">
        <v>0</v>
      </c>
      <c r="AG153" s="68">
        <v>0</v>
      </c>
      <c r="AH153" s="68">
        <v>0</v>
      </c>
      <c r="AI153" s="68">
        <v>0</v>
      </c>
      <c r="AJ153" s="68">
        <v>0</v>
      </c>
      <c r="AK153" s="68">
        <v>0</v>
      </c>
      <c r="AL153" s="68">
        <v>0</v>
      </c>
      <c r="AM153" s="68">
        <v>0</v>
      </c>
      <c r="AN153" s="68">
        <v>0</v>
      </c>
      <c r="AO153" s="68">
        <v>0</v>
      </c>
      <c r="AP153" s="68">
        <v>0</v>
      </c>
      <c r="AQ153" s="68">
        <v>0</v>
      </c>
      <c r="AR153" s="68">
        <v>0</v>
      </c>
      <c r="AS153" s="68">
        <v>0</v>
      </c>
      <c r="AT153" s="68">
        <v>0</v>
      </c>
      <c r="AU153" s="68">
        <v>0</v>
      </c>
      <c r="AV153" s="68">
        <v>0</v>
      </c>
      <c r="AW153" s="68">
        <v>0</v>
      </c>
      <c r="AX153" s="68">
        <v>0</v>
      </c>
      <c r="AY153" s="68">
        <v>0</v>
      </c>
      <c r="AZ153" s="68">
        <v>0</v>
      </c>
      <c r="BA153" s="68">
        <v>0</v>
      </c>
      <c r="BB153" s="68">
        <v>0</v>
      </c>
      <c r="BC153" s="68">
        <v>0</v>
      </c>
      <c r="BD153" s="68">
        <v>0</v>
      </c>
      <c r="BE153" s="68">
        <v>0</v>
      </c>
      <c r="BF153" s="68">
        <v>0</v>
      </c>
      <c r="BG153" s="68">
        <v>0</v>
      </c>
      <c r="BH153" s="68">
        <v>0</v>
      </c>
      <c r="BI153" s="68">
        <v>0</v>
      </c>
      <c r="BJ153" s="68">
        <v>0</v>
      </c>
      <c r="BK153" s="68">
        <v>0</v>
      </c>
      <c r="BL153" s="68">
        <v>0</v>
      </c>
      <c r="BM153" s="68">
        <v>0</v>
      </c>
      <c r="BN153" s="68">
        <v>0</v>
      </c>
      <c r="BO153" s="68">
        <v>0</v>
      </c>
      <c r="BP153" s="68">
        <v>0</v>
      </c>
      <c r="BQ153" s="68">
        <v>0</v>
      </c>
      <c r="BR153" s="68">
        <v>0</v>
      </c>
      <c r="BS153" s="68">
        <v>0</v>
      </c>
      <c r="BT153" s="68">
        <v>0</v>
      </c>
      <c r="BU153" s="68">
        <v>0</v>
      </c>
      <c r="BV153" s="68">
        <v>0</v>
      </c>
      <c r="BW153" s="68">
        <v>0</v>
      </c>
      <c r="BX153" s="68">
        <v>0</v>
      </c>
      <c r="BY153" s="68">
        <v>0</v>
      </c>
      <c r="BZ153" s="68">
        <v>0</v>
      </c>
      <c r="CA153" s="68">
        <v>0</v>
      </c>
      <c r="CB153" s="68">
        <v>0</v>
      </c>
      <c r="CC153" s="68">
        <v>0</v>
      </c>
      <c r="CD153" s="68">
        <v>0</v>
      </c>
      <c r="CE153" s="68">
        <v>0</v>
      </c>
      <c r="CF153" s="68">
        <v>0</v>
      </c>
      <c r="CG153" s="68">
        <v>0</v>
      </c>
      <c r="CH153" s="68">
        <v>0</v>
      </c>
      <c r="CI153" s="68">
        <v>0</v>
      </c>
      <c r="CJ153" s="68">
        <v>0</v>
      </c>
      <c r="CK153" s="68">
        <v>0</v>
      </c>
      <c r="CL153" s="68">
        <v>0</v>
      </c>
      <c r="CM153" s="68">
        <v>0</v>
      </c>
      <c r="CN153" s="68">
        <v>0</v>
      </c>
      <c r="CO153" s="68">
        <v>0</v>
      </c>
      <c r="CP153" s="68">
        <v>0</v>
      </c>
      <c r="CQ153" s="68">
        <v>0</v>
      </c>
      <c r="CR153" s="68">
        <v>0</v>
      </c>
      <c r="CS153" s="68">
        <v>0</v>
      </c>
      <c r="CT153" s="68">
        <v>0</v>
      </c>
      <c r="CU153" s="68">
        <v>0</v>
      </c>
      <c r="CV153" s="68">
        <v>0</v>
      </c>
      <c r="CW153" s="68">
        <v>0</v>
      </c>
      <c r="CX153" s="68">
        <v>0</v>
      </c>
      <c r="CY153" s="68">
        <v>0</v>
      </c>
      <c r="CZ153" s="68">
        <v>0</v>
      </c>
      <c r="DA153" s="68">
        <v>0</v>
      </c>
      <c r="DB153" s="68">
        <v>0</v>
      </c>
      <c r="DC153" s="68">
        <v>0</v>
      </c>
      <c r="DD153" s="68">
        <v>0</v>
      </c>
      <c r="DE153" s="68">
        <v>0</v>
      </c>
      <c r="DF153" s="68">
        <v>0</v>
      </c>
      <c r="DG153" s="68">
        <v>0</v>
      </c>
      <c r="DH153" s="68">
        <v>0</v>
      </c>
      <c r="DI153" s="68">
        <v>0</v>
      </c>
      <c r="DJ153" s="68">
        <v>0</v>
      </c>
      <c r="DK153" s="68">
        <v>0</v>
      </c>
      <c r="DL153" s="68">
        <v>0</v>
      </c>
      <c r="DM153" s="68">
        <v>0</v>
      </c>
      <c r="DN153" s="68">
        <v>0</v>
      </c>
      <c r="DO153" s="68">
        <v>0</v>
      </c>
      <c r="DP153" s="68">
        <v>0</v>
      </c>
      <c r="DQ153" s="68">
        <v>0</v>
      </c>
      <c r="DR153" s="68">
        <v>0</v>
      </c>
      <c r="DS153" s="68">
        <v>0</v>
      </c>
      <c r="DT153" s="68">
        <v>0</v>
      </c>
      <c r="DU153" s="68">
        <v>0</v>
      </c>
      <c r="DV153" s="68">
        <v>0</v>
      </c>
      <c r="DW153" s="68">
        <v>0</v>
      </c>
      <c r="DX153" s="68">
        <v>0</v>
      </c>
      <c r="DY153" s="68">
        <v>0</v>
      </c>
      <c r="DZ153" s="68">
        <v>0</v>
      </c>
      <c r="EA153" s="94">
        <v>0</v>
      </c>
      <c r="EB153" s="68">
        <v>0</v>
      </c>
      <c r="EC153" s="68">
        <v>0</v>
      </c>
      <c r="ED153" s="68">
        <v>0</v>
      </c>
      <c r="EE153" s="68">
        <v>0</v>
      </c>
      <c r="EF153" s="68">
        <v>0</v>
      </c>
      <c r="EG153" s="68">
        <v>0</v>
      </c>
      <c r="EH153" s="68">
        <v>0</v>
      </c>
      <c r="EI153" s="68">
        <v>0</v>
      </c>
      <c r="EJ153" s="68">
        <v>0</v>
      </c>
      <c r="EK153" s="68">
        <v>0</v>
      </c>
      <c r="EL153" s="68">
        <v>0</v>
      </c>
      <c r="EM153" s="67"/>
      <c r="EN153" s="68"/>
      <c r="EO153" s="69"/>
      <c r="EP153" s="69"/>
      <c r="EQ153" s="69"/>
      <c r="ER153" s="69"/>
      <c r="ES153" s="69"/>
      <c r="ET153" s="69"/>
      <c r="EU153" s="69"/>
      <c r="EV153" s="69"/>
      <c r="EW153" s="69"/>
      <c r="EX153" s="69"/>
      <c r="EY153" s="69"/>
      <c r="EZ153" s="69"/>
      <c r="FA153" s="69"/>
      <c r="FB153" s="69"/>
      <c r="FC153" s="69"/>
      <c r="FD153" s="69"/>
      <c r="FE153" s="69"/>
      <c r="FF153" s="69"/>
      <c r="FG153" s="69"/>
      <c r="FH153" s="69"/>
      <c r="FI153" s="69"/>
      <c r="FJ153" s="69"/>
      <c r="FK153" s="69"/>
      <c r="FL153" s="69"/>
      <c r="FM153" s="69"/>
      <c r="FN153" s="69"/>
      <c r="FO153" s="69"/>
      <c r="FP153" s="69"/>
      <c r="FQ153" s="69"/>
      <c r="FR153" s="69"/>
      <c r="FS153" s="69"/>
      <c r="FT153" s="69"/>
      <c r="FU153" s="69"/>
      <c r="FV153" s="69"/>
      <c r="FW153" s="69"/>
      <c r="FX153" s="69"/>
      <c r="FY153" s="69"/>
      <c r="FZ153" s="69"/>
      <c r="GA153" s="69"/>
      <c r="GB153" s="69"/>
      <c r="GC153" s="69"/>
      <c r="GD153" s="69"/>
      <c r="GE153" s="69"/>
      <c r="GF153" s="69"/>
      <c r="GG153" s="165"/>
    </row>
    <row r="154" spans="1:189" s="66" customFormat="1" x14ac:dyDescent="0.2">
      <c r="A154"/>
      <c r="B154" s="82">
        <v>44682</v>
      </c>
      <c r="C154" s="68">
        <v>0</v>
      </c>
      <c r="D154" s="68">
        <v>0</v>
      </c>
      <c r="E154" s="68">
        <v>0</v>
      </c>
      <c r="F154" s="68">
        <v>0</v>
      </c>
      <c r="G154" s="68">
        <v>0</v>
      </c>
      <c r="H154" s="68">
        <v>0</v>
      </c>
      <c r="I154" s="68">
        <v>0</v>
      </c>
      <c r="J154" s="68">
        <v>0</v>
      </c>
      <c r="K154" s="68">
        <v>0</v>
      </c>
      <c r="L154" s="68">
        <v>0</v>
      </c>
      <c r="M154" s="68">
        <v>0</v>
      </c>
      <c r="N154" s="68">
        <v>0</v>
      </c>
      <c r="O154" s="68">
        <v>0</v>
      </c>
      <c r="P154" s="68">
        <v>0</v>
      </c>
      <c r="Q154" s="68">
        <v>0</v>
      </c>
      <c r="R154" s="68">
        <v>0</v>
      </c>
      <c r="S154" s="68">
        <v>0</v>
      </c>
      <c r="T154" s="68">
        <v>0</v>
      </c>
      <c r="U154" s="68">
        <v>0</v>
      </c>
      <c r="V154" s="68">
        <v>0</v>
      </c>
      <c r="W154" s="68">
        <v>0</v>
      </c>
      <c r="X154" s="68">
        <v>0</v>
      </c>
      <c r="Y154" s="68">
        <v>0</v>
      </c>
      <c r="Z154" s="68">
        <v>0</v>
      </c>
      <c r="AA154" s="68">
        <v>0</v>
      </c>
      <c r="AB154" s="68">
        <v>0</v>
      </c>
      <c r="AC154" s="68">
        <v>0</v>
      </c>
      <c r="AD154" s="68">
        <v>0</v>
      </c>
      <c r="AE154" s="68">
        <v>0</v>
      </c>
      <c r="AF154" s="68">
        <v>0</v>
      </c>
      <c r="AG154" s="68">
        <v>0</v>
      </c>
      <c r="AH154" s="68">
        <v>0</v>
      </c>
      <c r="AI154" s="68">
        <v>0</v>
      </c>
      <c r="AJ154" s="68">
        <v>0</v>
      </c>
      <c r="AK154" s="68">
        <v>0</v>
      </c>
      <c r="AL154" s="68">
        <v>0</v>
      </c>
      <c r="AM154" s="68">
        <v>0</v>
      </c>
      <c r="AN154" s="68">
        <v>0</v>
      </c>
      <c r="AO154" s="68">
        <v>0</v>
      </c>
      <c r="AP154" s="68">
        <v>0</v>
      </c>
      <c r="AQ154" s="68">
        <v>0</v>
      </c>
      <c r="AR154" s="68">
        <v>0</v>
      </c>
      <c r="AS154" s="68">
        <v>0</v>
      </c>
      <c r="AT154" s="68">
        <v>0</v>
      </c>
      <c r="AU154" s="68">
        <v>0</v>
      </c>
      <c r="AV154" s="68">
        <v>0</v>
      </c>
      <c r="AW154" s="68">
        <v>0</v>
      </c>
      <c r="AX154" s="68">
        <v>0</v>
      </c>
      <c r="AY154" s="68">
        <v>0</v>
      </c>
      <c r="AZ154" s="68">
        <v>0</v>
      </c>
      <c r="BA154" s="68">
        <v>0</v>
      </c>
      <c r="BB154" s="68">
        <v>0</v>
      </c>
      <c r="BC154" s="68">
        <v>0</v>
      </c>
      <c r="BD154" s="68">
        <v>0</v>
      </c>
      <c r="BE154" s="68">
        <v>0</v>
      </c>
      <c r="BF154" s="68">
        <v>0</v>
      </c>
      <c r="BG154" s="68">
        <v>0</v>
      </c>
      <c r="BH154" s="68">
        <v>0</v>
      </c>
      <c r="BI154" s="68">
        <v>0</v>
      </c>
      <c r="BJ154" s="68">
        <v>0</v>
      </c>
      <c r="BK154" s="68">
        <v>0</v>
      </c>
      <c r="BL154" s="68">
        <v>0</v>
      </c>
      <c r="BM154" s="68">
        <v>0</v>
      </c>
      <c r="BN154" s="68">
        <v>0</v>
      </c>
      <c r="BO154" s="68">
        <v>0</v>
      </c>
      <c r="BP154" s="68">
        <v>0</v>
      </c>
      <c r="BQ154" s="68">
        <v>0</v>
      </c>
      <c r="BR154" s="68">
        <v>0</v>
      </c>
      <c r="BS154" s="68">
        <v>0</v>
      </c>
      <c r="BT154" s="68">
        <v>0</v>
      </c>
      <c r="BU154" s="68">
        <v>0</v>
      </c>
      <c r="BV154" s="68">
        <v>0</v>
      </c>
      <c r="BW154" s="68">
        <v>0</v>
      </c>
      <c r="BX154" s="68">
        <v>0</v>
      </c>
      <c r="BY154" s="68">
        <v>0</v>
      </c>
      <c r="BZ154" s="68">
        <v>0</v>
      </c>
      <c r="CA154" s="68">
        <v>0</v>
      </c>
      <c r="CB154" s="68">
        <v>0</v>
      </c>
      <c r="CC154" s="68">
        <v>0</v>
      </c>
      <c r="CD154" s="68">
        <v>0</v>
      </c>
      <c r="CE154" s="68">
        <v>0</v>
      </c>
      <c r="CF154" s="68">
        <v>0</v>
      </c>
      <c r="CG154" s="68">
        <v>0</v>
      </c>
      <c r="CH154" s="68">
        <v>0</v>
      </c>
      <c r="CI154" s="68">
        <v>0</v>
      </c>
      <c r="CJ154" s="68">
        <v>0</v>
      </c>
      <c r="CK154" s="68">
        <v>0</v>
      </c>
      <c r="CL154" s="68">
        <v>0</v>
      </c>
      <c r="CM154" s="68">
        <v>0</v>
      </c>
      <c r="CN154" s="68">
        <v>0</v>
      </c>
      <c r="CO154" s="68">
        <v>0</v>
      </c>
      <c r="CP154" s="68">
        <v>0</v>
      </c>
      <c r="CQ154" s="68">
        <v>0</v>
      </c>
      <c r="CR154" s="68">
        <v>0</v>
      </c>
      <c r="CS154" s="68">
        <v>0</v>
      </c>
      <c r="CT154" s="68">
        <v>0</v>
      </c>
      <c r="CU154" s="68">
        <v>0</v>
      </c>
      <c r="CV154" s="68">
        <v>0</v>
      </c>
      <c r="CW154" s="68">
        <v>0</v>
      </c>
      <c r="CX154" s="68">
        <v>0</v>
      </c>
      <c r="CY154" s="68">
        <v>0</v>
      </c>
      <c r="CZ154" s="68">
        <v>0</v>
      </c>
      <c r="DA154" s="68">
        <v>0</v>
      </c>
      <c r="DB154" s="68">
        <v>0</v>
      </c>
      <c r="DC154" s="68">
        <v>0</v>
      </c>
      <c r="DD154" s="68">
        <v>0</v>
      </c>
      <c r="DE154" s="68">
        <v>0</v>
      </c>
      <c r="DF154" s="68">
        <v>0</v>
      </c>
      <c r="DG154" s="68">
        <v>0</v>
      </c>
      <c r="DH154" s="68">
        <v>0</v>
      </c>
      <c r="DI154" s="68">
        <v>0</v>
      </c>
      <c r="DJ154" s="68">
        <v>0</v>
      </c>
      <c r="DK154" s="68">
        <v>0</v>
      </c>
      <c r="DL154" s="68">
        <v>0</v>
      </c>
      <c r="DM154" s="68">
        <v>0</v>
      </c>
      <c r="DN154" s="68">
        <v>0</v>
      </c>
      <c r="DO154" s="68">
        <v>0</v>
      </c>
      <c r="DP154" s="68">
        <v>0</v>
      </c>
      <c r="DQ154" s="68">
        <v>0</v>
      </c>
      <c r="DR154" s="68">
        <v>0</v>
      </c>
      <c r="DS154" s="68">
        <v>0</v>
      </c>
      <c r="DT154" s="68">
        <v>0</v>
      </c>
      <c r="DU154" s="68">
        <v>0</v>
      </c>
      <c r="DV154" s="68">
        <v>0</v>
      </c>
      <c r="DW154" s="68">
        <v>0</v>
      </c>
      <c r="DX154" s="68">
        <v>0</v>
      </c>
      <c r="DY154" s="68">
        <v>0</v>
      </c>
      <c r="DZ154" s="68">
        <v>0</v>
      </c>
      <c r="EA154" s="68">
        <v>0</v>
      </c>
      <c r="EB154" s="94">
        <v>0</v>
      </c>
      <c r="EC154" s="68">
        <v>0</v>
      </c>
      <c r="ED154" s="68">
        <v>0</v>
      </c>
      <c r="EE154" s="68">
        <v>0</v>
      </c>
      <c r="EF154" s="68">
        <v>0</v>
      </c>
      <c r="EG154" s="68">
        <v>0</v>
      </c>
      <c r="EH154" s="68">
        <v>0</v>
      </c>
      <c r="EI154" s="68">
        <v>0</v>
      </c>
      <c r="EJ154" s="68">
        <v>0</v>
      </c>
      <c r="EK154" s="68">
        <v>0</v>
      </c>
      <c r="EL154" s="68">
        <v>0</v>
      </c>
      <c r="EM154" s="68">
        <v>0</v>
      </c>
      <c r="EN154" s="67"/>
      <c r="EO154" s="68"/>
      <c r="EP154" s="69"/>
      <c r="EQ154" s="69"/>
      <c r="ER154" s="69"/>
      <c r="ES154" s="69"/>
      <c r="ET154" s="69"/>
      <c r="EU154" s="69"/>
      <c r="EV154" s="69"/>
      <c r="EW154" s="69"/>
      <c r="EX154" s="69"/>
      <c r="EY154" s="69"/>
      <c r="EZ154" s="69"/>
      <c r="FA154" s="69"/>
      <c r="FB154" s="69"/>
      <c r="FC154" s="69"/>
      <c r="FD154" s="69"/>
      <c r="FE154" s="69"/>
      <c r="FF154" s="69"/>
      <c r="FG154" s="69"/>
      <c r="FH154" s="69"/>
      <c r="FI154" s="69"/>
      <c r="FJ154" s="69"/>
      <c r="FK154" s="69"/>
      <c r="FL154" s="69"/>
      <c r="FM154" s="69"/>
      <c r="FN154" s="69"/>
      <c r="FO154" s="69"/>
      <c r="FP154" s="69"/>
      <c r="FQ154" s="69"/>
      <c r="FR154" s="69"/>
      <c r="FS154" s="69"/>
      <c r="FT154" s="69"/>
      <c r="FU154" s="69"/>
      <c r="FV154" s="69"/>
      <c r="FW154" s="69"/>
      <c r="FX154" s="69"/>
      <c r="FY154" s="69"/>
      <c r="FZ154" s="69"/>
      <c r="GA154" s="69"/>
      <c r="GB154" s="69"/>
      <c r="GC154" s="69"/>
      <c r="GD154" s="69"/>
      <c r="GE154" s="69"/>
      <c r="GF154" s="69"/>
      <c r="GG154" s="165"/>
    </row>
    <row r="155" spans="1:189" s="66" customFormat="1" x14ac:dyDescent="0.2">
      <c r="A155"/>
      <c r="B155" s="82">
        <v>44713</v>
      </c>
      <c r="C155" s="68">
        <v>0</v>
      </c>
      <c r="D155" s="68">
        <v>0</v>
      </c>
      <c r="E155" s="68">
        <v>0</v>
      </c>
      <c r="F155" s="68">
        <v>0</v>
      </c>
      <c r="G155" s="68">
        <v>0</v>
      </c>
      <c r="H155" s="68">
        <v>0</v>
      </c>
      <c r="I155" s="68">
        <v>0</v>
      </c>
      <c r="J155" s="68">
        <v>0</v>
      </c>
      <c r="K155" s="68">
        <v>0</v>
      </c>
      <c r="L155" s="68">
        <v>0</v>
      </c>
      <c r="M155" s="68">
        <v>0</v>
      </c>
      <c r="N155" s="68">
        <v>0</v>
      </c>
      <c r="O155" s="68">
        <v>0</v>
      </c>
      <c r="P155" s="68">
        <v>0</v>
      </c>
      <c r="Q155" s="68">
        <v>0</v>
      </c>
      <c r="R155" s="68">
        <v>0</v>
      </c>
      <c r="S155" s="68">
        <v>0</v>
      </c>
      <c r="T155" s="68">
        <v>0</v>
      </c>
      <c r="U155" s="68">
        <v>0</v>
      </c>
      <c r="V155" s="68">
        <v>0</v>
      </c>
      <c r="W155" s="68">
        <v>0</v>
      </c>
      <c r="X155" s="68">
        <v>0</v>
      </c>
      <c r="Y155" s="68">
        <v>0</v>
      </c>
      <c r="Z155" s="68">
        <v>0</v>
      </c>
      <c r="AA155" s="68">
        <v>0</v>
      </c>
      <c r="AB155" s="68">
        <v>0</v>
      </c>
      <c r="AC155" s="68">
        <v>0</v>
      </c>
      <c r="AD155" s="68">
        <v>0</v>
      </c>
      <c r="AE155" s="68">
        <v>0</v>
      </c>
      <c r="AF155" s="68">
        <v>0</v>
      </c>
      <c r="AG155" s="68">
        <v>0</v>
      </c>
      <c r="AH155" s="68">
        <v>0</v>
      </c>
      <c r="AI155" s="68">
        <v>0</v>
      </c>
      <c r="AJ155" s="68">
        <v>0</v>
      </c>
      <c r="AK155" s="68">
        <v>0</v>
      </c>
      <c r="AL155" s="68">
        <v>0</v>
      </c>
      <c r="AM155" s="68">
        <v>0</v>
      </c>
      <c r="AN155" s="68">
        <v>0</v>
      </c>
      <c r="AO155" s="68">
        <v>0</v>
      </c>
      <c r="AP155" s="68">
        <v>0</v>
      </c>
      <c r="AQ155" s="68">
        <v>0</v>
      </c>
      <c r="AR155" s="68">
        <v>0</v>
      </c>
      <c r="AS155" s="68">
        <v>0</v>
      </c>
      <c r="AT155" s="68">
        <v>0</v>
      </c>
      <c r="AU155" s="68">
        <v>0</v>
      </c>
      <c r="AV155" s="68">
        <v>0</v>
      </c>
      <c r="AW155" s="68">
        <v>0</v>
      </c>
      <c r="AX155" s="68">
        <v>0</v>
      </c>
      <c r="AY155" s="68">
        <v>0</v>
      </c>
      <c r="AZ155" s="68">
        <v>0</v>
      </c>
      <c r="BA155" s="68">
        <v>0</v>
      </c>
      <c r="BB155" s="68">
        <v>0</v>
      </c>
      <c r="BC155" s="68">
        <v>0</v>
      </c>
      <c r="BD155" s="68">
        <v>0</v>
      </c>
      <c r="BE155" s="68">
        <v>0</v>
      </c>
      <c r="BF155" s="68">
        <v>0</v>
      </c>
      <c r="BG155" s="68">
        <v>0</v>
      </c>
      <c r="BH155" s="68">
        <v>0</v>
      </c>
      <c r="BI155" s="68">
        <v>0</v>
      </c>
      <c r="BJ155" s="68">
        <v>0</v>
      </c>
      <c r="BK155" s="68">
        <v>0</v>
      </c>
      <c r="BL155" s="68">
        <v>0</v>
      </c>
      <c r="BM155" s="68">
        <v>0</v>
      </c>
      <c r="BN155" s="68">
        <v>0</v>
      </c>
      <c r="BO155" s="68">
        <v>0</v>
      </c>
      <c r="BP155" s="68">
        <v>0</v>
      </c>
      <c r="BQ155" s="68">
        <v>0</v>
      </c>
      <c r="BR155" s="68">
        <v>0</v>
      </c>
      <c r="BS155" s="68">
        <v>0</v>
      </c>
      <c r="BT155" s="68">
        <v>0</v>
      </c>
      <c r="BU155" s="68">
        <v>0</v>
      </c>
      <c r="BV155" s="68">
        <v>0</v>
      </c>
      <c r="BW155" s="68">
        <v>0</v>
      </c>
      <c r="BX155" s="68">
        <v>0</v>
      </c>
      <c r="BY155" s="68">
        <v>0</v>
      </c>
      <c r="BZ155" s="68">
        <v>0</v>
      </c>
      <c r="CA155" s="68">
        <v>0</v>
      </c>
      <c r="CB155" s="68">
        <v>0</v>
      </c>
      <c r="CC155" s="68">
        <v>0</v>
      </c>
      <c r="CD155" s="68">
        <v>0</v>
      </c>
      <c r="CE155" s="68">
        <v>0</v>
      </c>
      <c r="CF155" s="68">
        <v>0</v>
      </c>
      <c r="CG155" s="68">
        <v>0</v>
      </c>
      <c r="CH155" s="68">
        <v>0</v>
      </c>
      <c r="CI155" s="68">
        <v>0</v>
      </c>
      <c r="CJ155" s="68">
        <v>0</v>
      </c>
      <c r="CK155" s="68">
        <v>0</v>
      </c>
      <c r="CL155" s="68">
        <v>0</v>
      </c>
      <c r="CM155" s="68">
        <v>0</v>
      </c>
      <c r="CN155" s="68">
        <v>0</v>
      </c>
      <c r="CO155" s="68">
        <v>0</v>
      </c>
      <c r="CP155" s="68">
        <v>0</v>
      </c>
      <c r="CQ155" s="68">
        <v>0</v>
      </c>
      <c r="CR155" s="68">
        <v>0</v>
      </c>
      <c r="CS155" s="68">
        <v>0</v>
      </c>
      <c r="CT155" s="68">
        <v>0</v>
      </c>
      <c r="CU155" s="68">
        <v>0</v>
      </c>
      <c r="CV155" s="68">
        <v>0</v>
      </c>
      <c r="CW155" s="68">
        <v>0</v>
      </c>
      <c r="CX155" s="68">
        <v>0</v>
      </c>
      <c r="CY155" s="68">
        <v>0</v>
      </c>
      <c r="CZ155" s="68">
        <v>0</v>
      </c>
      <c r="DA155" s="68">
        <v>0</v>
      </c>
      <c r="DB155" s="68">
        <v>0</v>
      </c>
      <c r="DC155" s="68">
        <v>0</v>
      </c>
      <c r="DD155" s="68">
        <v>0</v>
      </c>
      <c r="DE155" s="68">
        <v>0</v>
      </c>
      <c r="DF155" s="68">
        <v>0</v>
      </c>
      <c r="DG155" s="68">
        <v>0</v>
      </c>
      <c r="DH155" s="68">
        <v>0</v>
      </c>
      <c r="DI155" s="68">
        <v>0</v>
      </c>
      <c r="DJ155" s="68">
        <v>0</v>
      </c>
      <c r="DK155" s="68">
        <v>0</v>
      </c>
      <c r="DL155" s="68">
        <v>0</v>
      </c>
      <c r="DM155" s="68">
        <v>0</v>
      </c>
      <c r="DN155" s="68">
        <v>0</v>
      </c>
      <c r="DO155" s="68">
        <v>0</v>
      </c>
      <c r="DP155" s="68">
        <v>1.2931485955775202E-2</v>
      </c>
      <c r="DQ155" s="68">
        <v>2.5996945759175105E-2</v>
      </c>
      <c r="DR155" s="68">
        <v>2.981971214168766E-2</v>
      </c>
      <c r="DS155" s="68">
        <v>-3.8241737830446709E-2</v>
      </c>
      <c r="DT155" s="68">
        <v>-5.1327261132982471E-2</v>
      </c>
      <c r="DU155" s="68">
        <v>-7.1693042942698071E-2</v>
      </c>
      <c r="DV155" s="68">
        <v>-0.10853076706888487</v>
      </c>
      <c r="DW155" s="68">
        <v>-9.0501048256612648E-2</v>
      </c>
      <c r="DX155" s="68">
        <v>-8.5156712705966697E-2</v>
      </c>
      <c r="DY155" s="68">
        <v>-7.6844334983121598E-2</v>
      </c>
      <c r="DZ155" s="68">
        <v>-5.0560118539138443E-2</v>
      </c>
      <c r="EA155" s="68">
        <v>-2.9848020765896877E-2</v>
      </c>
      <c r="EB155" s="68">
        <v>-5.7009732075727015E-2</v>
      </c>
      <c r="EC155" s="94">
        <v>-4.7312280977777732E-2</v>
      </c>
      <c r="ED155" s="68">
        <v>-5.4036221026265707E-2</v>
      </c>
      <c r="EE155" s="68">
        <v>-5.2440103640194025E-2</v>
      </c>
      <c r="EF155" s="68">
        <v>-7.8866544984265374E-2</v>
      </c>
      <c r="EG155" s="68">
        <v>-6.2358227345342243E-2</v>
      </c>
      <c r="EH155" s="68">
        <v>-9.0041077057591679E-2</v>
      </c>
      <c r="EI155" s="68">
        <v>-7.6603685891967643E-2</v>
      </c>
      <c r="EJ155" s="68">
        <v>-8.246339068212194E-2</v>
      </c>
      <c r="EK155" s="68">
        <v>-3.0541152347197453E-2</v>
      </c>
      <c r="EL155" s="68">
        <v>-0.16801162126745339</v>
      </c>
      <c r="EM155" s="68">
        <v>-2.020661559502912E-2</v>
      </c>
      <c r="EN155" s="68">
        <v>-3.1843687928343911E-2</v>
      </c>
      <c r="EO155" s="67"/>
      <c r="EP155" s="68"/>
      <c r="EQ155" s="69"/>
      <c r="ER155" s="69"/>
      <c r="ES155" s="69"/>
      <c r="ET155" s="69"/>
      <c r="EU155" s="69"/>
      <c r="EV155" s="69"/>
      <c r="EW155" s="69"/>
      <c r="EX155" s="69"/>
      <c r="EY155" s="69"/>
      <c r="EZ155" s="69"/>
      <c r="FA155" s="69"/>
      <c r="FB155" s="69"/>
      <c r="FC155" s="69"/>
      <c r="FD155" s="69"/>
      <c r="FE155" s="69"/>
      <c r="FF155" s="69"/>
      <c r="FG155" s="69"/>
      <c r="FH155" s="69"/>
      <c r="FI155" s="69"/>
      <c r="FJ155" s="69"/>
      <c r="FK155" s="69"/>
      <c r="FL155" s="69"/>
      <c r="FM155" s="69"/>
      <c r="FN155" s="69"/>
      <c r="FO155" s="69"/>
      <c r="FP155" s="69"/>
      <c r="FQ155" s="69"/>
      <c r="FR155" s="69"/>
      <c r="FS155" s="69"/>
      <c r="FT155" s="69"/>
      <c r="FU155" s="69"/>
      <c r="FV155" s="69"/>
      <c r="FW155" s="69"/>
      <c r="FX155" s="69"/>
      <c r="FY155" s="69"/>
      <c r="FZ155" s="69"/>
      <c r="GA155" s="69"/>
      <c r="GB155" s="69"/>
      <c r="GC155" s="69"/>
      <c r="GD155" s="69"/>
      <c r="GE155" s="69"/>
      <c r="GF155" s="69"/>
      <c r="GG155" s="165"/>
    </row>
    <row r="156" spans="1:189" s="66" customFormat="1" x14ac:dyDescent="0.2">
      <c r="A156"/>
      <c r="B156" s="82">
        <v>44743</v>
      </c>
      <c r="C156" s="68">
        <v>0</v>
      </c>
      <c r="D156" s="68">
        <v>0</v>
      </c>
      <c r="E156" s="68">
        <v>0</v>
      </c>
      <c r="F156" s="68">
        <v>0</v>
      </c>
      <c r="G156" s="68">
        <v>0</v>
      </c>
      <c r="H156" s="68">
        <v>0</v>
      </c>
      <c r="I156" s="68">
        <v>0</v>
      </c>
      <c r="J156" s="68">
        <v>0</v>
      </c>
      <c r="K156" s="68">
        <v>0</v>
      </c>
      <c r="L156" s="68">
        <v>0</v>
      </c>
      <c r="M156" s="68">
        <v>0</v>
      </c>
      <c r="N156" s="68">
        <v>0</v>
      </c>
      <c r="O156" s="68">
        <v>0</v>
      </c>
      <c r="P156" s="68">
        <v>0</v>
      </c>
      <c r="Q156" s="68">
        <v>0</v>
      </c>
      <c r="R156" s="68">
        <v>0</v>
      </c>
      <c r="S156" s="68">
        <v>0</v>
      </c>
      <c r="T156" s="68">
        <v>0</v>
      </c>
      <c r="U156" s="68">
        <v>0</v>
      </c>
      <c r="V156" s="68">
        <v>0</v>
      </c>
      <c r="W156" s="68">
        <v>0</v>
      </c>
      <c r="X156" s="68">
        <v>0</v>
      </c>
      <c r="Y156" s="68">
        <v>0</v>
      </c>
      <c r="Z156" s="68">
        <v>0</v>
      </c>
      <c r="AA156" s="68">
        <v>0</v>
      </c>
      <c r="AB156" s="68">
        <v>0</v>
      </c>
      <c r="AC156" s="68">
        <v>0</v>
      </c>
      <c r="AD156" s="68">
        <v>0</v>
      </c>
      <c r="AE156" s="68">
        <v>0</v>
      </c>
      <c r="AF156" s="68">
        <v>0</v>
      </c>
      <c r="AG156" s="68">
        <v>0</v>
      </c>
      <c r="AH156" s="68">
        <v>0</v>
      </c>
      <c r="AI156" s="68">
        <v>0</v>
      </c>
      <c r="AJ156" s="68">
        <v>0</v>
      </c>
      <c r="AK156" s="68">
        <v>0</v>
      </c>
      <c r="AL156" s="68">
        <v>0</v>
      </c>
      <c r="AM156" s="68">
        <v>0</v>
      </c>
      <c r="AN156" s="68">
        <v>0</v>
      </c>
      <c r="AO156" s="68">
        <v>0</v>
      </c>
      <c r="AP156" s="68">
        <v>0</v>
      </c>
      <c r="AQ156" s="68">
        <v>0</v>
      </c>
      <c r="AR156" s="68">
        <v>0</v>
      </c>
      <c r="AS156" s="68">
        <v>0</v>
      </c>
      <c r="AT156" s="68">
        <v>0</v>
      </c>
      <c r="AU156" s="68">
        <v>0</v>
      </c>
      <c r="AV156" s="68">
        <v>0</v>
      </c>
      <c r="AW156" s="68">
        <v>0</v>
      </c>
      <c r="AX156" s="68">
        <v>0</v>
      </c>
      <c r="AY156" s="68">
        <v>0</v>
      </c>
      <c r="AZ156" s="68">
        <v>0</v>
      </c>
      <c r="BA156" s="68">
        <v>0</v>
      </c>
      <c r="BB156" s="68">
        <v>0</v>
      </c>
      <c r="BC156" s="68">
        <v>0</v>
      </c>
      <c r="BD156" s="68">
        <v>0</v>
      </c>
      <c r="BE156" s="68">
        <v>0</v>
      </c>
      <c r="BF156" s="68">
        <v>0</v>
      </c>
      <c r="BG156" s="68">
        <v>0</v>
      </c>
      <c r="BH156" s="68">
        <v>0</v>
      </c>
      <c r="BI156" s="68">
        <v>0</v>
      </c>
      <c r="BJ156" s="68">
        <v>0</v>
      </c>
      <c r="BK156" s="68">
        <v>0</v>
      </c>
      <c r="BL156" s="68">
        <v>0</v>
      </c>
      <c r="BM156" s="68">
        <v>0</v>
      </c>
      <c r="BN156" s="68">
        <v>0</v>
      </c>
      <c r="BO156" s="68">
        <v>0</v>
      </c>
      <c r="BP156" s="68">
        <v>0</v>
      </c>
      <c r="BQ156" s="68">
        <v>0</v>
      </c>
      <c r="BR156" s="68">
        <v>0</v>
      </c>
      <c r="BS156" s="68">
        <v>0</v>
      </c>
      <c r="BT156" s="68">
        <v>0</v>
      </c>
      <c r="BU156" s="68">
        <v>0</v>
      </c>
      <c r="BV156" s="68">
        <v>0</v>
      </c>
      <c r="BW156" s="68">
        <v>0</v>
      </c>
      <c r="BX156" s="68">
        <v>0</v>
      </c>
      <c r="BY156" s="68">
        <v>0</v>
      </c>
      <c r="BZ156" s="68">
        <v>0</v>
      </c>
      <c r="CA156" s="68">
        <v>0</v>
      </c>
      <c r="CB156" s="68">
        <v>0</v>
      </c>
      <c r="CC156" s="68">
        <v>0</v>
      </c>
      <c r="CD156" s="68">
        <v>0</v>
      </c>
      <c r="CE156" s="68">
        <v>0</v>
      </c>
      <c r="CF156" s="68">
        <v>0</v>
      </c>
      <c r="CG156" s="68">
        <v>0</v>
      </c>
      <c r="CH156" s="68">
        <v>0</v>
      </c>
      <c r="CI156" s="68">
        <v>0</v>
      </c>
      <c r="CJ156" s="68">
        <v>0</v>
      </c>
      <c r="CK156" s="68">
        <v>0</v>
      </c>
      <c r="CL156" s="68">
        <v>0</v>
      </c>
      <c r="CM156" s="68">
        <v>0</v>
      </c>
      <c r="CN156" s="68">
        <v>0</v>
      </c>
      <c r="CO156" s="68">
        <v>0</v>
      </c>
      <c r="CP156" s="68">
        <v>0</v>
      </c>
      <c r="CQ156" s="68">
        <v>0</v>
      </c>
      <c r="CR156" s="68">
        <v>0</v>
      </c>
      <c r="CS156" s="68">
        <v>0</v>
      </c>
      <c r="CT156" s="68">
        <v>0</v>
      </c>
      <c r="CU156" s="68">
        <v>0</v>
      </c>
      <c r="CV156" s="68">
        <v>0</v>
      </c>
      <c r="CW156" s="68">
        <v>0</v>
      </c>
      <c r="CX156" s="68">
        <v>0</v>
      </c>
      <c r="CY156" s="68">
        <v>0</v>
      </c>
      <c r="CZ156" s="68">
        <v>0</v>
      </c>
      <c r="DA156" s="68">
        <v>0</v>
      </c>
      <c r="DB156" s="68">
        <v>0</v>
      </c>
      <c r="DC156" s="68">
        <v>0</v>
      </c>
      <c r="DD156" s="68">
        <v>0</v>
      </c>
      <c r="DE156" s="68">
        <v>0</v>
      </c>
      <c r="DF156" s="68">
        <v>0</v>
      </c>
      <c r="DG156" s="68">
        <v>0</v>
      </c>
      <c r="DH156" s="68">
        <v>0</v>
      </c>
      <c r="DI156" s="68">
        <v>0</v>
      </c>
      <c r="DJ156" s="68">
        <v>0</v>
      </c>
      <c r="DK156" s="68">
        <v>0</v>
      </c>
      <c r="DL156" s="68">
        <v>0</v>
      </c>
      <c r="DM156" s="68">
        <v>0</v>
      </c>
      <c r="DN156" s="68">
        <v>0</v>
      </c>
      <c r="DO156" s="68">
        <v>0</v>
      </c>
      <c r="DP156" s="68">
        <v>0</v>
      </c>
      <c r="DQ156" s="68">
        <v>0</v>
      </c>
      <c r="DR156" s="68">
        <v>0</v>
      </c>
      <c r="DS156" s="68">
        <v>0</v>
      </c>
      <c r="DT156" s="68">
        <v>0</v>
      </c>
      <c r="DU156" s="68">
        <v>0</v>
      </c>
      <c r="DV156" s="68">
        <v>0</v>
      </c>
      <c r="DW156" s="68">
        <v>0</v>
      </c>
      <c r="DX156" s="68">
        <v>0</v>
      </c>
      <c r="DY156" s="68">
        <v>0</v>
      </c>
      <c r="DZ156" s="68">
        <v>0</v>
      </c>
      <c r="EA156" s="68">
        <v>0</v>
      </c>
      <c r="EB156" s="68">
        <v>0</v>
      </c>
      <c r="EC156" s="68">
        <v>0</v>
      </c>
      <c r="ED156" s="94">
        <v>0</v>
      </c>
      <c r="EE156" s="68">
        <v>0</v>
      </c>
      <c r="EF156" s="68">
        <v>0</v>
      </c>
      <c r="EG156" s="68">
        <v>0</v>
      </c>
      <c r="EH156" s="68">
        <v>0</v>
      </c>
      <c r="EI156" s="68">
        <v>0</v>
      </c>
      <c r="EJ156" s="68">
        <v>0</v>
      </c>
      <c r="EK156" s="68">
        <v>0</v>
      </c>
      <c r="EL156" s="68">
        <v>0</v>
      </c>
      <c r="EM156" s="68">
        <v>0</v>
      </c>
      <c r="EN156" s="68">
        <v>0</v>
      </c>
      <c r="EO156" s="68">
        <v>0</v>
      </c>
      <c r="EP156" s="67"/>
      <c r="EQ156" s="68"/>
      <c r="ER156" s="69"/>
      <c r="ES156" s="69"/>
      <c r="ET156" s="69"/>
      <c r="EU156" s="69"/>
      <c r="EV156" s="69"/>
      <c r="EW156" s="69"/>
      <c r="EX156" s="69"/>
      <c r="EY156" s="69"/>
      <c r="EZ156" s="69"/>
      <c r="FA156" s="69"/>
      <c r="FB156" s="69"/>
      <c r="FC156" s="69"/>
      <c r="FD156" s="69"/>
      <c r="FE156" s="69"/>
      <c r="FF156" s="69"/>
      <c r="FG156" s="69"/>
      <c r="FH156" s="69"/>
      <c r="FI156" s="69"/>
      <c r="FJ156" s="69"/>
      <c r="FK156" s="69"/>
      <c r="FL156" s="69"/>
      <c r="FM156" s="69"/>
      <c r="FN156" s="69"/>
      <c r="FO156" s="69"/>
      <c r="FP156" s="69"/>
      <c r="FQ156" s="69"/>
      <c r="FR156" s="69"/>
      <c r="FS156" s="69"/>
      <c r="FT156" s="69"/>
      <c r="FU156" s="69"/>
      <c r="FV156" s="69"/>
      <c r="FW156" s="69"/>
      <c r="FX156" s="69"/>
      <c r="FY156" s="69"/>
      <c r="FZ156" s="69"/>
      <c r="GA156" s="69"/>
      <c r="GB156" s="69"/>
      <c r="GC156" s="69"/>
      <c r="GD156" s="69"/>
      <c r="GE156" s="69"/>
      <c r="GF156" s="69"/>
      <c r="GG156" s="165"/>
    </row>
    <row r="157" spans="1:189" s="66" customFormat="1" x14ac:dyDescent="0.2">
      <c r="A157"/>
      <c r="B157" s="82">
        <v>44774</v>
      </c>
      <c r="C157" s="68">
        <v>2.2667390858046588E-2</v>
      </c>
      <c r="D157" s="68">
        <v>2.1486151624003469E-2</v>
      </c>
      <c r="E157" s="68">
        <v>3.8593680386810547E-2</v>
      </c>
      <c r="F157" s="68">
        <v>5.3995562033009037E-3</v>
      </c>
      <c r="G157" s="68">
        <v>-9.5908128318598074E-3</v>
      </c>
      <c r="H157" s="68">
        <v>3.8702077892594389E-2</v>
      </c>
      <c r="I157" s="68">
        <v>-1.0150591449885837E-2</v>
      </c>
      <c r="J157" s="68">
        <v>-3.1134856021097335E-2</v>
      </c>
      <c r="K157" s="68">
        <v>-1.3603261516692555E-2</v>
      </c>
      <c r="L157" s="68">
        <v>4.6146885197273946E-2</v>
      </c>
      <c r="M157" s="68">
        <v>-1.8255224422546235E-2</v>
      </c>
      <c r="N157" s="68">
        <v>1.2158476249268801E-2</v>
      </c>
      <c r="O157" s="68">
        <v>-4.9538137197316701E-2</v>
      </c>
      <c r="P157" s="68">
        <v>1.9556850312298479E-2</v>
      </c>
      <c r="Q157" s="68">
        <v>-4.693284428270772E-3</v>
      </c>
      <c r="R157" s="68">
        <v>5.3486609795783124E-3</v>
      </c>
      <c r="S157" s="68">
        <v>4.407437624892907E-2</v>
      </c>
      <c r="T157" s="68">
        <v>4.4813109534217688E-2</v>
      </c>
      <c r="U157" s="68">
        <v>1.8305063382484832E-2</v>
      </c>
      <c r="V157" s="68">
        <v>4.0002581088259603E-2</v>
      </c>
      <c r="W157" s="68">
        <v>1.282469410868714E-2</v>
      </c>
      <c r="X157" s="68">
        <v>-3.3091562970739119E-2</v>
      </c>
      <c r="Y157" s="68">
        <v>2.803264506090386E-2</v>
      </c>
      <c r="Z157" s="68">
        <v>-3.9517435415248769E-2</v>
      </c>
      <c r="AA157" s="68">
        <v>7.7272185695562712E-3</v>
      </c>
      <c r="AB157" s="68">
        <v>-3.6329693899432414E-2</v>
      </c>
      <c r="AC157" s="68">
        <v>-3.648678979479314E-2</v>
      </c>
      <c r="AD157" s="68">
        <v>3.0510226274401475E-2</v>
      </c>
      <c r="AE157" s="68">
        <v>-2.8060685355740134E-2</v>
      </c>
      <c r="AF157" s="68">
        <v>-1.0190288069892972E-2</v>
      </c>
      <c r="AG157" s="68">
        <v>4.0156488815341618E-3</v>
      </c>
      <c r="AH157" s="68">
        <v>-4.3497363482430274E-2</v>
      </c>
      <c r="AI157" s="68">
        <v>-3.725528461066574E-2</v>
      </c>
      <c r="AJ157" s="68">
        <v>-2.0140636259327493E-2</v>
      </c>
      <c r="AK157" s="68">
        <v>3.946859888181109E-2</v>
      </c>
      <c r="AL157" s="68">
        <v>5.0006887305897862E-3</v>
      </c>
      <c r="AM157" s="68">
        <v>3.206291671217798E-2</v>
      </c>
      <c r="AN157" s="68">
        <v>-1.5318069105077825E-2</v>
      </c>
      <c r="AO157" s="68">
        <v>8.8531554486337427E-3</v>
      </c>
      <c r="AP157" s="68">
        <v>-4.6042789457231947E-2</v>
      </c>
      <c r="AQ157" s="68">
        <v>-2.4980397728668891E-2</v>
      </c>
      <c r="AR157" s="68">
        <v>3.3535192115976997E-2</v>
      </c>
      <c r="AS157" s="68">
        <v>-5.5884421244059013E-3</v>
      </c>
      <c r="AT157" s="68">
        <v>3.6198227412143069E-3</v>
      </c>
      <c r="AU157" s="68">
        <v>-2.6638504739736391E-2</v>
      </c>
      <c r="AV157" s="68">
        <v>-3.9503672838378634E-2</v>
      </c>
      <c r="AW157" s="68">
        <v>-9.7264830087198106E-3</v>
      </c>
      <c r="AX157" s="68">
        <v>3.2480787458553095E-3</v>
      </c>
      <c r="AY157" s="68">
        <v>2.966080523697201E-2</v>
      </c>
      <c r="AZ157" s="68">
        <v>-1.555119012178352E-2</v>
      </c>
      <c r="BA157" s="68">
        <v>-2.5850278107185432E-2</v>
      </c>
      <c r="BB157" s="68">
        <v>4.2962030063478096E-2</v>
      </c>
      <c r="BC157" s="68">
        <v>7.3065504469838061E-3</v>
      </c>
      <c r="BD157" s="68">
        <v>-7.3976647591251776E-3</v>
      </c>
      <c r="BE157" s="68">
        <v>3.3208853612336497E-3</v>
      </c>
      <c r="BF157" s="68">
        <v>-1.9479148532184354E-3</v>
      </c>
      <c r="BG157" s="68">
        <v>3.3321686286512886E-2</v>
      </c>
      <c r="BH157" s="68">
        <v>3.7136785496372227E-2</v>
      </c>
      <c r="BI157" s="68">
        <v>3.4240367041974196E-2</v>
      </c>
      <c r="BJ157" s="68">
        <v>8.6268808495049143E-3</v>
      </c>
      <c r="BK157" s="68">
        <v>-1.7199739431816852E-2</v>
      </c>
      <c r="BL157" s="68">
        <v>-1.8901878371764269E-2</v>
      </c>
      <c r="BM157" s="68">
        <v>-4.1461250437919261E-2</v>
      </c>
      <c r="BN157" s="68">
        <v>-2.4327930012347565E-2</v>
      </c>
      <c r="BO157" s="68">
        <v>-1.9989902805377824E-2</v>
      </c>
      <c r="BP157" s="68">
        <v>4.8601004314747343E-2</v>
      </c>
      <c r="BQ157" s="68">
        <v>1.2436358665624425E-2</v>
      </c>
      <c r="BR157" s="68">
        <v>-1.0814814435022413E-2</v>
      </c>
      <c r="BS157" s="68">
        <v>4.0244568942796377E-2</v>
      </c>
      <c r="BT157" s="68">
        <v>3.4710271412649263E-2</v>
      </c>
      <c r="BU157" s="68">
        <v>-8.5222679720970973E-3</v>
      </c>
      <c r="BV157" s="68">
        <v>-4.306961421958988E-2</v>
      </c>
      <c r="BW157" s="68">
        <v>1.7431872164692663E-2</v>
      </c>
      <c r="BX157" s="68">
        <v>4.5989072180958601E-3</v>
      </c>
      <c r="BY157" s="68">
        <v>-1.4341008971484825E-2</v>
      </c>
      <c r="BZ157" s="68">
        <v>4.6603214355727118E-2</v>
      </c>
      <c r="CA157" s="68">
        <v>3.304043766050313E-2</v>
      </c>
      <c r="CB157" s="68">
        <v>4.7406320549740144E-2</v>
      </c>
      <c r="CC157" s="68">
        <v>-3.3881137470217482E-2</v>
      </c>
      <c r="CD157" s="68">
        <v>3.6392949236400796E-2</v>
      </c>
      <c r="CE157" s="68">
        <v>2.3790345552924919E-2</v>
      </c>
      <c r="CF157" s="68">
        <v>-3.1345107941049832E-2</v>
      </c>
      <c r="CG157" s="68">
        <v>-3.32650429713226E-2</v>
      </c>
      <c r="CH157" s="68">
        <v>8.9491181947636278E-3</v>
      </c>
      <c r="CI157" s="68">
        <v>4.353394472019545E-3</v>
      </c>
      <c r="CJ157" s="68">
        <v>-3.5878905606921307E-2</v>
      </c>
      <c r="CK157" s="68">
        <v>3.8180400193581931E-2</v>
      </c>
      <c r="CL157" s="68">
        <v>6.9083232141480266E-3</v>
      </c>
      <c r="CM157" s="68">
        <v>-2.3982893538970984E-2</v>
      </c>
      <c r="CN157" s="68">
        <v>3.8483274583299476E-2</v>
      </c>
      <c r="CO157" s="68">
        <v>-2.4637999243040554E-2</v>
      </c>
      <c r="CP157" s="68">
        <v>3.0851465252226262E-3</v>
      </c>
      <c r="CQ157" s="68">
        <v>-2.4715308504525524E-2</v>
      </c>
      <c r="CR157" s="68">
        <v>-3.8930385312411886E-2</v>
      </c>
      <c r="CS157" s="68">
        <v>-6.4705549070964707E-3</v>
      </c>
      <c r="CT157" s="68">
        <v>3.1977883027863641E-2</v>
      </c>
      <c r="CU157" s="68">
        <v>4.8796641450621792E-2</v>
      </c>
      <c r="CV157" s="68">
        <v>1.8698850426787317E-2</v>
      </c>
      <c r="CW157" s="68">
        <v>-4.3018600058090328E-2</v>
      </c>
      <c r="CX157" s="68">
        <v>-4.7321200558357646E-2</v>
      </c>
      <c r="CY157" s="68">
        <v>1.186830572974884E-2</v>
      </c>
      <c r="CZ157" s="68">
        <v>-3.9187019550297464E-2</v>
      </c>
      <c r="DA157" s="68">
        <v>3.3081081136415946E-2</v>
      </c>
      <c r="DB157" s="68">
        <v>6.094454324625076E-3</v>
      </c>
      <c r="DC157" s="68">
        <v>2.7453766378314981E-2</v>
      </c>
      <c r="DD157" s="68">
        <v>-4.3049232282115213E-2</v>
      </c>
      <c r="DE157" s="68">
        <v>1.3268679439079278E-2</v>
      </c>
      <c r="DF157" s="68">
        <v>0.24941677857003697</v>
      </c>
      <c r="DG157" s="68">
        <v>2.3670738881094167E-3</v>
      </c>
      <c r="DH157" s="68">
        <v>0.12645461697199778</v>
      </c>
      <c r="DI157" s="68">
        <v>-2.5734233107542082E-2</v>
      </c>
      <c r="DJ157" s="68">
        <v>4.6652812031993562E-2</v>
      </c>
      <c r="DK157" s="68">
        <v>-4.6918221615598554E-2</v>
      </c>
      <c r="DL157" s="68">
        <v>4.251863893712482E-2</v>
      </c>
      <c r="DM157" s="68">
        <v>-2.8701219022224222E-2</v>
      </c>
      <c r="DN157" s="68">
        <v>-4.3312931668580745E-2</v>
      </c>
      <c r="DO157" s="68">
        <v>-3.8273118058484101E-2</v>
      </c>
      <c r="DP157" s="68">
        <v>0</v>
      </c>
      <c r="DQ157" s="68">
        <v>0</v>
      </c>
      <c r="DR157" s="68">
        <v>0</v>
      </c>
      <c r="DS157" s="68">
        <v>0</v>
      </c>
      <c r="DT157" s="68">
        <v>0</v>
      </c>
      <c r="DU157" s="68">
        <v>0</v>
      </c>
      <c r="DV157" s="68">
        <v>0</v>
      </c>
      <c r="DW157" s="68">
        <v>0</v>
      </c>
      <c r="DX157" s="68">
        <v>0</v>
      </c>
      <c r="DY157" s="68">
        <v>0</v>
      </c>
      <c r="DZ157" s="68">
        <v>0</v>
      </c>
      <c r="EA157" s="68">
        <v>0</v>
      </c>
      <c r="EB157" s="68">
        <v>0</v>
      </c>
      <c r="EC157" s="68">
        <v>0</v>
      </c>
      <c r="ED157" s="68">
        <v>0</v>
      </c>
      <c r="EE157" s="94">
        <v>0</v>
      </c>
      <c r="EF157" s="68">
        <v>0</v>
      </c>
      <c r="EG157" s="68">
        <v>0</v>
      </c>
      <c r="EH157" s="68">
        <v>0</v>
      </c>
      <c r="EI157" s="68">
        <v>0</v>
      </c>
      <c r="EJ157" s="68">
        <v>0</v>
      </c>
      <c r="EK157" s="68">
        <v>0</v>
      </c>
      <c r="EL157" s="68">
        <v>0</v>
      </c>
      <c r="EM157" s="68">
        <v>0</v>
      </c>
      <c r="EN157" s="68">
        <v>0</v>
      </c>
      <c r="EO157" s="68">
        <v>0</v>
      </c>
      <c r="EP157" s="68">
        <v>4.2632564145606011E-14</v>
      </c>
      <c r="EQ157" s="67"/>
      <c r="ER157" s="68"/>
      <c r="ES157" s="69"/>
      <c r="ET157" s="69"/>
      <c r="EU157" s="69"/>
      <c r="EV157" s="69"/>
      <c r="EW157" s="69"/>
      <c r="EX157" s="69"/>
      <c r="EY157" s="69"/>
      <c r="EZ157" s="69"/>
      <c r="FA157" s="69"/>
      <c r="FB157" s="69"/>
      <c r="FC157" s="69"/>
      <c r="FD157" s="69"/>
      <c r="FE157" s="69"/>
      <c r="FF157" s="69"/>
      <c r="FG157" s="69"/>
      <c r="FH157" s="69"/>
      <c r="FI157" s="69"/>
      <c r="FJ157" s="69"/>
      <c r="FK157" s="69"/>
      <c r="FL157" s="69"/>
      <c r="FM157" s="69"/>
      <c r="FN157" s="69"/>
      <c r="FO157" s="69"/>
      <c r="FP157" s="69"/>
      <c r="FQ157" s="69"/>
      <c r="FR157" s="69"/>
      <c r="FS157" s="69"/>
      <c r="FT157" s="69"/>
      <c r="FU157" s="69"/>
      <c r="FV157" s="69"/>
      <c r="FW157" s="69"/>
      <c r="FX157" s="69"/>
      <c r="FY157" s="69"/>
      <c r="FZ157" s="69"/>
      <c r="GA157" s="69"/>
      <c r="GB157" s="69"/>
      <c r="GC157" s="69"/>
      <c r="GD157" s="69"/>
      <c r="GE157" s="69"/>
      <c r="GF157" s="69"/>
      <c r="GG157" s="165"/>
    </row>
    <row r="158" spans="1:189" s="66" customFormat="1" x14ac:dyDescent="0.2">
      <c r="A158"/>
      <c r="B158" s="82">
        <v>44805</v>
      </c>
      <c r="C158" s="68">
        <v>0</v>
      </c>
      <c r="D158" s="68">
        <v>0</v>
      </c>
      <c r="E158" s="68">
        <v>0</v>
      </c>
      <c r="F158" s="68">
        <v>0</v>
      </c>
      <c r="G158" s="68">
        <v>0</v>
      </c>
      <c r="H158" s="68">
        <v>0</v>
      </c>
      <c r="I158" s="68">
        <v>0</v>
      </c>
      <c r="J158" s="68">
        <v>0</v>
      </c>
      <c r="K158" s="68">
        <v>0</v>
      </c>
      <c r="L158" s="68">
        <v>0</v>
      </c>
      <c r="M158" s="68">
        <v>0</v>
      </c>
      <c r="N158" s="68">
        <v>0</v>
      </c>
      <c r="O158" s="68">
        <v>0</v>
      </c>
      <c r="P158" s="68">
        <v>0</v>
      </c>
      <c r="Q158" s="68">
        <v>0</v>
      </c>
      <c r="R158" s="68">
        <v>0</v>
      </c>
      <c r="S158" s="68">
        <v>0</v>
      </c>
      <c r="T158" s="68">
        <v>0</v>
      </c>
      <c r="U158" s="68">
        <v>0</v>
      </c>
      <c r="V158" s="68">
        <v>0</v>
      </c>
      <c r="W158" s="68">
        <v>0</v>
      </c>
      <c r="X158" s="68">
        <v>0</v>
      </c>
      <c r="Y158" s="68">
        <v>0</v>
      </c>
      <c r="Z158" s="68">
        <v>0</v>
      </c>
      <c r="AA158" s="68">
        <v>0</v>
      </c>
      <c r="AB158" s="68">
        <v>0</v>
      </c>
      <c r="AC158" s="68">
        <v>0</v>
      </c>
      <c r="AD158" s="68">
        <v>0</v>
      </c>
      <c r="AE158" s="68">
        <v>0</v>
      </c>
      <c r="AF158" s="68">
        <v>0</v>
      </c>
      <c r="AG158" s="68">
        <v>0</v>
      </c>
      <c r="AH158" s="68">
        <v>0</v>
      </c>
      <c r="AI158" s="68">
        <v>0</v>
      </c>
      <c r="AJ158" s="68">
        <v>0</v>
      </c>
      <c r="AK158" s="68">
        <v>0</v>
      </c>
      <c r="AL158" s="68">
        <v>0</v>
      </c>
      <c r="AM158" s="68">
        <v>0</v>
      </c>
      <c r="AN158" s="68">
        <v>0</v>
      </c>
      <c r="AO158" s="68">
        <v>0</v>
      </c>
      <c r="AP158" s="68">
        <v>0</v>
      </c>
      <c r="AQ158" s="68">
        <v>0</v>
      </c>
      <c r="AR158" s="68">
        <v>0</v>
      </c>
      <c r="AS158" s="68">
        <v>0</v>
      </c>
      <c r="AT158" s="68">
        <v>0</v>
      </c>
      <c r="AU158" s="68">
        <v>0</v>
      </c>
      <c r="AV158" s="68">
        <v>0</v>
      </c>
      <c r="AW158" s="68">
        <v>0</v>
      </c>
      <c r="AX158" s="68">
        <v>0</v>
      </c>
      <c r="AY158" s="68">
        <v>0</v>
      </c>
      <c r="AZ158" s="68">
        <v>0</v>
      </c>
      <c r="BA158" s="68">
        <v>0</v>
      </c>
      <c r="BB158" s="68">
        <v>0</v>
      </c>
      <c r="BC158" s="68">
        <v>0</v>
      </c>
      <c r="BD158" s="68">
        <v>0</v>
      </c>
      <c r="BE158" s="68">
        <v>0</v>
      </c>
      <c r="BF158" s="68">
        <v>0</v>
      </c>
      <c r="BG158" s="68">
        <v>0</v>
      </c>
      <c r="BH158" s="68">
        <v>0</v>
      </c>
      <c r="BI158" s="68">
        <v>0</v>
      </c>
      <c r="BJ158" s="68">
        <v>0</v>
      </c>
      <c r="BK158" s="68">
        <v>0</v>
      </c>
      <c r="BL158" s="68">
        <v>0</v>
      </c>
      <c r="BM158" s="68">
        <v>0</v>
      </c>
      <c r="BN158" s="68">
        <v>0</v>
      </c>
      <c r="BO158" s="68">
        <v>0</v>
      </c>
      <c r="BP158" s="68">
        <v>0</v>
      </c>
      <c r="BQ158" s="68">
        <v>0</v>
      </c>
      <c r="BR158" s="68">
        <v>0</v>
      </c>
      <c r="BS158" s="68">
        <v>0</v>
      </c>
      <c r="BT158" s="68">
        <v>0</v>
      </c>
      <c r="BU158" s="68">
        <v>0</v>
      </c>
      <c r="BV158" s="68">
        <v>0</v>
      </c>
      <c r="BW158" s="68">
        <v>0</v>
      </c>
      <c r="BX158" s="68">
        <v>0</v>
      </c>
      <c r="BY158" s="68">
        <v>0</v>
      </c>
      <c r="BZ158" s="68">
        <v>0</v>
      </c>
      <c r="CA158" s="68">
        <v>0</v>
      </c>
      <c r="CB158" s="68">
        <v>0</v>
      </c>
      <c r="CC158" s="68">
        <v>0</v>
      </c>
      <c r="CD158" s="68">
        <v>0</v>
      </c>
      <c r="CE158" s="68">
        <v>0</v>
      </c>
      <c r="CF158" s="68">
        <v>0</v>
      </c>
      <c r="CG158" s="68">
        <v>0</v>
      </c>
      <c r="CH158" s="68">
        <v>0</v>
      </c>
      <c r="CI158" s="68">
        <v>0</v>
      </c>
      <c r="CJ158" s="68">
        <v>0</v>
      </c>
      <c r="CK158" s="68">
        <v>0</v>
      </c>
      <c r="CL158" s="68">
        <v>0</v>
      </c>
      <c r="CM158" s="68">
        <v>0</v>
      </c>
      <c r="CN158" s="68">
        <v>0</v>
      </c>
      <c r="CO158" s="68">
        <v>0</v>
      </c>
      <c r="CP158" s="68">
        <v>0</v>
      </c>
      <c r="CQ158" s="68">
        <v>0</v>
      </c>
      <c r="CR158" s="68">
        <v>0</v>
      </c>
      <c r="CS158" s="68">
        <v>0</v>
      </c>
      <c r="CT158" s="68">
        <v>0</v>
      </c>
      <c r="CU158" s="68">
        <v>0</v>
      </c>
      <c r="CV158" s="68">
        <v>0</v>
      </c>
      <c r="CW158" s="68">
        <v>0</v>
      </c>
      <c r="CX158" s="68">
        <v>0</v>
      </c>
      <c r="CY158" s="68">
        <v>0</v>
      </c>
      <c r="CZ158" s="68">
        <v>0</v>
      </c>
      <c r="DA158" s="68">
        <v>0</v>
      </c>
      <c r="DB158" s="68">
        <v>0</v>
      </c>
      <c r="DC158" s="68">
        <v>0</v>
      </c>
      <c r="DD158" s="68">
        <v>0</v>
      </c>
      <c r="DE158" s="68">
        <v>0</v>
      </c>
      <c r="DF158" s="68">
        <v>0</v>
      </c>
      <c r="DG158" s="68">
        <v>0</v>
      </c>
      <c r="DH158" s="68">
        <v>0</v>
      </c>
      <c r="DI158" s="68">
        <v>0</v>
      </c>
      <c r="DJ158" s="68">
        <v>0</v>
      </c>
      <c r="DK158" s="68">
        <v>0</v>
      </c>
      <c r="DL158" s="68">
        <v>0</v>
      </c>
      <c r="DM158" s="68">
        <v>0</v>
      </c>
      <c r="DN158" s="68">
        <v>0</v>
      </c>
      <c r="DO158" s="68">
        <v>0</v>
      </c>
      <c r="DP158" s="68">
        <v>0</v>
      </c>
      <c r="DQ158" s="68">
        <v>0</v>
      </c>
      <c r="DR158" s="68">
        <v>0</v>
      </c>
      <c r="DS158" s="68">
        <v>0</v>
      </c>
      <c r="DT158" s="68">
        <v>0</v>
      </c>
      <c r="DU158" s="68">
        <v>0</v>
      </c>
      <c r="DV158" s="68">
        <v>0</v>
      </c>
      <c r="DW158" s="68">
        <v>0</v>
      </c>
      <c r="DX158" s="68">
        <v>0</v>
      </c>
      <c r="DY158" s="68">
        <v>0</v>
      </c>
      <c r="DZ158" s="68">
        <v>0</v>
      </c>
      <c r="EA158" s="68">
        <v>0</v>
      </c>
      <c r="EB158" s="68">
        <v>0</v>
      </c>
      <c r="EC158" s="68">
        <v>0</v>
      </c>
      <c r="ED158" s="68">
        <v>0</v>
      </c>
      <c r="EE158" s="68">
        <v>0</v>
      </c>
      <c r="EF158" s="94">
        <v>0</v>
      </c>
      <c r="EG158" s="68">
        <v>0</v>
      </c>
      <c r="EH158" s="68">
        <v>0</v>
      </c>
      <c r="EI158" s="68">
        <v>0</v>
      </c>
      <c r="EJ158" s="68">
        <v>0</v>
      </c>
      <c r="EK158" s="68">
        <v>0</v>
      </c>
      <c r="EL158" s="68">
        <v>0</v>
      </c>
      <c r="EM158" s="68">
        <v>0</v>
      </c>
      <c r="EN158" s="68">
        <v>0</v>
      </c>
      <c r="EO158" s="68">
        <v>0</v>
      </c>
      <c r="EP158" s="68">
        <v>0</v>
      </c>
      <c r="EQ158" s="68">
        <v>0</v>
      </c>
      <c r="ER158" s="67"/>
      <c r="ES158" s="68"/>
      <c r="ET158" s="69"/>
      <c r="EU158" s="69"/>
      <c r="EV158" s="69"/>
      <c r="EW158" s="69"/>
      <c r="EX158" s="69"/>
      <c r="EY158" s="69"/>
      <c r="EZ158" s="69"/>
      <c r="FA158" s="69"/>
      <c r="FB158" s="69"/>
      <c r="FC158" s="69"/>
      <c r="FD158" s="69"/>
      <c r="FE158" s="69"/>
      <c r="FF158" s="69"/>
      <c r="FG158" s="69"/>
      <c r="FH158" s="69"/>
      <c r="FI158" s="69"/>
      <c r="FJ158" s="69"/>
      <c r="FK158" s="69"/>
      <c r="FL158" s="69"/>
      <c r="FM158" s="69"/>
      <c r="FN158" s="69"/>
      <c r="FO158" s="69"/>
      <c r="FP158" s="69"/>
      <c r="FQ158" s="69"/>
      <c r="FR158" s="69"/>
      <c r="FS158" s="69"/>
      <c r="FT158" s="69"/>
      <c r="FU158" s="69"/>
      <c r="FV158" s="69"/>
      <c r="FW158" s="69"/>
      <c r="FX158" s="69"/>
      <c r="FY158" s="69"/>
      <c r="FZ158" s="69"/>
      <c r="GA158" s="69"/>
      <c r="GB158" s="69"/>
      <c r="GC158" s="69"/>
      <c r="GD158" s="69"/>
      <c r="GE158" s="69"/>
      <c r="GF158" s="69"/>
      <c r="GG158" s="165"/>
    </row>
    <row r="159" spans="1:189" s="66" customFormat="1" x14ac:dyDescent="0.2">
      <c r="A159"/>
      <c r="B159" s="82">
        <v>44835</v>
      </c>
      <c r="C159" s="68">
        <v>0</v>
      </c>
      <c r="D159" s="68">
        <v>0</v>
      </c>
      <c r="E159" s="68">
        <v>0</v>
      </c>
      <c r="F159" s="68">
        <v>0</v>
      </c>
      <c r="G159" s="68">
        <v>0</v>
      </c>
      <c r="H159" s="68">
        <v>0</v>
      </c>
      <c r="I159" s="68">
        <v>0</v>
      </c>
      <c r="J159" s="68">
        <v>0</v>
      </c>
      <c r="K159" s="68">
        <v>0</v>
      </c>
      <c r="L159" s="68">
        <v>0</v>
      </c>
      <c r="M159" s="68">
        <v>0</v>
      </c>
      <c r="N159" s="68">
        <v>0</v>
      </c>
      <c r="O159" s="68">
        <v>0</v>
      </c>
      <c r="P159" s="68">
        <v>0</v>
      </c>
      <c r="Q159" s="68">
        <v>0</v>
      </c>
      <c r="R159" s="68">
        <v>0</v>
      </c>
      <c r="S159" s="68">
        <v>0</v>
      </c>
      <c r="T159" s="68">
        <v>0</v>
      </c>
      <c r="U159" s="68">
        <v>0</v>
      </c>
      <c r="V159" s="68">
        <v>0</v>
      </c>
      <c r="W159" s="68">
        <v>0</v>
      </c>
      <c r="X159" s="68">
        <v>0</v>
      </c>
      <c r="Y159" s="68">
        <v>0</v>
      </c>
      <c r="Z159" s="68">
        <v>0</v>
      </c>
      <c r="AA159" s="68">
        <v>0</v>
      </c>
      <c r="AB159" s="68">
        <v>0</v>
      </c>
      <c r="AC159" s="68">
        <v>0</v>
      </c>
      <c r="AD159" s="68">
        <v>0</v>
      </c>
      <c r="AE159" s="68">
        <v>0</v>
      </c>
      <c r="AF159" s="68">
        <v>0</v>
      </c>
      <c r="AG159" s="68">
        <v>0</v>
      </c>
      <c r="AH159" s="68">
        <v>0</v>
      </c>
      <c r="AI159" s="68">
        <v>0</v>
      </c>
      <c r="AJ159" s="68">
        <v>0</v>
      </c>
      <c r="AK159" s="68">
        <v>0</v>
      </c>
      <c r="AL159" s="68">
        <v>0</v>
      </c>
      <c r="AM159" s="68">
        <v>0</v>
      </c>
      <c r="AN159" s="68">
        <v>0</v>
      </c>
      <c r="AO159" s="68">
        <v>0</v>
      </c>
      <c r="AP159" s="68">
        <v>0</v>
      </c>
      <c r="AQ159" s="68">
        <v>0</v>
      </c>
      <c r="AR159" s="68">
        <v>0</v>
      </c>
      <c r="AS159" s="68">
        <v>0</v>
      </c>
      <c r="AT159" s="68">
        <v>0</v>
      </c>
      <c r="AU159" s="68">
        <v>0</v>
      </c>
      <c r="AV159" s="68">
        <v>0</v>
      </c>
      <c r="AW159" s="68">
        <v>0</v>
      </c>
      <c r="AX159" s="68">
        <v>0</v>
      </c>
      <c r="AY159" s="68">
        <v>0</v>
      </c>
      <c r="AZ159" s="68">
        <v>0</v>
      </c>
      <c r="BA159" s="68">
        <v>0</v>
      </c>
      <c r="BB159" s="68">
        <v>0</v>
      </c>
      <c r="BC159" s="68">
        <v>0</v>
      </c>
      <c r="BD159" s="68">
        <v>0</v>
      </c>
      <c r="BE159" s="68">
        <v>0</v>
      </c>
      <c r="BF159" s="68">
        <v>0</v>
      </c>
      <c r="BG159" s="68">
        <v>0</v>
      </c>
      <c r="BH159" s="68">
        <v>0</v>
      </c>
      <c r="BI159" s="68">
        <v>0</v>
      </c>
      <c r="BJ159" s="68">
        <v>0</v>
      </c>
      <c r="BK159" s="68">
        <v>0</v>
      </c>
      <c r="BL159" s="68">
        <v>0</v>
      </c>
      <c r="BM159" s="68">
        <v>0</v>
      </c>
      <c r="BN159" s="68">
        <v>0</v>
      </c>
      <c r="BO159" s="68">
        <v>0</v>
      </c>
      <c r="BP159" s="68">
        <v>0</v>
      </c>
      <c r="BQ159" s="68">
        <v>0</v>
      </c>
      <c r="BR159" s="68">
        <v>0</v>
      </c>
      <c r="BS159" s="68">
        <v>0</v>
      </c>
      <c r="BT159" s="68">
        <v>0</v>
      </c>
      <c r="BU159" s="68">
        <v>0</v>
      </c>
      <c r="BV159" s="68">
        <v>0</v>
      </c>
      <c r="BW159" s="68">
        <v>0</v>
      </c>
      <c r="BX159" s="68">
        <v>0</v>
      </c>
      <c r="BY159" s="68">
        <v>0</v>
      </c>
      <c r="BZ159" s="68">
        <v>0</v>
      </c>
      <c r="CA159" s="68">
        <v>0</v>
      </c>
      <c r="CB159" s="68">
        <v>0</v>
      </c>
      <c r="CC159" s="68">
        <v>0</v>
      </c>
      <c r="CD159" s="68">
        <v>0</v>
      </c>
      <c r="CE159" s="68">
        <v>0</v>
      </c>
      <c r="CF159" s="68">
        <v>0</v>
      </c>
      <c r="CG159" s="68">
        <v>0</v>
      </c>
      <c r="CH159" s="68">
        <v>0</v>
      </c>
      <c r="CI159" s="68">
        <v>0</v>
      </c>
      <c r="CJ159" s="68">
        <v>0</v>
      </c>
      <c r="CK159" s="68">
        <v>0</v>
      </c>
      <c r="CL159" s="68">
        <v>0</v>
      </c>
      <c r="CM159" s="68">
        <v>0</v>
      </c>
      <c r="CN159" s="68">
        <v>0</v>
      </c>
      <c r="CO159" s="68">
        <v>0</v>
      </c>
      <c r="CP159" s="68">
        <v>0</v>
      </c>
      <c r="CQ159" s="68">
        <v>0</v>
      </c>
      <c r="CR159" s="68">
        <v>0</v>
      </c>
      <c r="CS159" s="68">
        <v>0</v>
      </c>
      <c r="CT159" s="68">
        <v>0</v>
      </c>
      <c r="CU159" s="68">
        <v>0</v>
      </c>
      <c r="CV159" s="68">
        <v>0</v>
      </c>
      <c r="CW159" s="68">
        <v>0</v>
      </c>
      <c r="CX159" s="68">
        <v>0</v>
      </c>
      <c r="CY159" s="68">
        <v>0</v>
      </c>
      <c r="CZ159" s="68">
        <v>0</v>
      </c>
      <c r="DA159" s="68">
        <v>0</v>
      </c>
      <c r="DB159" s="68">
        <v>0</v>
      </c>
      <c r="DC159" s="68">
        <v>0</v>
      </c>
      <c r="DD159" s="68">
        <v>0</v>
      </c>
      <c r="DE159" s="68">
        <v>0</v>
      </c>
      <c r="DF159" s="68">
        <v>0</v>
      </c>
      <c r="DG159" s="68">
        <v>0</v>
      </c>
      <c r="DH159" s="68">
        <v>0</v>
      </c>
      <c r="DI159" s="68">
        <v>0</v>
      </c>
      <c r="DJ159" s="68">
        <v>0</v>
      </c>
      <c r="DK159" s="68">
        <v>0</v>
      </c>
      <c r="DL159" s="68">
        <v>0</v>
      </c>
      <c r="DM159" s="68">
        <v>0</v>
      </c>
      <c r="DN159" s="68">
        <v>0</v>
      </c>
      <c r="DO159" s="68">
        <v>0</v>
      </c>
      <c r="DP159" s="68">
        <v>0</v>
      </c>
      <c r="DQ159" s="68">
        <v>0</v>
      </c>
      <c r="DR159" s="68">
        <v>0</v>
      </c>
      <c r="DS159" s="68">
        <v>0</v>
      </c>
      <c r="DT159" s="68">
        <v>0</v>
      </c>
      <c r="DU159" s="68">
        <v>0</v>
      </c>
      <c r="DV159" s="68">
        <v>0</v>
      </c>
      <c r="DW159" s="68">
        <v>0</v>
      </c>
      <c r="DX159" s="68">
        <v>0</v>
      </c>
      <c r="DY159" s="68">
        <v>0</v>
      </c>
      <c r="DZ159" s="68">
        <v>0</v>
      </c>
      <c r="EA159" s="68">
        <v>0</v>
      </c>
      <c r="EB159" s="68">
        <v>0</v>
      </c>
      <c r="EC159" s="68">
        <v>0</v>
      </c>
      <c r="ED159" s="68">
        <v>0</v>
      </c>
      <c r="EE159" s="68">
        <v>0</v>
      </c>
      <c r="EF159" s="68">
        <v>0</v>
      </c>
      <c r="EG159" s="94">
        <v>0</v>
      </c>
      <c r="EH159" s="68">
        <v>0</v>
      </c>
      <c r="EI159" s="68">
        <v>0</v>
      </c>
      <c r="EJ159" s="68">
        <v>0</v>
      </c>
      <c r="EK159" s="68">
        <v>0</v>
      </c>
      <c r="EL159" s="68">
        <v>0</v>
      </c>
      <c r="EM159" s="68">
        <v>0</v>
      </c>
      <c r="EN159" s="68">
        <v>0</v>
      </c>
      <c r="EO159" s="68">
        <v>0</v>
      </c>
      <c r="EP159" s="68">
        <v>0</v>
      </c>
      <c r="EQ159" s="68">
        <v>0</v>
      </c>
      <c r="ER159" s="68">
        <v>0</v>
      </c>
      <c r="ES159" s="67"/>
      <c r="ET159" s="68"/>
      <c r="EU159" s="69"/>
      <c r="EV159" s="69"/>
      <c r="EW159" s="69"/>
      <c r="EX159" s="69"/>
      <c r="EY159" s="69"/>
      <c r="EZ159" s="69"/>
      <c r="FA159" s="69"/>
      <c r="FB159" s="69"/>
      <c r="FC159" s="69"/>
      <c r="FD159" s="69"/>
      <c r="FE159" s="69"/>
      <c r="FF159" s="69"/>
      <c r="FG159" s="69"/>
      <c r="FH159" s="69"/>
      <c r="FI159" s="69"/>
      <c r="FJ159" s="69"/>
      <c r="FK159" s="69"/>
      <c r="FL159" s="69"/>
      <c r="FM159" s="69"/>
      <c r="FN159" s="69"/>
      <c r="FO159" s="69"/>
      <c r="FP159" s="69"/>
      <c r="FQ159" s="69"/>
      <c r="FR159" s="69"/>
      <c r="FS159" s="69"/>
      <c r="FT159" s="69"/>
      <c r="FU159" s="69"/>
      <c r="FV159" s="69"/>
      <c r="FW159" s="69"/>
      <c r="FX159" s="69"/>
      <c r="FY159" s="69"/>
      <c r="FZ159" s="69"/>
      <c r="GA159" s="69"/>
      <c r="GB159" s="69"/>
      <c r="GC159" s="69"/>
      <c r="GD159" s="69"/>
      <c r="GE159" s="69"/>
      <c r="GF159" s="69"/>
      <c r="GG159" s="165"/>
    </row>
    <row r="160" spans="1:189" s="66" customFormat="1" x14ac:dyDescent="0.2">
      <c r="A160"/>
      <c r="B160" s="82">
        <v>44866</v>
      </c>
      <c r="C160" s="68">
        <v>0</v>
      </c>
      <c r="D160" s="68">
        <v>0</v>
      </c>
      <c r="E160" s="68">
        <v>0</v>
      </c>
      <c r="F160" s="68">
        <v>0</v>
      </c>
      <c r="G160" s="68">
        <v>0</v>
      </c>
      <c r="H160" s="68">
        <v>0</v>
      </c>
      <c r="I160" s="68">
        <v>0</v>
      </c>
      <c r="J160" s="68">
        <v>0</v>
      </c>
      <c r="K160" s="68">
        <v>0</v>
      </c>
      <c r="L160" s="68">
        <v>0</v>
      </c>
      <c r="M160" s="68">
        <v>0</v>
      </c>
      <c r="N160" s="68">
        <v>0</v>
      </c>
      <c r="O160" s="68">
        <v>0</v>
      </c>
      <c r="P160" s="68">
        <v>0</v>
      </c>
      <c r="Q160" s="68">
        <v>0</v>
      </c>
      <c r="R160" s="68">
        <v>0</v>
      </c>
      <c r="S160" s="68">
        <v>0</v>
      </c>
      <c r="T160" s="68">
        <v>0</v>
      </c>
      <c r="U160" s="68">
        <v>0</v>
      </c>
      <c r="V160" s="68">
        <v>0</v>
      </c>
      <c r="W160" s="68">
        <v>0</v>
      </c>
      <c r="X160" s="68">
        <v>0</v>
      </c>
      <c r="Y160" s="68">
        <v>0</v>
      </c>
      <c r="Z160" s="68">
        <v>0</v>
      </c>
      <c r="AA160" s="68">
        <v>0</v>
      </c>
      <c r="AB160" s="68">
        <v>0</v>
      </c>
      <c r="AC160" s="68">
        <v>0</v>
      </c>
      <c r="AD160" s="68">
        <v>0</v>
      </c>
      <c r="AE160" s="68">
        <v>0</v>
      </c>
      <c r="AF160" s="68">
        <v>0</v>
      </c>
      <c r="AG160" s="68">
        <v>0</v>
      </c>
      <c r="AH160" s="68">
        <v>0</v>
      </c>
      <c r="AI160" s="68">
        <v>0</v>
      </c>
      <c r="AJ160" s="68">
        <v>0</v>
      </c>
      <c r="AK160" s="68">
        <v>0</v>
      </c>
      <c r="AL160" s="68">
        <v>0</v>
      </c>
      <c r="AM160" s="68">
        <v>0</v>
      </c>
      <c r="AN160" s="68">
        <v>0</v>
      </c>
      <c r="AO160" s="68">
        <v>0</v>
      </c>
      <c r="AP160" s="68">
        <v>0</v>
      </c>
      <c r="AQ160" s="68">
        <v>0</v>
      </c>
      <c r="AR160" s="68">
        <v>0</v>
      </c>
      <c r="AS160" s="68">
        <v>0</v>
      </c>
      <c r="AT160" s="68">
        <v>0</v>
      </c>
      <c r="AU160" s="68">
        <v>0</v>
      </c>
      <c r="AV160" s="68">
        <v>0</v>
      </c>
      <c r="AW160" s="68">
        <v>0</v>
      </c>
      <c r="AX160" s="68">
        <v>0</v>
      </c>
      <c r="AY160" s="68">
        <v>0</v>
      </c>
      <c r="AZ160" s="68">
        <v>0</v>
      </c>
      <c r="BA160" s="68">
        <v>0</v>
      </c>
      <c r="BB160" s="68">
        <v>0</v>
      </c>
      <c r="BC160" s="68">
        <v>0</v>
      </c>
      <c r="BD160" s="68">
        <v>0</v>
      </c>
      <c r="BE160" s="68">
        <v>0</v>
      </c>
      <c r="BF160" s="68">
        <v>0</v>
      </c>
      <c r="BG160" s="68">
        <v>0</v>
      </c>
      <c r="BH160" s="68">
        <v>0</v>
      </c>
      <c r="BI160" s="68">
        <v>0</v>
      </c>
      <c r="BJ160" s="68">
        <v>0</v>
      </c>
      <c r="BK160" s="68">
        <v>0</v>
      </c>
      <c r="BL160" s="68">
        <v>0</v>
      </c>
      <c r="BM160" s="68">
        <v>0</v>
      </c>
      <c r="BN160" s="68">
        <v>0</v>
      </c>
      <c r="BO160" s="68">
        <v>0</v>
      </c>
      <c r="BP160" s="68">
        <v>0</v>
      </c>
      <c r="BQ160" s="68">
        <v>0</v>
      </c>
      <c r="BR160" s="68">
        <v>0</v>
      </c>
      <c r="BS160" s="68">
        <v>0</v>
      </c>
      <c r="BT160" s="68">
        <v>0</v>
      </c>
      <c r="BU160" s="68">
        <v>0</v>
      </c>
      <c r="BV160" s="68">
        <v>0</v>
      </c>
      <c r="BW160" s="68">
        <v>0</v>
      </c>
      <c r="BX160" s="68">
        <v>0</v>
      </c>
      <c r="BY160" s="68">
        <v>0</v>
      </c>
      <c r="BZ160" s="68">
        <v>0</v>
      </c>
      <c r="CA160" s="68">
        <v>0</v>
      </c>
      <c r="CB160" s="68">
        <v>0</v>
      </c>
      <c r="CC160" s="68">
        <v>0</v>
      </c>
      <c r="CD160" s="68">
        <v>0</v>
      </c>
      <c r="CE160" s="68">
        <v>0</v>
      </c>
      <c r="CF160" s="68">
        <v>0</v>
      </c>
      <c r="CG160" s="68">
        <v>0</v>
      </c>
      <c r="CH160" s="68">
        <v>0</v>
      </c>
      <c r="CI160" s="68">
        <v>0</v>
      </c>
      <c r="CJ160" s="68">
        <v>0</v>
      </c>
      <c r="CK160" s="68">
        <v>0</v>
      </c>
      <c r="CL160" s="68">
        <v>0</v>
      </c>
      <c r="CM160" s="68">
        <v>0</v>
      </c>
      <c r="CN160" s="68">
        <v>0</v>
      </c>
      <c r="CO160" s="68">
        <v>0</v>
      </c>
      <c r="CP160" s="68">
        <v>0</v>
      </c>
      <c r="CQ160" s="68">
        <v>0</v>
      </c>
      <c r="CR160" s="68">
        <v>0</v>
      </c>
      <c r="CS160" s="68">
        <v>0</v>
      </c>
      <c r="CT160" s="68">
        <v>0</v>
      </c>
      <c r="CU160" s="68">
        <v>0</v>
      </c>
      <c r="CV160" s="68">
        <v>0</v>
      </c>
      <c r="CW160" s="68">
        <v>0</v>
      </c>
      <c r="CX160" s="68">
        <v>0</v>
      </c>
      <c r="CY160" s="68">
        <v>0</v>
      </c>
      <c r="CZ160" s="68">
        <v>0</v>
      </c>
      <c r="DA160" s="68">
        <v>0</v>
      </c>
      <c r="DB160" s="68">
        <v>0</v>
      </c>
      <c r="DC160" s="68">
        <v>0</v>
      </c>
      <c r="DD160" s="68">
        <v>0</v>
      </c>
      <c r="DE160" s="68">
        <v>0</v>
      </c>
      <c r="DF160" s="68">
        <v>0</v>
      </c>
      <c r="DG160" s="68">
        <v>0</v>
      </c>
      <c r="DH160" s="68">
        <v>0</v>
      </c>
      <c r="DI160" s="68">
        <v>0</v>
      </c>
      <c r="DJ160" s="68">
        <v>0</v>
      </c>
      <c r="DK160" s="68">
        <v>0</v>
      </c>
      <c r="DL160" s="68">
        <v>0</v>
      </c>
      <c r="DM160" s="68">
        <v>0</v>
      </c>
      <c r="DN160" s="68">
        <v>0</v>
      </c>
      <c r="DO160" s="68">
        <v>0</v>
      </c>
      <c r="DP160" s="68">
        <v>0</v>
      </c>
      <c r="DQ160" s="68">
        <v>0</v>
      </c>
      <c r="DR160" s="68">
        <v>0</v>
      </c>
      <c r="DS160" s="68">
        <v>0</v>
      </c>
      <c r="DT160" s="68">
        <v>0</v>
      </c>
      <c r="DU160" s="68">
        <v>0</v>
      </c>
      <c r="DV160" s="68">
        <v>0</v>
      </c>
      <c r="DW160" s="68">
        <v>0</v>
      </c>
      <c r="DX160" s="68">
        <v>0</v>
      </c>
      <c r="DY160" s="68">
        <v>0</v>
      </c>
      <c r="DZ160" s="68">
        <v>0</v>
      </c>
      <c r="EA160" s="68">
        <v>0</v>
      </c>
      <c r="EB160" s="68">
        <v>0</v>
      </c>
      <c r="EC160" s="68">
        <v>0</v>
      </c>
      <c r="ED160" s="68">
        <v>0</v>
      </c>
      <c r="EE160" s="68">
        <v>0</v>
      </c>
      <c r="EF160" s="68">
        <v>0</v>
      </c>
      <c r="EG160" s="68">
        <v>0</v>
      </c>
      <c r="EH160" s="94">
        <v>0</v>
      </c>
      <c r="EI160" s="68">
        <v>0</v>
      </c>
      <c r="EJ160" s="68">
        <v>0</v>
      </c>
      <c r="EK160" s="68">
        <v>0</v>
      </c>
      <c r="EL160" s="68">
        <v>0</v>
      </c>
      <c r="EM160" s="68">
        <v>0</v>
      </c>
      <c r="EN160" s="68">
        <v>0</v>
      </c>
      <c r="EO160" s="68">
        <v>0</v>
      </c>
      <c r="EP160" s="68">
        <v>0</v>
      </c>
      <c r="EQ160" s="68">
        <v>0</v>
      </c>
      <c r="ER160" s="68">
        <v>0</v>
      </c>
      <c r="ES160" s="68">
        <v>0</v>
      </c>
      <c r="ET160" s="67"/>
      <c r="EU160" s="68"/>
      <c r="EV160" s="69"/>
      <c r="EW160" s="69"/>
      <c r="EX160" s="69"/>
      <c r="EY160" s="69"/>
      <c r="EZ160" s="69"/>
      <c r="FA160" s="69"/>
      <c r="FB160" s="69"/>
      <c r="FC160" s="69"/>
      <c r="FD160" s="69"/>
      <c r="FE160" s="69"/>
      <c r="FF160" s="69"/>
      <c r="FG160" s="69"/>
      <c r="FH160" s="69"/>
      <c r="FI160" s="69"/>
      <c r="FJ160" s="69"/>
      <c r="FK160" s="69"/>
      <c r="FL160" s="69"/>
      <c r="FM160" s="69"/>
      <c r="FN160" s="69"/>
      <c r="FO160" s="69"/>
      <c r="FP160" s="69"/>
      <c r="FQ160" s="69"/>
      <c r="FR160" s="69"/>
      <c r="FS160" s="69"/>
      <c r="FT160" s="69"/>
      <c r="FU160" s="69"/>
      <c r="FV160" s="69"/>
      <c r="FW160" s="69"/>
      <c r="FX160" s="69"/>
      <c r="FY160" s="69"/>
      <c r="FZ160" s="69"/>
      <c r="GA160" s="69"/>
      <c r="GB160" s="69"/>
      <c r="GC160" s="69"/>
      <c r="GD160" s="69"/>
      <c r="GE160" s="69"/>
      <c r="GF160" s="69"/>
      <c r="GG160" s="165"/>
    </row>
    <row r="161" spans="1:189" s="66" customFormat="1" x14ac:dyDescent="0.2">
      <c r="A161"/>
      <c r="B161" s="82">
        <v>44896</v>
      </c>
      <c r="C161" s="68">
        <v>0</v>
      </c>
      <c r="D161" s="68">
        <v>0</v>
      </c>
      <c r="E161" s="68">
        <v>0</v>
      </c>
      <c r="F161" s="68">
        <v>0</v>
      </c>
      <c r="G161" s="68">
        <v>0</v>
      </c>
      <c r="H161" s="68">
        <v>0</v>
      </c>
      <c r="I161" s="68">
        <v>0</v>
      </c>
      <c r="J161" s="68">
        <v>0</v>
      </c>
      <c r="K161" s="68">
        <v>0</v>
      </c>
      <c r="L161" s="68">
        <v>0</v>
      </c>
      <c r="M161" s="68">
        <v>0</v>
      </c>
      <c r="N161" s="68">
        <v>0</v>
      </c>
      <c r="O161" s="68">
        <v>0</v>
      </c>
      <c r="P161" s="68">
        <v>0</v>
      </c>
      <c r="Q161" s="68">
        <v>0</v>
      </c>
      <c r="R161" s="68">
        <v>0</v>
      </c>
      <c r="S161" s="68">
        <v>0</v>
      </c>
      <c r="T161" s="68">
        <v>0</v>
      </c>
      <c r="U161" s="68">
        <v>0</v>
      </c>
      <c r="V161" s="68">
        <v>0</v>
      </c>
      <c r="W161" s="68">
        <v>0</v>
      </c>
      <c r="X161" s="68">
        <v>0</v>
      </c>
      <c r="Y161" s="68">
        <v>0</v>
      </c>
      <c r="Z161" s="68">
        <v>0</v>
      </c>
      <c r="AA161" s="68">
        <v>0</v>
      </c>
      <c r="AB161" s="68">
        <v>0</v>
      </c>
      <c r="AC161" s="68">
        <v>0</v>
      </c>
      <c r="AD161" s="68">
        <v>0</v>
      </c>
      <c r="AE161" s="68">
        <v>0</v>
      </c>
      <c r="AF161" s="68">
        <v>0</v>
      </c>
      <c r="AG161" s="68">
        <v>0</v>
      </c>
      <c r="AH161" s="68">
        <v>0</v>
      </c>
      <c r="AI161" s="68">
        <v>0</v>
      </c>
      <c r="AJ161" s="68">
        <v>0</v>
      </c>
      <c r="AK161" s="68">
        <v>0</v>
      </c>
      <c r="AL161" s="68">
        <v>0</v>
      </c>
      <c r="AM161" s="68">
        <v>0</v>
      </c>
      <c r="AN161" s="68">
        <v>0</v>
      </c>
      <c r="AO161" s="68">
        <v>0</v>
      </c>
      <c r="AP161" s="68">
        <v>0</v>
      </c>
      <c r="AQ161" s="68">
        <v>0</v>
      </c>
      <c r="AR161" s="68">
        <v>0</v>
      </c>
      <c r="AS161" s="68">
        <v>0</v>
      </c>
      <c r="AT161" s="68">
        <v>0</v>
      </c>
      <c r="AU161" s="68">
        <v>0</v>
      </c>
      <c r="AV161" s="68">
        <v>0</v>
      </c>
      <c r="AW161" s="68">
        <v>0</v>
      </c>
      <c r="AX161" s="68">
        <v>0</v>
      </c>
      <c r="AY161" s="68">
        <v>0</v>
      </c>
      <c r="AZ161" s="68">
        <v>0</v>
      </c>
      <c r="BA161" s="68">
        <v>0</v>
      </c>
      <c r="BB161" s="68">
        <v>0</v>
      </c>
      <c r="BC161" s="68">
        <v>0</v>
      </c>
      <c r="BD161" s="68">
        <v>0</v>
      </c>
      <c r="BE161" s="68">
        <v>0</v>
      </c>
      <c r="BF161" s="68">
        <v>0</v>
      </c>
      <c r="BG161" s="68">
        <v>0</v>
      </c>
      <c r="BH161" s="68">
        <v>0</v>
      </c>
      <c r="BI161" s="68">
        <v>0</v>
      </c>
      <c r="BJ161" s="68">
        <v>0</v>
      </c>
      <c r="BK161" s="68">
        <v>0</v>
      </c>
      <c r="BL161" s="68">
        <v>0</v>
      </c>
      <c r="BM161" s="68">
        <v>0</v>
      </c>
      <c r="BN161" s="68">
        <v>0</v>
      </c>
      <c r="BO161" s="68">
        <v>0</v>
      </c>
      <c r="BP161" s="68">
        <v>0</v>
      </c>
      <c r="BQ161" s="68">
        <v>0</v>
      </c>
      <c r="BR161" s="68">
        <v>0</v>
      </c>
      <c r="BS161" s="68">
        <v>0</v>
      </c>
      <c r="BT161" s="68">
        <v>0</v>
      </c>
      <c r="BU161" s="68">
        <v>0</v>
      </c>
      <c r="BV161" s="68">
        <v>0</v>
      </c>
      <c r="BW161" s="68">
        <v>0</v>
      </c>
      <c r="BX161" s="68">
        <v>0</v>
      </c>
      <c r="BY161" s="68">
        <v>0</v>
      </c>
      <c r="BZ161" s="68">
        <v>0</v>
      </c>
      <c r="CA161" s="68">
        <v>0</v>
      </c>
      <c r="CB161" s="68">
        <v>0</v>
      </c>
      <c r="CC161" s="68">
        <v>0</v>
      </c>
      <c r="CD161" s="68">
        <v>0</v>
      </c>
      <c r="CE161" s="68">
        <v>0</v>
      </c>
      <c r="CF161" s="68">
        <v>0</v>
      </c>
      <c r="CG161" s="68">
        <v>0</v>
      </c>
      <c r="CH161" s="68">
        <v>0</v>
      </c>
      <c r="CI161" s="68">
        <v>0</v>
      </c>
      <c r="CJ161" s="68">
        <v>0</v>
      </c>
      <c r="CK161" s="68">
        <v>0</v>
      </c>
      <c r="CL161" s="68">
        <v>0</v>
      </c>
      <c r="CM161" s="68">
        <v>0</v>
      </c>
      <c r="CN161" s="68">
        <v>0</v>
      </c>
      <c r="CO161" s="68">
        <v>0</v>
      </c>
      <c r="CP161" s="68">
        <v>0</v>
      </c>
      <c r="CQ161" s="68">
        <v>0</v>
      </c>
      <c r="CR161" s="68">
        <v>0</v>
      </c>
      <c r="CS161" s="68">
        <v>0</v>
      </c>
      <c r="CT161" s="68">
        <v>0</v>
      </c>
      <c r="CU161" s="68">
        <v>0</v>
      </c>
      <c r="CV161" s="68">
        <v>0</v>
      </c>
      <c r="CW161" s="68">
        <v>0</v>
      </c>
      <c r="CX161" s="68">
        <v>0</v>
      </c>
      <c r="CY161" s="68">
        <v>0</v>
      </c>
      <c r="CZ161" s="68">
        <v>0</v>
      </c>
      <c r="DA161" s="68">
        <v>0</v>
      </c>
      <c r="DB161" s="68">
        <v>0</v>
      </c>
      <c r="DC161" s="68">
        <v>0</v>
      </c>
      <c r="DD161" s="68">
        <v>0</v>
      </c>
      <c r="DE161" s="68">
        <v>0</v>
      </c>
      <c r="DF161" s="68">
        <v>0</v>
      </c>
      <c r="DG161" s="68">
        <v>0</v>
      </c>
      <c r="DH161" s="68">
        <v>0</v>
      </c>
      <c r="DI161" s="68">
        <v>0</v>
      </c>
      <c r="DJ161" s="68">
        <v>0</v>
      </c>
      <c r="DK161" s="68">
        <v>0</v>
      </c>
      <c r="DL161" s="68">
        <v>0</v>
      </c>
      <c r="DM161" s="68">
        <v>0</v>
      </c>
      <c r="DN161" s="68">
        <v>0</v>
      </c>
      <c r="DO161" s="68">
        <v>0</v>
      </c>
      <c r="DP161" s="68">
        <v>0</v>
      </c>
      <c r="DQ161" s="68">
        <v>0</v>
      </c>
      <c r="DR161" s="68">
        <v>0</v>
      </c>
      <c r="DS161" s="68">
        <v>0</v>
      </c>
      <c r="DT161" s="68">
        <v>0</v>
      </c>
      <c r="DU161" s="68">
        <v>0</v>
      </c>
      <c r="DV161" s="68">
        <v>0</v>
      </c>
      <c r="DW161" s="68">
        <v>0</v>
      </c>
      <c r="DX161" s="68">
        <v>0</v>
      </c>
      <c r="DY161" s="68">
        <v>0</v>
      </c>
      <c r="DZ161" s="68">
        <v>0</v>
      </c>
      <c r="EA161" s="68">
        <v>0</v>
      </c>
      <c r="EB161" s="68">
        <v>0</v>
      </c>
      <c r="EC161" s="68">
        <v>0</v>
      </c>
      <c r="ED161" s="68">
        <v>0</v>
      </c>
      <c r="EE161" s="68">
        <v>0</v>
      </c>
      <c r="EF161" s="68">
        <v>0</v>
      </c>
      <c r="EG161" s="68">
        <v>0</v>
      </c>
      <c r="EH161" s="68">
        <v>0</v>
      </c>
      <c r="EI161" s="94">
        <v>0</v>
      </c>
      <c r="EJ161" s="68">
        <v>0</v>
      </c>
      <c r="EK161" s="68">
        <v>0</v>
      </c>
      <c r="EL161" s="68">
        <v>0</v>
      </c>
      <c r="EM161" s="68">
        <v>0</v>
      </c>
      <c r="EN161" s="68">
        <v>0</v>
      </c>
      <c r="EO161" s="68">
        <v>0</v>
      </c>
      <c r="EP161" s="68">
        <v>0</v>
      </c>
      <c r="EQ161" s="68">
        <v>0</v>
      </c>
      <c r="ER161" s="68">
        <v>0</v>
      </c>
      <c r="ES161" s="68">
        <v>0</v>
      </c>
      <c r="ET161" s="68">
        <v>0</v>
      </c>
      <c r="EU161" s="67"/>
      <c r="EV161" s="68"/>
      <c r="EW161" s="69"/>
      <c r="EX161" s="69"/>
      <c r="EY161" s="69"/>
      <c r="EZ161" s="69"/>
      <c r="FA161" s="69"/>
      <c r="FB161" s="69"/>
      <c r="FC161" s="69"/>
      <c r="FD161" s="69"/>
      <c r="FE161" s="69"/>
      <c r="FF161" s="69"/>
      <c r="FG161" s="69"/>
      <c r="FH161" s="69"/>
      <c r="FI161" s="69"/>
      <c r="FJ161" s="69"/>
      <c r="FK161" s="69"/>
      <c r="FL161" s="69"/>
      <c r="FM161" s="69"/>
      <c r="FN161" s="69"/>
      <c r="FO161" s="69"/>
      <c r="FP161" s="69"/>
      <c r="FQ161" s="69"/>
      <c r="FR161" s="69"/>
      <c r="FS161" s="69"/>
      <c r="FT161" s="69"/>
      <c r="FU161" s="69"/>
      <c r="FV161" s="69"/>
      <c r="FW161" s="69"/>
      <c r="FX161" s="69"/>
      <c r="FY161" s="69"/>
      <c r="FZ161" s="69"/>
      <c r="GA161" s="69"/>
      <c r="GB161" s="69"/>
      <c r="GC161" s="69"/>
      <c r="GD161" s="69"/>
      <c r="GE161" s="69"/>
      <c r="GF161" s="69"/>
      <c r="GG161" s="165"/>
    </row>
    <row r="162" spans="1:189" s="66" customFormat="1" x14ac:dyDescent="0.2">
      <c r="A162"/>
      <c r="B162" s="82">
        <v>44927</v>
      </c>
      <c r="C162" s="68">
        <v>0</v>
      </c>
      <c r="D162" s="68">
        <v>0</v>
      </c>
      <c r="E162" s="68">
        <v>0</v>
      </c>
      <c r="F162" s="68">
        <v>0</v>
      </c>
      <c r="G162" s="68">
        <v>0</v>
      </c>
      <c r="H162" s="68">
        <v>0</v>
      </c>
      <c r="I162" s="68">
        <v>0</v>
      </c>
      <c r="J162" s="68">
        <v>0</v>
      </c>
      <c r="K162" s="68">
        <v>0</v>
      </c>
      <c r="L162" s="68">
        <v>0</v>
      </c>
      <c r="M162" s="68">
        <v>0</v>
      </c>
      <c r="N162" s="68">
        <v>0</v>
      </c>
      <c r="O162" s="68">
        <v>0</v>
      </c>
      <c r="P162" s="68">
        <v>0</v>
      </c>
      <c r="Q162" s="68">
        <v>0</v>
      </c>
      <c r="R162" s="68">
        <v>0</v>
      </c>
      <c r="S162" s="68">
        <v>0</v>
      </c>
      <c r="T162" s="68">
        <v>0</v>
      </c>
      <c r="U162" s="68">
        <v>0</v>
      </c>
      <c r="V162" s="68">
        <v>0</v>
      </c>
      <c r="W162" s="68">
        <v>0</v>
      </c>
      <c r="X162" s="68">
        <v>0</v>
      </c>
      <c r="Y162" s="68">
        <v>0</v>
      </c>
      <c r="Z162" s="68">
        <v>0</v>
      </c>
      <c r="AA162" s="68">
        <v>0</v>
      </c>
      <c r="AB162" s="68">
        <v>0</v>
      </c>
      <c r="AC162" s="68">
        <v>0</v>
      </c>
      <c r="AD162" s="68">
        <v>0</v>
      </c>
      <c r="AE162" s="68">
        <v>0</v>
      </c>
      <c r="AF162" s="68">
        <v>0</v>
      </c>
      <c r="AG162" s="68">
        <v>0</v>
      </c>
      <c r="AH162" s="68">
        <v>0</v>
      </c>
      <c r="AI162" s="68">
        <v>0</v>
      </c>
      <c r="AJ162" s="68">
        <v>0</v>
      </c>
      <c r="AK162" s="68">
        <v>0</v>
      </c>
      <c r="AL162" s="68">
        <v>0</v>
      </c>
      <c r="AM162" s="68">
        <v>0</v>
      </c>
      <c r="AN162" s="68">
        <v>0</v>
      </c>
      <c r="AO162" s="68">
        <v>0</v>
      </c>
      <c r="AP162" s="68">
        <v>0</v>
      </c>
      <c r="AQ162" s="68">
        <v>0</v>
      </c>
      <c r="AR162" s="68">
        <v>0</v>
      </c>
      <c r="AS162" s="68">
        <v>0</v>
      </c>
      <c r="AT162" s="68">
        <v>0</v>
      </c>
      <c r="AU162" s="68">
        <v>0</v>
      </c>
      <c r="AV162" s="68">
        <v>0</v>
      </c>
      <c r="AW162" s="68">
        <v>0</v>
      </c>
      <c r="AX162" s="68">
        <v>0</v>
      </c>
      <c r="AY162" s="68">
        <v>0</v>
      </c>
      <c r="AZ162" s="68">
        <v>0</v>
      </c>
      <c r="BA162" s="68">
        <v>0</v>
      </c>
      <c r="BB162" s="68">
        <v>0</v>
      </c>
      <c r="BC162" s="68">
        <v>0</v>
      </c>
      <c r="BD162" s="68">
        <v>0</v>
      </c>
      <c r="BE162" s="68">
        <v>0</v>
      </c>
      <c r="BF162" s="68">
        <v>0</v>
      </c>
      <c r="BG162" s="68">
        <v>0</v>
      </c>
      <c r="BH162" s="68">
        <v>0</v>
      </c>
      <c r="BI162" s="68">
        <v>0</v>
      </c>
      <c r="BJ162" s="68">
        <v>0</v>
      </c>
      <c r="BK162" s="68">
        <v>0</v>
      </c>
      <c r="BL162" s="68">
        <v>0</v>
      </c>
      <c r="BM162" s="68">
        <v>0</v>
      </c>
      <c r="BN162" s="68">
        <v>0</v>
      </c>
      <c r="BO162" s="68">
        <v>0</v>
      </c>
      <c r="BP162" s="68">
        <v>0</v>
      </c>
      <c r="BQ162" s="68">
        <v>0</v>
      </c>
      <c r="BR162" s="68">
        <v>0</v>
      </c>
      <c r="BS162" s="68">
        <v>0</v>
      </c>
      <c r="BT162" s="68">
        <v>0</v>
      </c>
      <c r="BU162" s="68">
        <v>0</v>
      </c>
      <c r="BV162" s="68">
        <v>0</v>
      </c>
      <c r="BW162" s="68">
        <v>0</v>
      </c>
      <c r="BX162" s="68">
        <v>0</v>
      </c>
      <c r="BY162" s="68">
        <v>0</v>
      </c>
      <c r="BZ162" s="68">
        <v>0</v>
      </c>
      <c r="CA162" s="68">
        <v>0</v>
      </c>
      <c r="CB162" s="68">
        <v>0</v>
      </c>
      <c r="CC162" s="68">
        <v>0</v>
      </c>
      <c r="CD162" s="68">
        <v>0</v>
      </c>
      <c r="CE162" s="68">
        <v>0</v>
      </c>
      <c r="CF162" s="68">
        <v>0</v>
      </c>
      <c r="CG162" s="68">
        <v>0</v>
      </c>
      <c r="CH162" s="68">
        <v>0</v>
      </c>
      <c r="CI162" s="68">
        <v>0</v>
      </c>
      <c r="CJ162" s="68">
        <v>0</v>
      </c>
      <c r="CK162" s="68">
        <v>0</v>
      </c>
      <c r="CL162" s="68">
        <v>0</v>
      </c>
      <c r="CM162" s="68">
        <v>0</v>
      </c>
      <c r="CN162" s="68">
        <v>0</v>
      </c>
      <c r="CO162" s="68">
        <v>0</v>
      </c>
      <c r="CP162" s="68">
        <v>0</v>
      </c>
      <c r="CQ162" s="68">
        <v>0</v>
      </c>
      <c r="CR162" s="68">
        <v>0</v>
      </c>
      <c r="CS162" s="68">
        <v>0</v>
      </c>
      <c r="CT162" s="68">
        <v>0</v>
      </c>
      <c r="CU162" s="68">
        <v>0</v>
      </c>
      <c r="CV162" s="68">
        <v>0</v>
      </c>
      <c r="CW162" s="68">
        <v>0</v>
      </c>
      <c r="CX162" s="68">
        <v>0</v>
      </c>
      <c r="CY162" s="68">
        <v>0</v>
      </c>
      <c r="CZ162" s="68">
        <v>0</v>
      </c>
      <c r="DA162" s="68">
        <v>0</v>
      </c>
      <c r="DB162" s="68">
        <v>0</v>
      </c>
      <c r="DC162" s="68">
        <v>0</v>
      </c>
      <c r="DD162" s="68">
        <v>0</v>
      </c>
      <c r="DE162" s="68">
        <v>0</v>
      </c>
      <c r="DF162" s="68">
        <v>0</v>
      </c>
      <c r="DG162" s="68">
        <v>0</v>
      </c>
      <c r="DH162" s="68">
        <v>0</v>
      </c>
      <c r="DI162" s="68">
        <v>0</v>
      </c>
      <c r="DJ162" s="68">
        <v>0</v>
      </c>
      <c r="DK162" s="68">
        <v>0</v>
      </c>
      <c r="DL162" s="68">
        <v>0</v>
      </c>
      <c r="DM162" s="68">
        <v>0</v>
      </c>
      <c r="DN162" s="68">
        <v>0</v>
      </c>
      <c r="DO162" s="68">
        <v>0</v>
      </c>
      <c r="DP162" s="68">
        <v>0</v>
      </c>
      <c r="DQ162" s="68">
        <v>0</v>
      </c>
      <c r="DR162" s="68">
        <v>0</v>
      </c>
      <c r="DS162" s="68">
        <v>0</v>
      </c>
      <c r="DT162" s="68">
        <v>0</v>
      </c>
      <c r="DU162" s="68">
        <v>0</v>
      </c>
      <c r="DV162" s="68">
        <v>0</v>
      </c>
      <c r="DW162" s="68">
        <v>0</v>
      </c>
      <c r="DX162" s="68">
        <v>0</v>
      </c>
      <c r="DY162" s="68">
        <v>0</v>
      </c>
      <c r="DZ162" s="68">
        <v>0</v>
      </c>
      <c r="EA162" s="68">
        <v>0</v>
      </c>
      <c r="EB162" s="68">
        <v>0</v>
      </c>
      <c r="EC162" s="68">
        <v>0</v>
      </c>
      <c r="ED162" s="68">
        <v>0</v>
      </c>
      <c r="EE162" s="68">
        <v>0</v>
      </c>
      <c r="EF162" s="68">
        <v>0</v>
      </c>
      <c r="EG162" s="68">
        <v>0</v>
      </c>
      <c r="EH162" s="68">
        <v>0</v>
      </c>
      <c r="EI162" s="68">
        <v>0</v>
      </c>
      <c r="EJ162" s="94">
        <v>0</v>
      </c>
      <c r="EK162" s="68">
        <v>0</v>
      </c>
      <c r="EL162" s="68">
        <v>0</v>
      </c>
      <c r="EM162" s="68">
        <v>0</v>
      </c>
      <c r="EN162" s="68">
        <v>0</v>
      </c>
      <c r="EO162" s="68">
        <v>0</v>
      </c>
      <c r="EP162" s="68">
        <v>0</v>
      </c>
      <c r="EQ162" s="68">
        <v>0</v>
      </c>
      <c r="ER162" s="68">
        <v>0</v>
      </c>
      <c r="ES162" s="68">
        <v>0</v>
      </c>
      <c r="ET162" s="68">
        <v>0</v>
      </c>
      <c r="EU162" s="68">
        <v>0</v>
      </c>
      <c r="EV162" s="67"/>
      <c r="EW162" s="68"/>
      <c r="EX162" s="69"/>
      <c r="EY162" s="69"/>
      <c r="EZ162" s="69"/>
      <c r="FA162" s="69"/>
      <c r="FB162" s="69"/>
      <c r="FC162" s="69"/>
      <c r="FD162" s="69"/>
      <c r="FE162" s="69"/>
      <c r="FF162" s="69"/>
      <c r="FG162" s="69"/>
      <c r="FH162" s="69"/>
      <c r="FI162" s="69"/>
      <c r="FJ162" s="69"/>
      <c r="FK162" s="69"/>
      <c r="FL162" s="69"/>
      <c r="FM162" s="69"/>
      <c r="FN162" s="69"/>
      <c r="FO162" s="69"/>
      <c r="FP162" s="69"/>
      <c r="FQ162" s="69"/>
      <c r="FR162" s="69"/>
      <c r="FS162" s="69"/>
      <c r="FT162" s="69"/>
      <c r="FU162" s="69"/>
      <c r="FV162" s="69"/>
      <c r="FW162" s="69"/>
      <c r="FX162" s="69"/>
      <c r="FY162" s="69"/>
      <c r="FZ162" s="69"/>
      <c r="GA162" s="69"/>
      <c r="GB162" s="69"/>
      <c r="GC162" s="69"/>
      <c r="GD162" s="69"/>
      <c r="GE162" s="69"/>
      <c r="GF162" s="69"/>
      <c r="GG162" s="165"/>
    </row>
    <row r="163" spans="1:189" s="66" customFormat="1" x14ac:dyDescent="0.2">
      <c r="A163"/>
      <c r="B163" s="82">
        <v>44958</v>
      </c>
      <c r="C163" s="68">
        <v>0</v>
      </c>
      <c r="D163" s="68">
        <v>0</v>
      </c>
      <c r="E163" s="68">
        <v>0</v>
      </c>
      <c r="F163" s="68">
        <v>0</v>
      </c>
      <c r="G163" s="68">
        <v>0</v>
      </c>
      <c r="H163" s="68">
        <v>0</v>
      </c>
      <c r="I163" s="68">
        <v>0</v>
      </c>
      <c r="J163" s="68">
        <v>0</v>
      </c>
      <c r="K163" s="68">
        <v>0</v>
      </c>
      <c r="L163" s="68">
        <v>0</v>
      </c>
      <c r="M163" s="68">
        <v>0</v>
      </c>
      <c r="N163" s="68">
        <v>0</v>
      </c>
      <c r="O163" s="68">
        <v>0</v>
      </c>
      <c r="P163" s="68">
        <v>0</v>
      </c>
      <c r="Q163" s="68">
        <v>0</v>
      </c>
      <c r="R163" s="68">
        <v>0</v>
      </c>
      <c r="S163" s="68">
        <v>0</v>
      </c>
      <c r="T163" s="68">
        <v>0</v>
      </c>
      <c r="U163" s="68">
        <v>0</v>
      </c>
      <c r="V163" s="68">
        <v>0</v>
      </c>
      <c r="W163" s="68">
        <v>0</v>
      </c>
      <c r="X163" s="68">
        <v>0</v>
      </c>
      <c r="Y163" s="68">
        <v>0</v>
      </c>
      <c r="Z163" s="68">
        <v>0</v>
      </c>
      <c r="AA163" s="68">
        <v>0</v>
      </c>
      <c r="AB163" s="68">
        <v>0</v>
      </c>
      <c r="AC163" s="68">
        <v>0</v>
      </c>
      <c r="AD163" s="68">
        <v>0</v>
      </c>
      <c r="AE163" s="68">
        <v>0</v>
      </c>
      <c r="AF163" s="68">
        <v>0</v>
      </c>
      <c r="AG163" s="68">
        <v>0</v>
      </c>
      <c r="AH163" s="68">
        <v>0</v>
      </c>
      <c r="AI163" s="68">
        <v>0</v>
      </c>
      <c r="AJ163" s="68">
        <v>0</v>
      </c>
      <c r="AK163" s="68">
        <v>0</v>
      </c>
      <c r="AL163" s="68">
        <v>0</v>
      </c>
      <c r="AM163" s="68">
        <v>0</v>
      </c>
      <c r="AN163" s="68">
        <v>0</v>
      </c>
      <c r="AO163" s="68">
        <v>0</v>
      </c>
      <c r="AP163" s="68">
        <v>0</v>
      </c>
      <c r="AQ163" s="68">
        <v>0</v>
      </c>
      <c r="AR163" s="68">
        <v>0</v>
      </c>
      <c r="AS163" s="68">
        <v>0</v>
      </c>
      <c r="AT163" s="68">
        <v>0</v>
      </c>
      <c r="AU163" s="68">
        <v>0</v>
      </c>
      <c r="AV163" s="68">
        <v>0</v>
      </c>
      <c r="AW163" s="68">
        <v>0</v>
      </c>
      <c r="AX163" s="68">
        <v>0</v>
      </c>
      <c r="AY163" s="68">
        <v>0</v>
      </c>
      <c r="AZ163" s="68">
        <v>0</v>
      </c>
      <c r="BA163" s="68">
        <v>0</v>
      </c>
      <c r="BB163" s="68">
        <v>0</v>
      </c>
      <c r="BC163" s="68">
        <v>0</v>
      </c>
      <c r="BD163" s="68">
        <v>0</v>
      </c>
      <c r="BE163" s="68">
        <v>0</v>
      </c>
      <c r="BF163" s="68">
        <v>0</v>
      </c>
      <c r="BG163" s="68">
        <v>0</v>
      </c>
      <c r="BH163" s="68">
        <v>0</v>
      </c>
      <c r="BI163" s="68">
        <v>0</v>
      </c>
      <c r="BJ163" s="68">
        <v>0</v>
      </c>
      <c r="BK163" s="68">
        <v>0</v>
      </c>
      <c r="BL163" s="68">
        <v>0</v>
      </c>
      <c r="BM163" s="68">
        <v>0</v>
      </c>
      <c r="BN163" s="68">
        <v>0</v>
      </c>
      <c r="BO163" s="68">
        <v>0</v>
      </c>
      <c r="BP163" s="68">
        <v>0</v>
      </c>
      <c r="BQ163" s="68">
        <v>0</v>
      </c>
      <c r="BR163" s="68">
        <v>0</v>
      </c>
      <c r="BS163" s="68">
        <v>0</v>
      </c>
      <c r="BT163" s="68">
        <v>0</v>
      </c>
      <c r="BU163" s="68">
        <v>0</v>
      </c>
      <c r="BV163" s="68">
        <v>0</v>
      </c>
      <c r="BW163" s="68">
        <v>0</v>
      </c>
      <c r="BX163" s="68">
        <v>0</v>
      </c>
      <c r="BY163" s="68">
        <v>0</v>
      </c>
      <c r="BZ163" s="68">
        <v>0</v>
      </c>
      <c r="CA163" s="68">
        <v>0</v>
      </c>
      <c r="CB163" s="68">
        <v>0</v>
      </c>
      <c r="CC163" s="68">
        <v>0</v>
      </c>
      <c r="CD163" s="68">
        <v>0</v>
      </c>
      <c r="CE163" s="68">
        <v>0</v>
      </c>
      <c r="CF163" s="68">
        <v>0</v>
      </c>
      <c r="CG163" s="68">
        <v>0</v>
      </c>
      <c r="CH163" s="68">
        <v>0</v>
      </c>
      <c r="CI163" s="68">
        <v>0</v>
      </c>
      <c r="CJ163" s="68">
        <v>0</v>
      </c>
      <c r="CK163" s="68">
        <v>0</v>
      </c>
      <c r="CL163" s="68">
        <v>0</v>
      </c>
      <c r="CM163" s="68">
        <v>0</v>
      </c>
      <c r="CN163" s="68">
        <v>0</v>
      </c>
      <c r="CO163" s="68">
        <v>0</v>
      </c>
      <c r="CP163" s="68">
        <v>0</v>
      </c>
      <c r="CQ163" s="68">
        <v>0</v>
      </c>
      <c r="CR163" s="68">
        <v>0</v>
      </c>
      <c r="CS163" s="68">
        <v>0</v>
      </c>
      <c r="CT163" s="68">
        <v>0</v>
      </c>
      <c r="CU163" s="68">
        <v>0</v>
      </c>
      <c r="CV163" s="68">
        <v>0</v>
      </c>
      <c r="CW163" s="68">
        <v>0</v>
      </c>
      <c r="CX163" s="68">
        <v>0</v>
      </c>
      <c r="CY163" s="68">
        <v>0</v>
      </c>
      <c r="CZ163" s="68">
        <v>0</v>
      </c>
      <c r="DA163" s="68">
        <v>0</v>
      </c>
      <c r="DB163" s="68">
        <v>0</v>
      </c>
      <c r="DC163" s="68">
        <v>0</v>
      </c>
      <c r="DD163" s="68">
        <v>0</v>
      </c>
      <c r="DE163" s="68">
        <v>0</v>
      </c>
      <c r="DF163" s="68">
        <v>0</v>
      </c>
      <c r="DG163" s="68">
        <v>0</v>
      </c>
      <c r="DH163" s="68">
        <v>0</v>
      </c>
      <c r="DI163" s="68">
        <v>0</v>
      </c>
      <c r="DJ163" s="68">
        <v>0</v>
      </c>
      <c r="DK163" s="68">
        <v>0</v>
      </c>
      <c r="DL163" s="68">
        <v>0</v>
      </c>
      <c r="DM163" s="68">
        <v>0</v>
      </c>
      <c r="DN163" s="68">
        <v>0</v>
      </c>
      <c r="DO163" s="68">
        <v>0</v>
      </c>
      <c r="DP163" s="68">
        <v>0</v>
      </c>
      <c r="DQ163" s="68">
        <v>0</v>
      </c>
      <c r="DR163" s="68">
        <v>0</v>
      </c>
      <c r="DS163" s="68">
        <v>0</v>
      </c>
      <c r="DT163" s="68">
        <v>0</v>
      </c>
      <c r="DU163" s="68">
        <v>0</v>
      </c>
      <c r="DV163" s="68">
        <v>0</v>
      </c>
      <c r="DW163" s="68">
        <v>0</v>
      </c>
      <c r="DX163" s="68">
        <v>0</v>
      </c>
      <c r="DY163" s="68">
        <v>0</v>
      </c>
      <c r="DZ163" s="68">
        <v>0</v>
      </c>
      <c r="EA163" s="68">
        <v>0</v>
      </c>
      <c r="EB163" s="68">
        <v>0</v>
      </c>
      <c r="EC163" s="68">
        <v>0</v>
      </c>
      <c r="ED163" s="68">
        <v>0</v>
      </c>
      <c r="EE163" s="68">
        <v>0</v>
      </c>
      <c r="EF163" s="68">
        <v>0</v>
      </c>
      <c r="EG163" s="68">
        <v>0</v>
      </c>
      <c r="EH163" s="68">
        <v>0</v>
      </c>
      <c r="EI163" s="68">
        <v>0</v>
      </c>
      <c r="EJ163" s="68">
        <v>0</v>
      </c>
      <c r="EK163" s="94">
        <v>0</v>
      </c>
      <c r="EL163" s="68">
        <v>0</v>
      </c>
      <c r="EM163" s="68">
        <v>0</v>
      </c>
      <c r="EN163" s="68">
        <v>0</v>
      </c>
      <c r="EO163" s="68">
        <v>0</v>
      </c>
      <c r="EP163" s="68">
        <v>0</v>
      </c>
      <c r="EQ163" s="68">
        <v>0</v>
      </c>
      <c r="ER163" s="68">
        <v>0</v>
      </c>
      <c r="ES163" s="68">
        <v>0</v>
      </c>
      <c r="ET163" s="68">
        <v>0</v>
      </c>
      <c r="EU163" s="68">
        <v>0</v>
      </c>
      <c r="EV163" s="68">
        <v>0</v>
      </c>
      <c r="EW163" s="67"/>
      <c r="EX163" s="68"/>
      <c r="EY163" s="69"/>
      <c r="EZ163" s="69"/>
      <c r="FA163" s="69"/>
      <c r="FB163" s="69"/>
      <c r="FC163" s="69"/>
      <c r="FD163" s="69"/>
      <c r="FE163" s="69"/>
      <c r="FF163" s="69"/>
      <c r="FG163" s="69"/>
      <c r="FH163" s="69"/>
      <c r="FI163" s="69"/>
      <c r="FJ163" s="69"/>
      <c r="FK163" s="69"/>
      <c r="FL163" s="69"/>
      <c r="FM163" s="69"/>
      <c r="FN163" s="69"/>
      <c r="FO163" s="69"/>
      <c r="FP163" s="69"/>
      <c r="FQ163" s="69"/>
      <c r="FR163" s="69"/>
      <c r="FS163" s="69"/>
      <c r="FT163" s="69"/>
      <c r="FU163" s="69"/>
      <c r="FV163" s="69"/>
      <c r="FW163" s="69"/>
      <c r="FX163" s="69"/>
      <c r="FY163" s="69"/>
      <c r="FZ163" s="69"/>
      <c r="GA163" s="69"/>
      <c r="GB163" s="69"/>
      <c r="GC163" s="69"/>
      <c r="GD163" s="69"/>
      <c r="GE163" s="69"/>
      <c r="GF163" s="69"/>
      <c r="GG163" s="165"/>
    </row>
    <row r="164" spans="1:189" s="66" customFormat="1" x14ac:dyDescent="0.2">
      <c r="A164"/>
      <c r="B164" s="82">
        <v>44986</v>
      </c>
      <c r="C164" s="68">
        <v>0</v>
      </c>
      <c r="D164" s="68">
        <v>0</v>
      </c>
      <c r="E164" s="68">
        <v>0</v>
      </c>
      <c r="F164" s="68">
        <v>0</v>
      </c>
      <c r="G164" s="68">
        <v>0</v>
      </c>
      <c r="H164" s="68">
        <v>0</v>
      </c>
      <c r="I164" s="68">
        <v>0</v>
      </c>
      <c r="J164" s="68">
        <v>0</v>
      </c>
      <c r="K164" s="68">
        <v>0</v>
      </c>
      <c r="L164" s="68">
        <v>0</v>
      </c>
      <c r="M164" s="68">
        <v>0</v>
      </c>
      <c r="N164" s="68">
        <v>0</v>
      </c>
      <c r="O164" s="68">
        <v>0</v>
      </c>
      <c r="P164" s="68">
        <v>0</v>
      </c>
      <c r="Q164" s="68">
        <v>0</v>
      </c>
      <c r="R164" s="68">
        <v>0</v>
      </c>
      <c r="S164" s="68">
        <v>0</v>
      </c>
      <c r="T164" s="68">
        <v>0</v>
      </c>
      <c r="U164" s="68">
        <v>0</v>
      </c>
      <c r="V164" s="68">
        <v>0</v>
      </c>
      <c r="W164" s="68">
        <v>0</v>
      </c>
      <c r="X164" s="68">
        <v>0</v>
      </c>
      <c r="Y164" s="68">
        <v>0</v>
      </c>
      <c r="Z164" s="68">
        <v>0</v>
      </c>
      <c r="AA164" s="68">
        <v>0</v>
      </c>
      <c r="AB164" s="68">
        <v>0</v>
      </c>
      <c r="AC164" s="68">
        <v>0</v>
      </c>
      <c r="AD164" s="68">
        <v>0</v>
      </c>
      <c r="AE164" s="68">
        <v>0</v>
      </c>
      <c r="AF164" s="68">
        <v>0</v>
      </c>
      <c r="AG164" s="68">
        <v>0</v>
      </c>
      <c r="AH164" s="68">
        <v>0</v>
      </c>
      <c r="AI164" s="68">
        <v>0</v>
      </c>
      <c r="AJ164" s="68">
        <v>0</v>
      </c>
      <c r="AK164" s="68">
        <v>0</v>
      </c>
      <c r="AL164" s="68">
        <v>0</v>
      </c>
      <c r="AM164" s="68">
        <v>0</v>
      </c>
      <c r="AN164" s="68">
        <v>0</v>
      </c>
      <c r="AO164" s="68">
        <v>0</v>
      </c>
      <c r="AP164" s="68">
        <v>0</v>
      </c>
      <c r="AQ164" s="68">
        <v>0</v>
      </c>
      <c r="AR164" s="68">
        <v>0</v>
      </c>
      <c r="AS164" s="68">
        <v>0</v>
      </c>
      <c r="AT164" s="68">
        <v>0</v>
      </c>
      <c r="AU164" s="68">
        <v>0</v>
      </c>
      <c r="AV164" s="68">
        <v>0</v>
      </c>
      <c r="AW164" s="68">
        <v>0</v>
      </c>
      <c r="AX164" s="68">
        <v>0</v>
      </c>
      <c r="AY164" s="68">
        <v>0</v>
      </c>
      <c r="AZ164" s="68">
        <v>0</v>
      </c>
      <c r="BA164" s="68">
        <v>0</v>
      </c>
      <c r="BB164" s="68">
        <v>0</v>
      </c>
      <c r="BC164" s="68">
        <v>0</v>
      </c>
      <c r="BD164" s="68">
        <v>0</v>
      </c>
      <c r="BE164" s="68">
        <v>0</v>
      </c>
      <c r="BF164" s="68">
        <v>0</v>
      </c>
      <c r="BG164" s="68">
        <v>0</v>
      </c>
      <c r="BH164" s="68">
        <v>0</v>
      </c>
      <c r="BI164" s="68">
        <v>0</v>
      </c>
      <c r="BJ164" s="68">
        <v>0</v>
      </c>
      <c r="BK164" s="68">
        <v>0</v>
      </c>
      <c r="BL164" s="68">
        <v>0</v>
      </c>
      <c r="BM164" s="68">
        <v>0</v>
      </c>
      <c r="BN164" s="68">
        <v>0</v>
      </c>
      <c r="BO164" s="68">
        <v>0</v>
      </c>
      <c r="BP164" s="68">
        <v>0</v>
      </c>
      <c r="BQ164" s="68">
        <v>0</v>
      </c>
      <c r="BR164" s="68">
        <v>0</v>
      </c>
      <c r="BS164" s="68">
        <v>0</v>
      </c>
      <c r="BT164" s="68">
        <v>0</v>
      </c>
      <c r="BU164" s="68">
        <v>0</v>
      </c>
      <c r="BV164" s="68">
        <v>0</v>
      </c>
      <c r="BW164" s="68">
        <v>0</v>
      </c>
      <c r="BX164" s="68">
        <v>0</v>
      </c>
      <c r="BY164" s="68">
        <v>0</v>
      </c>
      <c r="BZ164" s="68">
        <v>0</v>
      </c>
      <c r="CA164" s="68">
        <v>0</v>
      </c>
      <c r="CB164" s="68">
        <v>0</v>
      </c>
      <c r="CC164" s="68">
        <v>0</v>
      </c>
      <c r="CD164" s="68">
        <v>0</v>
      </c>
      <c r="CE164" s="68">
        <v>0</v>
      </c>
      <c r="CF164" s="68">
        <v>0</v>
      </c>
      <c r="CG164" s="68">
        <v>0</v>
      </c>
      <c r="CH164" s="68">
        <v>0</v>
      </c>
      <c r="CI164" s="68">
        <v>0</v>
      </c>
      <c r="CJ164" s="68">
        <v>0</v>
      </c>
      <c r="CK164" s="68">
        <v>0</v>
      </c>
      <c r="CL164" s="68">
        <v>0</v>
      </c>
      <c r="CM164" s="68">
        <v>0</v>
      </c>
      <c r="CN164" s="68">
        <v>0</v>
      </c>
      <c r="CO164" s="68">
        <v>0</v>
      </c>
      <c r="CP164" s="68">
        <v>0</v>
      </c>
      <c r="CQ164" s="68">
        <v>0</v>
      </c>
      <c r="CR164" s="68">
        <v>0</v>
      </c>
      <c r="CS164" s="68">
        <v>0</v>
      </c>
      <c r="CT164" s="68">
        <v>0</v>
      </c>
      <c r="CU164" s="68">
        <v>0</v>
      </c>
      <c r="CV164" s="68">
        <v>0</v>
      </c>
      <c r="CW164" s="68">
        <v>0</v>
      </c>
      <c r="CX164" s="68">
        <v>0</v>
      </c>
      <c r="CY164" s="68">
        <v>0</v>
      </c>
      <c r="CZ164" s="68">
        <v>0</v>
      </c>
      <c r="DA164" s="68">
        <v>0</v>
      </c>
      <c r="DB164" s="68">
        <v>0</v>
      </c>
      <c r="DC164" s="68">
        <v>0</v>
      </c>
      <c r="DD164" s="68">
        <v>0</v>
      </c>
      <c r="DE164" s="68">
        <v>0</v>
      </c>
      <c r="DF164" s="68">
        <v>0</v>
      </c>
      <c r="DG164" s="68">
        <v>0</v>
      </c>
      <c r="DH164" s="68">
        <v>0</v>
      </c>
      <c r="DI164" s="68">
        <v>0</v>
      </c>
      <c r="DJ164" s="68">
        <v>0</v>
      </c>
      <c r="DK164" s="68">
        <v>0</v>
      </c>
      <c r="DL164" s="68">
        <v>0</v>
      </c>
      <c r="DM164" s="68">
        <v>0</v>
      </c>
      <c r="DN164" s="68">
        <v>0</v>
      </c>
      <c r="DO164" s="68">
        <v>0</v>
      </c>
      <c r="DP164" s="68">
        <v>0</v>
      </c>
      <c r="DQ164" s="68">
        <v>0</v>
      </c>
      <c r="DR164" s="68">
        <v>0</v>
      </c>
      <c r="DS164" s="68">
        <v>0</v>
      </c>
      <c r="DT164" s="68">
        <v>0</v>
      </c>
      <c r="DU164" s="68">
        <v>0</v>
      </c>
      <c r="DV164" s="68">
        <v>0</v>
      </c>
      <c r="DW164" s="68">
        <v>0</v>
      </c>
      <c r="DX164" s="68">
        <v>0</v>
      </c>
      <c r="DY164" s="68">
        <v>0</v>
      </c>
      <c r="DZ164" s="68">
        <v>0</v>
      </c>
      <c r="EA164" s="68">
        <v>0</v>
      </c>
      <c r="EB164" s="68">
        <v>0</v>
      </c>
      <c r="EC164" s="68">
        <v>0</v>
      </c>
      <c r="ED164" s="68">
        <v>0</v>
      </c>
      <c r="EE164" s="68">
        <v>0</v>
      </c>
      <c r="EF164" s="68">
        <v>0</v>
      </c>
      <c r="EG164" s="68">
        <v>0</v>
      </c>
      <c r="EH164" s="68">
        <v>0</v>
      </c>
      <c r="EI164" s="68">
        <v>0</v>
      </c>
      <c r="EJ164" s="68">
        <v>0</v>
      </c>
      <c r="EK164" s="68">
        <v>0</v>
      </c>
      <c r="EL164" s="94">
        <v>0</v>
      </c>
      <c r="EM164" s="68">
        <v>0</v>
      </c>
      <c r="EN164" s="68">
        <v>0</v>
      </c>
      <c r="EO164" s="68">
        <v>0</v>
      </c>
      <c r="EP164" s="68">
        <v>0</v>
      </c>
      <c r="EQ164" s="68">
        <v>0</v>
      </c>
      <c r="ER164" s="68">
        <v>0</v>
      </c>
      <c r="ES164" s="68">
        <v>0</v>
      </c>
      <c r="ET164" s="68">
        <v>0</v>
      </c>
      <c r="EU164" s="68">
        <v>0</v>
      </c>
      <c r="EV164" s="68">
        <v>0</v>
      </c>
      <c r="EW164" s="68">
        <v>0</v>
      </c>
      <c r="EX164" s="67"/>
      <c r="EY164" s="68"/>
      <c r="EZ164" s="69"/>
      <c r="FA164" s="69"/>
      <c r="FB164" s="69"/>
      <c r="FC164" s="69"/>
      <c r="FD164" s="69"/>
      <c r="FE164" s="69"/>
      <c r="FF164" s="69"/>
      <c r="FG164" s="69"/>
      <c r="FH164" s="69"/>
      <c r="FI164" s="69"/>
      <c r="FJ164" s="69"/>
      <c r="FK164" s="69"/>
      <c r="FL164" s="69"/>
      <c r="FM164" s="69"/>
      <c r="FN164" s="69"/>
      <c r="FO164" s="69"/>
      <c r="FP164" s="69"/>
      <c r="FQ164" s="69"/>
      <c r="FR164" s="69"/>
      <c r="FS164" s="69"/>
      <c r="FT164" s="69"/>
      <c r="FU164" s="69"/>
      <c r="FV164" s="69"/>
      <c r="FW164" s="69"/>
      <c r="FX164" s="69"/>
      <c r="FY164" s="69"/>
      <c r="FZ164" s="69"/>
      <c r="GA164" s="69"/>
      <c r="GB164" s="69"/>
      <c r="GC164" s="69"/>
      <c r="GD164" s="69"/>
      <c r="GE164" s="69"/>
      <c r="GF164" s="69"/>
      <c r="GG164" s="165"/>
    </row>
    <row r="165" spans="1:189" s="66" customFormat="1" x14ac:dyDescent="0.2">
      <c r="A165"/>
      <c r="B165" s="82">
        <v>45017</v>
      </c>
      <c r="C165" s="68">
        <v>0</v>
      </c>
      <c r="D165" s="68">
        <v>0</v>
      </c>
      <c r="E165" s="68">
        <v>0</v>
      </c>
      <c r="F165" s="68">
        <v>0</v>
      </c>
      <c r="G165" s="68">
        <v>0</v>
      </c>
      <c r="H165" s="68">
        <v>0</v>
      </c>
      <c r="I165" s="68">
        <v>0</v>
      </c>
      <c r="J165" s="68">
        <v>0</v>
      </c>
      <c r="K165" s="68">
        <v>0</v>
      </c>
      <c r="L165" s="68">
        <v>0</v>
      </c>
      <c r="M165" s="68">
        <v>0</v>
      </c>
      <c r="N165" s="68">
        <v>0</v>
      </c>
      <c r="O165" s="68">
        <v>0</v>
      </c>
      <c r="P165" s="68">
        <v>0</v>
      </c>
      <c r="Q165" s="68">
        <v>0</v>
      </c>
      <c r="R165" s="68">
        <v>0</v>
      </c>
      <c r="S165" s="68">
        <v>0</v>
      </c>
      <c r="T165" s="68">
        <v>0</v>
      </c>
      <c r="U165" s="68">
        <v>0</v>
      </c>
      <c r="V165" s="68">
        <v>0</v>
      </c>
      <c r="W165" s="68">
        <v>0</v>
      </c>
      <c r="X165" s="68">
        <v>0</v>
      </c>
      <c r="Y165" s="68">
        <v>0</v>
      </c>
      <c r="Z165" s="68">
        <v>0</v>
      </c>
      <c r="AA165" s="68">
        <v>0</v>
      </c>
      <c r="AB165" s="68">
        <v>0</v>
      </c>
      <c r="AC165" s="68">
        <v>0</v>
      </c>
      <c r="AD165" s="68">
        <v>0</v>
      </c>
      <c r="AE165" s="68">
        <v>0</v>
      </c>
      <c r="AF165" s="68">
        <v>0</v>
      </c>
      <c r="AG165" s="68">
        <v>0</v>
      </c>
      <c r="AH165" s="68">
        <v>0</v>
      </c>
      <c r="AI165" s="68">
        <v>0</v>
      </c>
      <c r="AJ165" s="68">
        <v>0</v>
      </c>
      <c r="AK165" s="68">
        <v>0</v>
      </c>
      <c r="AL165" s="68">
        <v>0</v>
      </c>
      <c r="AM165" s="68">
        <v>0</v>
      </c>
      <c r="AN165" s="68">
        <v>0</v>
      </c>
      <c r="AO165" s="68">
        <v>0</v>
      </c>
      <c r="AP165" s="68">
        <v>0</v>
      </c>
      <c r="AQ165" s="68">
        <v>0</v>
      </c>
      <c r="AR165" s="68">
        <v>0</v>
      </c>
      <c r="AS165" s="68">
        <v>0</v>
      </c>
      <c r="AT165" s="68">
        <v>0</v>
      </c>
      <c r="AU165" s="68">
        <v>0</v>
      </c>
      <c r="AV165" s="68">
        <v>0</v>
      </c>
      <c r="AW165" s="68">
        <v>0</v>
      </c>
      <c r="AX165" s="68">
        <v>0</v>
      </c>
      <c r="AY165" s="68">
        <v>0</v>
      </c>
      <c r="AZ165" s="68">
        <v>0</v>
      </c>
      <c r="BA165" s="68">
        <v>0</v>
      </c>
      <c r="BB165" s="68">
        <v>0</v>
      </c>
      <c r="BC165" s="68">
        <v>0</v>
      </c>
      <c r="BD165" s="68">
        <v>0</v>
      </c>
      <c r="BE165" s="68">
        <v>0</v>
      </c>
      <c r="BF165" s="68">
        <v>0</v>
      </c>
      <c r="BG165" s="68">
        <v>0</v>
      </c>
      <c r="BH165" s="68">
        <v>0</v>
      </c>
      <c r="BI165" s="68">
        <v>0</v>
      </c>
      <c r="BJ165" s="68">
        <v>0</v>
      </c>
      <c r="BK165" s="68">
        <v>0</v>
      </c>
      <c r="BL165" s="68">
        <v>0</v>
      </c>
      <c r="BM165" s="68">
        <v>0</v>
      </c>
      <c r="BN165" s="68">
        <v>0</v>
      </c>
      <c r="BO165" s="68">
        <v>0</v>
      </c>
      <c r="BP165" s="68">
        <v>0</v>
      </c>
      <c r="BQ165" s="68">
        <v>0</v>
      </c>
      <c r="BR165" s="68">
        <v>0</v>
      </c>
      <c r="BS165" s="68">
        <v>0</v>
      </c>
      <c r="BT165" s="68">
        <v>0</v>
      </c>
      <c r="BU165" s="68">
        <v>0</v>
      </c>
      <c r="BV165" s="68">
        <v>0</v>
      </c>
      <c r="BW165" s="68">
        <v>0</v>
      </c>
      <c r="BX165" s="68">
        <v>0</v>
      </c>
      <c r="BY165" s="68">
        <v>0</v>
      </c>
      <c r="BZ165" s="68">
        <v>0</v>
      </c>
      <c r="CA165" s="68">
        <v>0</v>
      </c>
      <c r="CB165" s="68">
        <v>0</v>
      </c>
      <c r="CC165" s="68">
        <v>0</v>
      </c>
      <c r="CD165" s="68">
        <v>0</v>
      </c>
      <c r="CE165" s="68">
        <v>0</v>
      </c>
      <c r="CF165" s="68">
        <v>0</v>
      </c>
      <c r="CG165" s="68">
        <v>0</v>
      </c>
      <c r="CH165" s="68">
        <v>0</v>
      </c>
      <c r="CI165" s="68">
        <v>0</v>
      </c>
      <c r="CJ165" s="68">
        <v>0</v>
      </c>
      <c r="CK165" s="68">
        <v>0</v>
      </c>
      <c r="CL165" s="68">
        <v>0</v>
      </c>
      <c r="CM165" s="68">
        <v>0</v>
      </c>
      <c r="CN165" s="68">
        <v>0</v>
      </c>
      <c r="CO165" s="68">
        <v>0</v>
      </c>
      <c r="CP165" s="68">
        <v>0</v>
      </c>
      <c r="CQ165" s="68">
        <v>0</v>
      </c>
      <c r="CR165" s="68">
        <v>0</v>
      </c>
      <c r="CS165" s="68">
        <v>0</v>
      </c>
      <c r="CT165" s="68">
        <v>0</v>
      </c>
      <c r="CU165" s="68">
        <v>0</v>
      </c>
      <c r="CV165" s="68">
        <v>0</v>
      </c>
      <c r="CW165" s="68">
        <v>0</v>
      </c>
      <c r="CX165" s="68">
        <v>0</v>
      </c>
      <c r="CY165" s="68">
        <v>0</v>
      </c>
      <c r="CZ165" s="68">
        <v>0</v>
      </c>
      <c r="DA165" s="68">
        <v>0</v>
      </c>
      <c r="DB165" s="68">
        <v>0</v>
      </c>
      <c r="DC165" s="68">
        <v>0</v>
      </c>
      <c r="DD165" s="68">
        <v>0</v>
      </c>
      <c r="DE165" s="68">
        <v>0</v>
      </c>
      <c r="DF165" s="68">
        <v>0</v>
      </c>
      <c r="DG165" s="68">
        <v>0</v>
      </c>
      <c r="DH165" s="68">
        <v>0</v>
      </c>
      <c r="DI165" s="68">
        <v>0</v>
      </c>
      <c r="DJ165" s="68">
        <v>0</v>
      </c>
      <c r="DK165" s="68">
        <v>0</v>
      </c>
      <c r="DL165" s="68">
        <v>0</v>
      </c>
      <c r="DM165" s="68">
        <v>0</v>
      </c>
      <c r="DN165" s="68">
        <v>0</v>
      </c>
      <c r="DO165" s="68">
        <v>0</v>
      </c>
      <c r="DP165" s="68">
        <v>0</v>
      </c>
      <c r="DQ165" s="68">
        <v>0</v>
      </c>
      <c r="DR165" s="68">
        <v>0</v>
      </c>
      <c r="DS165" s="68">
        <v>0</v>
      </c>
      <c r="DT165" s="68">
        <v>0</v>
      </c>
      <c r="DU165" s="68">
        <v>0</v>
      </c>
      <c r="DV165" s="68">
        <v>0</v>
      </c>
      <c r="DW165" s="68">
        <v>0</v>
      </c>
      <c r="DX165" s="68">
        <v>0</v>
      </c>
      <c r="DY165" s="68">
        <v>0</v>
      </c>
      <c r="DZ165" s="68">
        <v>0</v>
      </c>
      <c r="EA165" s="68">
        <v>0</v>
      </c>
      <c r="EB165" s="68">
        <v>0</v>
      </c>
      <c r="EC165" s="68">
        <v>0</v>
      </c>
      <c r="ED165" s="68">
        <v>0</v>
      </c>
      <c r="EE165" s="68">
        <v>0</v>
      </c>
      <c r="EF165" s="68">
        <v>0</v>
      </c>
      <c r="EG165" s="68">
        <v>0</v>
      </c>
      <c r="EH165" s="68">
        <v>0</v>
      </c>
      <c r="EI165" s="68">
        <v>0</v>
      </c>
      <c r="EJ165" s="68">
        <v>0</v>
      </c>
      <c r="EK165" s="68">
        <v>0</v>
      </c>
      <c r="EL165" s="68">
        <v>0</v>
      </c>
      <c r="EM165" s="94">
        <v>0</v>
      </c>
      <c r="EN165" s="68">
        <v>0</v>
      </c>
      <c r="EO165" s="68">
        <v>0</v>
      </c>
      <c r="EP165" s="68">
        <v>0</v>
      </c>
      <c r="EQ165" s="68">
        <v>0</v>
      </c>
      <c r="ER165" s="68">
        <v>0</v>
      </c>
      <c r="ES165" s="68">
        <v>0</v>
      </c>
      <c r="ET165" s="68">
        <v>0</v>
      </c>
      <c r="EU165" s="68">
        <v>0</v>
      </c>
      <c r="EV165" s="68">
        <v>0</v>
      </c>
      <c r="EW165" s="68">
        <v>0</v>
      </c>
      <c r="EX165" s="68">
        <v>0</v>
      </c>
      <c r="EY165" s="67"/>
      <c r="EZ165" s="68"/>
      <c r="FA165" s="69"/>
      <c r="FB165" s="69"/>
      <c r="FC165" s="69"/>
      <c r="FD165" s="69"/>
      <c r="FE165" s="69"/>
      <c r="FF165" s="69"/>
      <c r="FG165" s="69"/>
      <c r="FH165" s="69"/>
      <c r="FI165" s="69"/>
      <c r="FJ165" s="69"/>
      <c r="FK165" s="69"/>
      <c r="FL165" s="69"/>
      <c r="FM165" s="69"/>
      <c r="FN165" s="69"/>
      <c r="FO165" s="69"/>
      <c r="FP165" s="69"/>
      <c r="FQ165" s="69"/>
      <c r="FR165" s="69"/>
      <c r="FS165" s="69"/>
      <c r="FT165" s="69"/>
      <c r="FU165" s="69"/>
      <c r="FV165" s="69"/>
      <c r="FW165" s="69"/>
      <c r="FX165" s="69"/>
      <c r="FY165" s="69"/>
      <c r="FZ165" s="69"/>
      <c r="GA165" s="69"/>
      <c r="GB165" s="69"/>
      <c r="GC165" s="69"/>
      <c r="GD165" s="69"/>
      <c r="GE165" s="69"/>
      <c r="GF165" s="69"/>
      <c r="GG165" s="165"/>
    </row>
    <row r="166" spans="1:189" s="66" customFormat="1" x14ac:dyDescent="0.2">
      <c r="A166"/>
      <c r="B166" s="82">
        <v>45047</v>
      </c>
      <c r="C166" s="68">
        <v>0</v>
      </c>
      <c r="D166" s="68">
        <v>0</v>
      </c>
      <c r="E166" s="68">
        <v>0</v>
      </c>
      <c r="F166" s="68">
        <v>0</v>
      </c>
      <c r="G166" s="68">
        <v>0</v>
      </c>
      <c r="H166" s="68">
        <v>0</v>
      </c>
      <c r="I166" s="68">
        <v>0</v>
      </c>
      <c r="J166" s="68">
        <v>0</v>
      </c>
      <c r="K166" s="68">
        <v>0</v>
      </c>
      <c r="L166" s="68">
        <v>0</v>
      </c>
      <c r="M166" s="68">
        <v>0</v>
      </c>
      <c r="N166" s="68">
        <v>0</v>
      </c>
      <c r="O166" s="68">
        <v>0</v>
      </c>
      <c r="P166" s="68">
        <v>0</v>
      </c>
      <c r="Q166" s="68">
        <v>0</v>
      </c>
      <c r="R166" s="68">
        <v>0</v>
      </c>
      <c r="S166" s="68">
        <v>0</v>
      </c>
      <c r="T166" s="68">
        <v>0</v>
      </c>
      <c r="U166" s="68">
        <v>0</v>
      </c>
      <c r="V166" s="68">
        <v>0</v>
      </c>
      <c r="W166" s="68">
        <v>0</v>
      </c>
      <c r="X166" s="68">
        <v>0</v>
      </c>
      <c r="Y166" s="68">
        <v>0</v>
      </c>
      <c r="Z166" s="68">
        <v>0</v>
      </c>
      <c r="AA166" s="68">
        <v>0</v>
      </c>
      <c r="AB166" s="68">
        <v>0</v>
      </c>
      <c r="AC166" s="68">
        <v>0</v>
      </c>
      <c r="AD166" s="68">
        <v>0</v>
      </c>
      <c r="AE166" s="68">
        <v>0</v>
      </c>
      <c r="AF166" s="68">
        <v>0</v>
      </c>
      <c r="AG166" s="68">
        <v>0</v>
      </c>
      <c r="AH166" s="68">
        <v>0</v>
      </c>
      <c r="AI166" s="68">
        <v>0</v>
      </c>
      <c r="AJ166" s="68">
        <v>0</v>
      </c>
      <c r="AK166" s="68">
        <v>0</v>
      </c>
      <c r="AL166" s="68">
        <v>0</v>
      </c>
      <c r="AM166" s="68">
        <v>0</v>
      </c>
      <c r="AN166" s="68">
        <v>0</v>
      </c>
      <c r="AO166" s="68">
        <v>0</v>
      </c>
      <c r="AP166" s="68">
        <v>0</v>
      </c>
      <c r="AQ166" s="68">
        <v>0</v>
      </c>
      <c r="AR166" s="68">
        <v>0</v>
      </c>
      <c r="AS166" s="68">
        <v>0</v>
      </c>
      <c r="AT166" s="68">
        <v>0</v>
      </c>
      <c r="AU166" s="68">
        <v>0</v>
      </c>
      <c r="AV166" s="68">
        <v>0</v>
      </c>
      <c r="AW166" s="68">
        <v>0</v>
      </c>
      <c r="AX166" s="68">
        <v>0</v>
      </c>
      <c r="AY166" s="68">
        <v>0</v>
      </c>
      <c r="AZ166" s="68">
        <v>0</v>
      </c>
      <c r="BA166" s="68">
        <v>0</v>
      </c>
      <c r="BB166" s="68">
        <v>0</v>
      </c>
      <c r="BC166" s="68">
        <v>0</v>
      </c>
      <c r="BD166" s="68">
        <v>0</v>
      </c>
      <c r="BE166" s="68">
        <v>0</v>
      </c>
      <c r="BF166" s="68">
        <v>0</v>
      </c>
      <c r="BG166" s="68">
        <v>0</v>
      </c>
      <c r="BH166" s="68">
        <v>0</v>
      </c>
      <c r="BI166" s="68">
        <v>0</v>
      </c>
      <c r="BJ166" s="68">
        <v>0</v>
      </c>
      <c r="BK166" s="68">
        <v>0</v>
      </c>
      <c r="BL166" s="68">
        <v>0</v>
      </c>
      <c r="BM166" s="68">
        <v>0</v>
      </c>
      <c r="BN166" s="68">
        <v>0</v>
      </c>
      <c r="BO166" s="68">
        <v>0</v>
      </c>
      <c r="BP166" s="68">
        <v>0</v>
      </c>
      <c r="BQ166" s="68">
        <v>0</v>
      </c>
      <c r="BR166" s="68">
        <v>0</v>
      </c>
      <c r="BS166" s="68">
        <v>0</v>
      </c>
      <c r="BT166" s="68">
        <v>0</v>
      </c>
      <c r="BU166" s="68">
        <v>0</v>
      </c>
      <c r="BV166" s="68">
        <v>0</v>
      </c>
      <c r="BW166" s="68">
        <v>0</v>
      </c>
      <c r="BX166" s="68">
        <v>0</v>
      </c>
      <c r="BY166" s="68">
        <v>0</v>
      </c>
      <c r="BZ166" s="68">
        <v>0</v>
      </c>
      <c r="CA166" s="68">
        <v>0</v>
      </c>
      <c r="CB166" s="68">
        <v>0</v>
      </c>
      <c r="CC166" s="68">
        <v>0</v>
      </c>
      <c r="CD166" s="68">
        <v>0</v>
      </c>
      <c r="CE166" s="68">
        <v>0</v>
      </c>
      <c r="CF166" s="68">
        <v>0</v>
      </c>
      <c r="CG166" s="68">
        <v>0</v>
      </c>
      <c r="CH166" s="68">
        <v>0</v>
      </c>
      <c r="CI166" s="68">
        <v>0</v>
      </c>
      <c r="CJ166" s="68">
        <v>0</v>
      </c>
      <c r="CK166" s="68">
        <v>0</v>
      </c>
      <c r="CL166" s="68">
        <v>0</v>
      </c>
      <c r="CM166" s="68">
        <v>0</v>
      </c>
      <c r="CN166" s="68">
        <v>0</v>
      </c>
      <c r="CO166" s="68">
        <v>0</v>
      </c>
      <c r="CP166" s="68">
        <v>0</v>
      </c>
      <c r="CQ166" s="68">
        <v>0</v>
      </c>
      <c r="CR166" s="68">
        <v>0</v>
      </c>
      <c r="CS166" s="68">
        <v>0</v>
      </c>
      <c r="CT166" s="68">
        <v>0</v>
      </c>
      <c r="CU166" s="68">
        <v>0</v>
      </c>
      <c r="CV166" s="68">
        <v>0</v>
      </c>
      <c r="CW166" s="68">
        <v>0</v>
      </c>
      <c r="CX166" s="68">
        <v>0</v>
      </c>
      <c r="CY166" s="68">
        <v>0</v>
      </c>
      <c r="CZ166" s="68">
        <v>0</v>
      </c>
      <c r="DA166" s="68">
        <v>0</v>
      </c>
      <c r="DB166" s="68">
        <v>0</v>
      </c>
      <c r="DC166" s="68">
        <v>0</v>
      </c>
      <c r="DD166" s="68">
        <v>0</v>
      </c>
      <c r="DE166" s="68">
        <v>0</v>
      </c>
      <c r="DF166" s="68">
        <v>0</v>
      </c>
      <c r="DG166" s="68">
        <v>0</v>
      </c>
      <c r="DH166" s="68">
        <v>0</v>
      </c>
      <c r="DI166" s="68">
        <v>0</v>
      </c>
      <c r="DJ166" s="68">
        <v>0</v>
      </c>
      <c r="DK166" s="68">
        <v>0</v>
      </c>
      <c r="DL166" s="68">
        <v>0</v>
      </c>
      <c r="DM166" s="68">
        <v>0</v>
      </c>
      <c r="DN166" s="68">
        <v>0</v>
      </c>
      <c r="DO166" s="68">
        <v>0</v>
      </c>
      <c r="DP166" s="68">
        <v>0</v>
      </c>
      <c r="DQ166" s="68">
        <v>0</v>
      </c>
      <c r="DR166" s="68">
        <v>0</v>
      </c>
      <c r="DS166" s="68">
        <v>0</v>
      </c>
      <c r="DT166" s="68">
        <v>0</v>
      </c>
      <c r="DU166" s="68">
        <v>0</v>
      </c>
      <c r="DV166" s="68">
        <v>0</v>
      </c>
      <c r="DW166" s="68">
        <v>0</v>
      </c>
      <c r="DX166" s="68">
        <v>0</v>
      </c>
      <c r="DY166" s="68">
        <v>0</v>
      </c>
      <c r="DZ166" s="68">
        <v>0</v>
      </c>
      <c r="EA166" s="68">
        <v>0</v>
      </c>
      <c r="EB166" s="68">
        <v>0</v>
      </c>
      <c r="EC166" s="68">
        <v>0</v>
      </c>
      <c r="ED166" s="68">
        <v>0</v>
      </c>
      <c r="EE166" s="68">
        <v>0</v>
      </c>
      <c r="EF166" s="68">
        <v>0</v>
      </c>
      <c r="EG166" s="68">
        <v>0</v>
      </c>
      <c r="EH166" s="68">
        <v>0</v>
      </c>
      <c r="EI166" s="68">
        <v>0</v>
      </c>
      <c r="EJ166" s="68">
        <v>0</v>
      </c>
      <c r="EK166" s="68">
        <v>0</v>
      </c>
      <c r="EL166" s="68">
        <v>0</v>
      </c>
      <c r="EM166" s="68">
        <v>0</v>
      </c>
      <c r="EN166" s="94">
        <v>0</v>
      </c>
      <c r="EO166" s="68">
        <v>0</v>
      </c>
      <c r="EP166" s="68">
        <v>0</v>
      </c>
      <c r="EQ166" s="68">
        <v>0</v>
      </c>
      <c r="ER166" s="68">
        <v>0</v>
      </c>
      <c r="ES166" s="68">
        <v>0</v>
      </c>
      <c r="ET166" s="68">
        <v>0</v>
      </c>
      <c r="EU166" s="68">
        <v>0</v>
      </c>
      <c r="EV166" s="68">
        <v>0</v>
      </c>
      <c r="EW166" s="68">
        <v>0</v>
      </c>
      <c r="EX166" s="68">
        <v>0</v>
      </c>
      <c r="EY166" s="68">
        <v>0</v>
      </c>
      <c r="EZ166" s="67"/>
      <c r="FA166" s="68"/>
      <c r="FB166" s="69"/>
      <c r="FC166" s="69"/>
      <c r="FD166" s="69"/>
      <c r="FE166" s="69"/>
      <c r="FF166" s="69"/>
      <c r="FG166" s="69"/>
      <c r="FH166" s="69"/>
      <c r="FI166" s="69"/>
      <c r="FJ166" s="69"/>
      <c r="FK166" s="69"/>
      <c r="FL166" s="69"/>
      <c r="FM166" s="69"/>
      <c r="FN166" s="69"/>
      <c r="FO166" s="69"/>
      <c r="FP166" s="69"/>
      <c r="FQ166" s="69"/>
      <c r="FR166" s="69"/>
      <c r="FS166" s="69"/>
      <c r="FT166" s="69"/>
      <c r="FU166" s="69"/>
      <c r="FV166" s="69"/>
      <c r="FW166" s="69"/>
      <c r="FX166" s="69"/>
      <c r="FY166" s="69"/>
      <c r="FZ166" s="69"/>
      <c r="GA166" s="69"/>
      <c r="GB166" s="69"/>
      <c r="GC166" s="69"/>
      <c r="GD166" s="69"/>
      <c r="GE166" s="69"/>
      <c r="GF166" s="69"/>
      <c r="GG166" s="165"/>
    </row>
    <row r="167" spans="1:189" s="66" customFormat="1" hidden="1" x14ac:dyDescent="0.2">
      <c r="A167"/>
      <c r="B167" s="82">
        <v>45078</v>
      </c>
      <c r="C167" s="68">
        <v>0</v>
      </c>
      <c r="D167" s="68">
        <v>0</v>
      </c>
      <c r="E167" s="68">
        <v>0</v>
      </c>
      <c r="F167" s="68">
        <v>0</v>
      </c>
      <c r="G167" s="68">
        <v>0</v>
      </c>
      <c r="H167" s="68">
        <v>0</v>
      </c>
      <c r="I167" s="68">
        <v>0</v>
      </c>
      <c r="J167" s="68">
        <v>0</v>
      </c>
      <c r="K167" s="68">
        <v>0</v>
      </c>
      <c r="L167" s="68">
        <v>0</v>
      </c>
      <c r="M167" s="68">
        <v>0</v>
      </c>
      <c r="N167" s="68">
        <v>0</v>
      </c>
      <c r="O167" s="68">
        <v>0</v>
      </c>
      <c r="P167" s="68">
        <v>0</v>
      </c>
      <c r="Q167" s="68">
        <v>0</v>
      </c>
      <c r="R167" s="68">
        <v>0</v>
      </c>
      <c r="S167" s="68">
        <v>0</v>
      </c>
      <c r="T167" s="68">
        <v>0</v>
      </c>
      <c r="U167" s="68">
        <v>0</v>
      </c>
      <c r="V167" s="68">
        <v>0</v>
      </c>
      <c r="W167" s="68">
        <v>0</v>
      </c>
      <c r="X167" s="68">
        <v>0</v>
      </c>
      <c r="Y167" s="68">
        <v>0</v>
      </c>
      <c r="Z167" s="68">
        <v>0</v>
      </c>
      <c r="AA167" s="68">
        <v>0</v>
      </c>
      <c r="AB167" s="68">
        <v>0</v>
      </c>
      <c r="AC167" s="68">
        <v>0</v>
      </c>
      <c r="AD167" s="68">
        <v>0</v>
      </c>
      <c r="AE167" s="68">
        <v>0</v>
      </c>
      <c r="AF167" s="68">
        <v>0</v>
      </c>
      <c r="AG167" s="68">
        <v>0</v>
      </c>
      <c r="AH167" s="68">
        <v>0</v>
      </c>
      <c r="AI167" s="68">
        <v>0</v>
      </c>
      <c r="AJ167" s="68">
        <v>0</v>
      </c>
      <c r="AK167" s="68">
        <v>0</v>
      </c>
      <c r="AL167" s="68">
        <v>0</v>
      </c>
      <c r="AM167" s="68">
        <v>0</v>
      </c>
      <c r="AN167" s="68">
        <v>0</v>
      </c>
      <c r="AO167" s="68">
        <v>0</v>
      </c>
      <c r="AP167" s="68">
        <v>0</v>
      </c>
      <c r="AQ167" s="68">
        <v>0</v>
      </c>
      <c r="AR167" s="68">
        <v>0</v>
      </c>
      <c r="AS167" s="68">
        <v>0</v>
      </c>
      <c r="AT167" s="68">
        <v>0</v>
      </c>
      <c r="AU167" s="68">
        <v>0</v>
      </c>
      <c r="AV167" s="68">
        <v>0</v>
      </c>
      <c r="AW167" s="68">
        <v>0</v>
      </c>
      <c r="AX167" s="68">
        <v>0</v>
      </c>
      <c r="AY167" s="68">
        <v>0</v>
      </c>
      <c r="AZ167" s="68">
        <v>0</v>
      </c>
      <c r="BA167" s="68">
        <v>0</v>
      </c>
      <c r="BB167" s="68">
        <v>0</v>
      </c>
      <c r="BC167" s="68">
        <v>0</v>
      </c>
      <c r="BD167" s="68">
        <v>0</v>
      </c>
      <c r="BE167" s="68">
        <v>0</v>
      </c>
      <c r="BF167" s="68">
        <v>0</v>
      </c>
      <c r="BG167" s="68">
        <v>0</v>
      </c>
      <c r="BH167" s="68">
        <v>0</v>
      </c>
      <c r="BI167" s="68">
        <v>0</v>
      </c>
      <c r="BJ167" s="68">
        <v>0</v>
      </c>
      <c r="BK167" s="68">
        <v>0</v>
      </c>
      <c r="BL167" s="68">
        <v>0</v>
      </c>
      <c r="BM167" s="68">
        <v>0</v>
      </c>
      <c r="BN167" s="68">
        <v>0</v>
      </c>
      <c r="BO167" s="68">
        <v>0</v>
      </c>
      <c r="BP167" s="68">
        <v>0</v>
      </c>
      <c r="BQ167" s="68">
        <v>0</v>
      </c>
      <c r="BR167" s="68">
        <v>0</v>
      </c>
      <c r="BS167" s="68">
        <v>0</v>
      </c>
      <c r="BT167" s="68">
        <v>0</v>
      </c>
      <c r="BU167" s="68">
        <v>0</v>
      </c>
      <c r="BV167" s="68">
        <v>0</v>
      </c>
      <c r="BW167" s="68">
        <v>0</v>
      </c>
      <c r="BX167" s="68">
        <v>0</v>
      </c>
      <c r="BY167" s="68">
        <v>0</v>
      </c>
      <c r="BZ167" s="68">
        <v>0</v>
      </c>
      <c r="CA167" s="68">
        <v>0</v>
      </c>
      <c r="CB167" s="68">
        <v>0</v>
      </c>
      <c r="CC167" s="68">
        <v>0</v>
      </c>
      <c r="CD167" s="68">
        <v>0</v>
      </c>
      <c r="CE167" s="68">
        <v>0</v>
      </c>
      <c r="CF167" s="68">
        <v>0</v>
      </c>
      <c r="CG167" s="68">
        <v>0</v>
      </c>
      <c r="CH167" s="68">
        <v>0</v>
      </c>
      <c r="CI167" s="68">
        <v>0</v>
      </c>
      <c r="CJ167" s="68">
        <v>0</v>
      </c>
      <c r="CK167" s="68">
        <v>0</v>
      </c>
      <c r="CL167" s="68">
        <v>0</v>
      </c>
      <c r="CM167" s="68">
        <v>0</v>
      </c>
      <c r="CN167" s="68">
        <v>0</v>
      </c>
      <c r="CO167" s="68">
        <v>0</v>
      </c>
      <c r="CP167" s="68">
        <v>0</v>
      </c>
      <c r="CQ167" s="68">
        <v>0</v>
      </c>
      <c r="CR167" s="68">
        <v>0</v>
      </c>
      <c r="CS167" s="68">
        <v>0</v>
      </c>
      <c r="CT167" s="68">
        <v>0</v>
      </c>
      <c r="CU167" s="68">
        <v>0</v>
      </c>
      <c r="CV167" s="68">
        <v>0</v>
      </c>
      <c r="CW167" s="68">
        <v>0</v>
      </c>
      <c r="CX167" s="68">
        <v>0</v>
      </c>
      <c r="CY167" s="68">
        <v>0</v>
      </c>
      <c r="CZ167" s="68">
        <v>0</v>
      </c>
      <c r="DA167" s="68">
        <v>0</v>
      </c>
      <c r="DB167" s="68">
        <v>0</v>
      </c>
      <c r="DC167" s="68">
        <v>0</v>
      </c>
      <c r="DD167" s="68">
        <v>0</v>
      </c>
      <c r="DE167" s="68">
        <v>0</v>
      </c>
      <c r="DF167" s="68">
        <v>0</v>
      </c>
      <c r="DG167" s="68">
        <v>0</v>
      </c>
      <c r="DH167" s="68">
        <v>0</v>
      </c>
      <c r="DI167" s="68">
        <v>0</v>
      </c>
      <c r="DJ167" s="68">
        <v>0</v>
      </c>
      <c r="DK167" s="68">
        <v>0</v>
      </c>
      <c r="DL167" s="68">
        <v>0</v>
      </c>
      <c r="DM167" s="68">
        <v>0</v>
      </c>
      <c r="DN167" s="68">
        <v>0</v>
      </c>
      <c r="DO167" s="68">
        <v>0</v>
      </c>
      <c r="DP167" s="68">
        <v>0</v>
      </c>
      <c r="DQ167" s="68">
        <v>0</v>
      </c>
      <c r="DR167" s="68">
        <v>0</v>
      </c>
      <c r="DS167" s="68">
        <v>0</v>
      </c>
      <c r="DT167" s="68">
        <v>0</v>
      </c>
      <c r="DU167" s="68">
        <v>0</v>
      </c>
      <c r="DV167" s="68">
        <v>0</v>
      </c>
      <c r="DW167" s="68">
        <v>0</v>
      </c>
      <c r="DX167" s="68">
        <v>0</v>
      </c>
      <c r="DY167" s="68">
        <v>0</v>
      </c>
      <c r="DZ167" s="68">
        <v>0</v>
      </c>
      <c r="EA167" s="68">
        <v>0</v>
      </c>
      <c r="EB167" s="68">
        <v>0</v>
      </c>
      <c r="EC167" s="68">
        <v>0</v>
      </c>
      <c r="ED167" s="68">
        <v>0</v>
      </c>
      <c r="EE167" s="68">
        <v>0</v>
      </c>
      <c r="EF167" s="68">
        <v>0</v>
      </c>
      <c r="EG167" s="68">
        <v>0</v>
      </c>
      <c r="EH167" s="68">
        <v>0</v>
      </c>
      <c r="EI167" s="68">
        <v>0</v>
      </c>
      <c r="EJ167" s="68">
        <v>0</v>
      </c>
      <c r="EK167" s="68">
        <v>0</v>
      </c>
      <c r="EL167" s="68">
        <v>0</v>
      </c>
      <c r="EM167" s="68">
        <v>0</v>
      </c>
      <c r="EN167" s="68">
        <v>0</v>
      </c>
      <c r="EO167" s="94">
        <v>0</v>
      </c>
      <c r="EP167" s="68">
        <v>0</v>
      </c>
      <c r="EQ167" s="68">
        <v>0</v>
      </c>
      <c r="ER167" s="68">
        <v>0</v>
      </c>
      <c r="ES167" s="68">
        <v>0</v>
      </c>
      <c r="ET167" s="68">
        <v>0</v>
      </c>
      <c r="EU167" s="68">
        <v>0</v>
      </c>
      <c r="EV167" s="68">
        <v>0</v>
      </c>
      <c r="EW167" s="68">
        <v>0</v>
      </c>
      <c r="EX167" s="68">
        <v>0</v>
      </c>
      <c r="EY167" s="68">
        <v>0</v>
      </c>
      <c r="EZ167" s="68">
        <v>0</v>
      </c>
      <c r="FA167" s="67"/>
      <c r="FB167" s="68"/>
      <c r="FC167" s="69"/>
      <c r="FD167" s="69"/>
      <c r="FE167" s="69"/>
      <c r="FF167" s="69"/>
      <c r="FG167" s="69"/>
      <c r="FH167" s="69"/>
      <c r="FI167" s="69"/>
      <c r="FJ167" s="69"/>
      <c r="FK167" s="69"/>
      <c r="FL167" s="69"/>
      <c r="FM167" s="69"/>
      <c r="FN167" s="69"/>
      <c r="FO167" s="69"/>
      <c r="FP167" s="69"/>
      <c r="FQ167" s="69"/>
      <c r="FR167" s="69"/>
      <c r="FS167" s="69"/>
      <c r="FT167" s="69"/>
      <c r="FU167" s="69"/>
      <c r="FV167" s="69"/>
      <c r="FW167" s="69"/>
      <c r="FX167" s="69"/>
      <c r="FY167" s="69"/>
      <c r="FZ167" s="69"/>
      <c r="GA167" s="69"/>
      <c r="GB167" s="69"/>
      <c r="GC167" s="69"/>
      <c r="GD167" s="69"/>
      <c r="GE167" s="69"/>
      <c r="GF167" s="69"/>
      <c r="GG167" s="165"/>
    </row>
    <row r="168" spans="1:189" s="66" customFormat="1" hidden="1" x14ac:dyDescent="0.2">
      <c r="A168"/>
      <c r="B168" s="82">
        <v>45108</v>
      </c>
      <c r="C168" s="68">
        <v>0</v>
      </c>
      <c r="D168" s="68">
        <v>0</v>
      </c>
      <c r="E168" s="68">
        <v>0</v>
      </c>
      <c r="F168" s="68">
        <v>0</v>
      </c>
      <c r="G168" s="68">
        <v>0</v>
      </c>
      <c r="H168" s="68">
        <v>0</v>
      </c>
      <c r="I168" s="68">
        <v>0</v>
      </c>
      <c r="J168" s="68">
        <v>0</v>
      </c>
      <c r="K168" s="68">
        <v>0</v>
      </c>
      <c r="L168" s="68">
        <v>0</v>
      </c>
      <c r="M168" s="68">
        <v>0</v>
      </c>
      <c r="N168" s="68">
        <v>0</v>
      </c>
      <c r="O168" s="68">
        <v>0</v>
      </c>
      <c r="P168" s="68">
        <v>0</v>
      </c>
      <c r="Q168" s="68">
        <v>0</v>
      </c>
      <c r="R168" s="68">
        <v>0</v>
      </c>
      <c r="S168" s="68">
        <v>0</v>
      </c>
      <c r="T168" s="68">
        <v>0</v>
      </c>
      <c r="U168" s="68">
        <v>0</v>
      </c>
      <c r="V168" s="68">
        <v>0</v>
      </c>
      <c r="W168" s="68">
        <v>0</v>
      </c>
      <c r="X168" s="68">
        <v>0</v>
      </c>
      <c r="Y168" s="68">
        <v>0</v>
      </c>
      <c r="Z168" s="68">
        <v>0</v>
      </c>
      <c r="AA168" s="68">
        <v>0</v>
      </c>
      <c r="AB168" s="68">
        <v>0</v>
      </c>
      <c r="AC168" s="68">
        <v>0</v>
      </c>
      <c r="AD168" s="68">
        <v>0</v>
      </c>
      <c r="AE168" s="68">
        <v>0</v>
      </c>
      <c r="AF168" s="68">
        <v>0</v>
      </c>
      <c r="AG168" s="68">
        <v>0</v>
      </c>
      <c r="AH168" s="68">
        <v>0</v>
      </c>
      <c r="AI168" s="68">
        <v>0</v>
      </c>
      <c r="AJ168" s="68">
        <v>0</v>
      </c>
      <c r="AK168" s="68">
        <v>0</v>
      </c>
      <c r="AL168" s="68">
        <v>0</v>
      </c>
      <c r="AM168" s="68">
        <v>0</v>
      </c>
      <c r="AN168" s="68">
        <v>0</v>
      </c>
      <c r="AO168" s="68">
        <v>0</v>
      </c>
      <c r="AP168" s="68">
        <v>0</v>
      </c>
      <c r="AQ168" s="68">
        <v>0</v>
      </c>
      <c r="AR168" s="68">
        <v>0</v>
      </c>
      <c r="AS168" s="68">
        <v>0</v>
      </c>
      <c r="AT168" s="68">
        <v>0</v>
      </c>
      <c r="AU168" s="68">
        <v>0</v>
      </c>
      <c r="AV168" s="68">
        <v>0</v>
      </c>
      <c r="AW168" s="68">
        <v>0</v>
      </c>
      <c r="AX168" s="68">
        <v>0</v>
      </c>
      <c r="AY168" s="68">
        <v>0</v>
      </c>
      <c r="AZ168" s="68">
        <v>0</v>
      </c>
      <c r="BA168" s="68">
        <v>0</v>
      </c>
      <c r="BB168" s="68">
        <v>0</v>
      </c>
      <c r="BC168" s="68">
        <v>0</v>
      </c>
      <c r="BD168" s="68">
        <v>0</v>
      </c>
      <c r="BE168" s="68">
        <v>0</v>
      </c>
      <c r="BF168" s="68">
        <v>0</v>
      </c>
      <c r="BG168" s="68">
        <v>0</v>
      </c>
      <c r="BH168" s="68">
        <v>0</v>
      </c>
      <c r="BI168" s="68">
        <v>0</v>
      </c>
      <c r="BJ168" s="68">
        <v>0</v>
      </c>
      <c r="BK168" s="68">
        <v>0</v>
      </c>
      <c r="BL168" s="68">
        <v>0</v>
      </c>
      <c r="BM168" s="68">
        <v>0</v>
      </c>
      <c r="BN168" s="68">
        <v>0</v>
      </c>
      <c r="BO168" s="68">
        <v>0</v>
      </c>
      <c r="BP168" s="68">
        <v>0</v>
      </c>
      <c r="BQ168" s="68">
        <v>0</v>
      </c>
      <c r="BR168" s="68">
        <v>0</v>
      </c>
      <c r="BS168" s="68">
        <v>0</v>
      </c>
      <c r="BT168" s="68">
        <v>0</v>
      </c>
      <c r="BU168" s="68">
        <v>0</v>
      </c>
      <c r="BV168" s="68">
        <v>0</v>
      </c>
      <c r="BW168" s="68">
        <v>0</v>
      </c>
      <c r="BX168" s="68">
        <v>0</v>
      </c>
      <c r="BY168" s="68">
        <v>0</v>
      </c>
      <c r="BZ168" s="68">
        <v>0</v>
      </c>
      <c r="CA168" s="68">
        <v>0</v>
      </c>
      <c r="CB168" s="68">
        <v>0</v>
      </c>
      <c r="CC168" s="68">
        <v>0</v>
      </c>
      <c r="CD168" s="68">
        <v>0</v>
      </c>
      <c r="CE168" s="68">
        <v>0</v>
      </c>
      <c r="CF168" s="68">
        <v>0</v>
      </c>
      <c r="CG168" s="68">
        <v>0</v>
      </c>
      <c r="CH168" s="68">
        <v>0</v>
      </c>
      <c r="CI168" s="68">
        <v>0</v>
      </c>
      <c r="CJ168" s="68">
        <v>0</v>
      </c>
      <c r="CK168" s="68">
        <v>0</v>
      </c>
      <c r="CL168" s="68">
        <v>0</v>
      </c>
      <c r="CM168" s="68">
        <v>0</v>
      </c>
      <c r="CN168" s="68">
        <v>0</v>
      </c>
      <c r="CO168" s="68">
        <v>0</v>
      </c>
      <c r="CP168" s="68">
        <v>0</v>
      </c>
      <c r="CQ168" s="68">
        <v>0</v>
      </c>
      <c r="CR168" s="68">
        <v>0</v>
      </c>
      <c r="CS168" s="68">
        <v>0</v>
      </c>
      <c r="CT168" s="68">
        <v>0</v>
      </c>
      <c r="CU168" s="68">
        <v>0</v>
      </c>
      <c r="CV168" s="68">
        <v>0</v>
      </c>
      <c r="CW168" s="68">
        <v>0</v>
      </c>
      <c r="CX168" s="68">
        <v>0</v>
      </c>
      <c r="CY168" s="68">
        <v>0</v>
      </c>
      <c r="CZ168" s="68">
        <v>0</v>
      </c>
      <c r="DA168" s="68">
        <v>0</v>
      </c>
      <c r="DB168" s="68">
        <v>0</v>
      </c>
      <c r="DC168" s="68">
        <v>0</v>
      </c>
      <c r="DD168" s="68">
        <v>0</v>
      </c>
      <c r="DE168" s="68">
        <v>0</v>
      </c>
      <c r="DF168" s="68">
        <v>0</v>
      </c>
      <c r="DG168" s="68">
        <v>0</v>
      </c>
      <c r="DH168" s="68">
        <v>0</v>
      </c>
      <c r="DI168" s="68">
        <v>0</v>
      </c>
      <c r="DJ168" s="68">
        <v>0</v>
      </c>
      <c r="DK168" s="68">
        <v>0</v>
      </c>
      <c r="DL168" s="68">
        <v>0</v>
      </c>
      <c r="DM168" s="68">
        <v>0</v>
      </c>
      <c r="DN168" s="68">
        <v>0</v>
      </c>
      <c r="DO168" s="68">
        <v>0</v>
      </c>
      <c r="DP168" s="68">
        <v>0</v>
      </c>
      <c r="DQ168" s="68">
        <v>0</v>
      </c>
      <c r="DR168" s="68">
        <v>0</v>
      </c>
      <c r="DS168" s="68">
        <v>0</v>
      </c>
      <c r="DT168" s="68">
        <v>0</v>
      </c>
      <c r="DU168" s="68">
        <v>0</v>
      </c>
      <c r="DV168" s="68">
        <v>0</v>
      </c>
      <c r="DW168" s="68">
        <v>0</v>
      </c>
      <c r="DX168" s="68">
        <v>0</v>
      </c>
      <c r="DY168" s="68">
        <v>0</v>
      </c>
      <c r="DZ168" s="68">
        <v>0</v>
      </c>
      <c r="EA168" s="68">
        <v>0</v>
      </c>
      <c r="EB168" s="68">
        <v>0</v>
      </c>
      <c r="EC168" s="68">
        <v>0</v>
      </c>
      <c r="ED168" s="68">
        <v>0</v>
      </c>
      <c r="EE168" s="68">
        <v>0</v>
      </c>
      <c r="EF168" s="68">
        <v>0</v>
      </c>
      <c r="EG168" s="68">
        <v>0</v>
      </c>
      <c r="EH168" s="68">
        <v>0</v>
      </c>
      <c r="EI168" s="68">
        <v>0</v>
      </c>
      <c r="EJ168" s="68">
        <v>0</v>
      </c>
      <c r="EK168" s="68">
        <v>0</v>
      </c>
      <c r="EL168" s="68">
        <v>0</v>
      </c>
      <c r="EM168" s="68">
        <v>0</v>
      </c>
      <c r="EN168" s="68">
        <v>0</v>
      </c>
      <c r="EO168" s="68">
        <v>0</v>
      </c>
      <c r="EP168" s="94">
        <v>0</v>
      </c>
      <c r="EQ168" s="68">
        <v>0</v>
      </c>
      <c r="ER168" s="68">
        <v>0</v>
      </c>
      <c r="ES168" s="68">
        <v>0</v>
      </c>
      <c r="ET168" s="68">
        <v>0</v>
      </c>
      <c r="EU168" s="68">
        <v>0</v>
      </c>
      <c r="EV168" s="68">
        <v>0</v>
      </c>
      <c r="EW168" s="68">
        <v>0</v>
      </c>
      <c r="EX168" s="68">
        <v>0</v>
      </c>
      <c r="EY168" s="68">
        <v>0</v>
      </c>
      <c r="EZ168" s="68">
        <v>0</v>
      </c>
      <c r="FA168" s="68">
        <v>0</v>
      </c>
      <c r="FB168" s="67"/>
      <c r="FC168" s="68"/>
      <c r="FD168" s="69"/>
      <c r="FE168" s="69"/>
      <c r="FF168" s="69"/>
      <c r="FG168" s="69"/>
      <c r="FH168" s="69"/>
      <c r="FI168" s="69"/>
      <c r="FJ168" s="69"/>
      <c r="FK168" s="69"/>
      <c r="FL168" s="69"/>
      <c r="FM168" s="69"/>
      <c r="FN168" s="69"/>
      <c r="FO168" s="69"/>
      <c r="FP168" s="69"/>
      <c r="FQ168" s="69"/>
      <c r="FR168" s="69"/>
      <c r="FS168" s="69"/>
      <c r="FT168" s="69"/>
      <c r="FU168" s="69"/>
      <c r="FV168" s="69"/>
      <c r="FW168" s="69"/>
      <c r="FX168" s="69"/>
      <c r="FY168" s="69"/>
      <c r="FZ168" s="69"/>
      <c r="GA168" s="69"/>
      <c r="GB168" s="69"/>
      <c r="GC168" s="69"/>
      <c r="GD168" s="69"/>
      <c r="GE168" s="69"/>
      <c r="GF168" s="69"/>
      <c r="GG168" s="165"/>
    </row>
    <row r="169" spans="1:189" s="66" customFormat="1" hidden="1" x14ac:dyDescent="0.2">
      <c r="A169"/>
      <c r="B169" s="82">
        <v>45139</v>
      </c>
      <c r="C169" s="68">
        <v>0</v>
      </c>
      <c r="D169" s="68">
        <v>0</v>
      </c>
      <c r="E169" s="68">
        <v>0</v>
      </c>
      <c r="F169" s="68">
        <v>0</v>
      </c>
      <c r="G169" s="68">
        <v>0</v>
      </c>
      <c r="H169" s="68">
        <v>0</v>
      </c>
      <c r="I169" s="68">
        <v>0</v>
      </c>
      <c r="J169" s="68">
        <v>0</v>
      </c>
      <c r="K169" s="68">
        <v>0</v>
      </c>
      <c r="L169" s="68">
        <v>0</v>
      </c>
      <c r="M169" s="68">
        <v>0</v>
      </c>
      <c r="N169" s="68">
        <v>0</v>
      </c>
      <c r="O169" s="68">
        <v>0</v>
      </c>
      <c r="P169" s="68">
        <v>0</v>
      </c>
      <c r="Q169" s="68">
        <v>0</v>
      </c>
      <c r="R169" s="68">
        <v>0</v>
      </c>
      <c r="S169" s="68">
        <v>0</v>
      </c>
      <c r="T169" s="68">
        <v>0</v>
      </c>
      <c r="U169" s="68">
        <v>0</v>
      </c>
      <c r="V169" s="68">
        <v>0</v>
      </c>
      <c r="W169" s="68">
        <v>0</v>
      </c>
      <c r="X169" s="68">
        <v>0</v>
      </c>
      <c r="Y169" s="68">
        <v>0</v>
      </c>
      <c r="Z169" s="68">
        <v>0</v>
      </c>
      <c r="AA169" s="68">
        <v>0</v>
      </c>
      <c r="AB169" s="68">
        <v>0</v>
      </c>
      <c r="AC169" s="68">
        <v>0</v>
      </c>
      <c r="AD169" s="68">
        <v>0</v>
      </c>
      <c r="AE169" s="68">
        <v>0</v>
      </c>
      <c r="AF169" s="68">
        <v>0</v>
      </c>
      <c r="AG169" s="68">
        <v>0</v>
      </c>
      <c r="AH169" s="68">
        <v>0</v>
      </c>
      <c r="AI169" s="68">
        <v>0</v>
      </c>
      <c r="AJ169" s="68">
        <v>0</v>
      </c>
      <c r="AK169" s="68">
        <v>0</v>
      </c>
      <c r="AL169" s="68">
        <v>0</v>
      </c>
      <c r="AM169" s="68">
        <v>0</v>
      </c>
      <c r="AN169" s="68">
        <v>0</v>
      </c>
      <c r="AO169" s="68">
        <v>0</v>
      </c>
      <c r="AP169" s="68">
        <v>0</v>
      </c>
      <c r="AQ169" s="68">
        <v>0</v>
      </c>
      <c r="AR169" s="68">
        <v>0</v>
      </c>
      <c r="AS169" s="68">
        <v>0</v>
      </c>
      <c r="AT169" s="68">
        <v>0</v>
      </c>
      <c r="AU169" s="68">
        <v>0</v>
      </c>
      <c r="AV169" s="68">
        <v>0</v>
      </c>
      <c r="AW169" s="68">
        <v>0</v>
      </c>
      <c r="AX169" s="68">
        <v>0</v>
      </c>
      <c r="AY169" s="68">
        <v>0</v>
      </c>
      <c r="AZ169" s="68">
        <v>0</v>
      </c>
      <c r="BA169" s="68">
        <v>0</v>
      </c>
      <c r="BB169" s="68">
        <v>0</v>
      </c>
      <c r="BC169" s="68">
        <v>0</v>
      </c>
      <c r="BD169" s="68">
        <v>0</v>
      </c>
      <c r="BE169" s="68">
        <v>0</v>
      </c>
      <c r="BF169" s="68">
        <v>0</v>
      </c>
      <c r="BG169" s="68">
        <v>0</v>
      </c>
      <c r="BH169" s="68">
        <v>0</v>
      </c>
      <c r="BI169" s="68">
        <v>0</v>
      </c>
      <c r="BJ169" s="68">
        <v>0</v>
      </c>
      <c r="BK169" s="68">
        <v>0</v>
      </c>
      <c r="BL169" s="68">
        <v>0</v>
      </c>
      <c r="BM169" s="68">
        <v>0</v>
      </c>
      <c r="BN169" s="68">
        <v>0</v>
      </c>
      <c r="BO169" s="68">
        <v>0</v>
      </c>
      <c r="BP169" s="68">
        <v>0</v>
      </c>
      <c r="BQ169" s="68">
        <v>0</v>
      </c>
      <c r="BR169" s="68">
        <v>0</v>
      </c>
      <c r="BS169" s="68">
        <v>0</v>
      </c>
      <c r="BT169" s="68">
        <v>0</v>
      </c>
      <c r="BU169" s="68">
        <v>0</v>
      </c>
      <c r="BV169" s="68">
        <v>0</v>
      </c>
      <c r="BW169" s="68">
        <v>0</v>
      </c>
      <c r="BX169" s="68">
        <v>0</v>
      </c>
      <c r="BY169" s="68">
        <v>0</v>
      </c>
      <c r="BZ169" s="68">
        <v>0</v>
      </c>
      <c r="CA169" s="68">
        <v>0</v>
      </c>
      <c r="CB169" s="68">
        <v>0</v>
      </c>
      <c r="CC169" s="68">
        <v>0</v>
      </c>
      <c r="CD169" s="68">
        <v>0</v>
      </c>
      <c r="CE169" s="68">
        <v>0</v>
      </c>
      <c r="CF169" s="68">
        <v>0</v>
      </c>
      <c r="CG169" s="68">
        <v>0</v>
      </c>
      <c r="CH169" s="68">
        <v>0</v>
      </c>
      <c r="CI169" s="68">
        <v>0</v>
      </c>
      <c r="CJ169" s="68">
        <v>0</v>
      </c>
      <c r="CK169" s="68">
        <v>0</v>
      </c>
      <c r="CL169" s="68">
        <v>0</v>
      </c>
      <c r="CM169" s="68">
        <v>0</v>
      </c>
      <c r="CN169" s="68">
        <v>0</v>
      </c>
      <c r="CO169" s="68">
        <v>0</v>
      </c>
      <c r="CP169" s="68">
        <v>0</v>
      </c>
      <c r="CQ169" s="68">
        <v>0</v>
      </c>
      <c r="CR169" s="68">
        <v>0</v>
      </c>
      <c r="CS169" s="68">
        <v>0</v>
      </c>
      <c r="CT169" s="68">
        <v>0</v>
      </c>
      <c r="CU169" s="68">
        <v>0</v>
      </c>
      <c r="CV169" s="68">
        <v>0</v>
      </c>
      <c r="CW169" s="68">
        <v>0</v>
      </c>
      <c r="CX169" s="68">
        <v>0</v>
      </c>
      <c r="CY169" s="68">
        <v>0</v>
      </c>
      <c r="CZ169" s="68">
        <v>0</v>
      </c>
      <c r="DA169" s="68">
        <v>0</v>
      </c>
      <c r="DB169" s="68">
        <v>0</v>
      </c>
      <c r="DC169" s="68">
        <v>0</v>
      </c>
      <c r="DD169" s="68">
        <v>0</v>
      </c>
      <c r="DE169" s="68">
        <v>0</v>
      </c>
      <c r="DF169" s="68">
        <v>0</v>
      </c>
      <c r="DG169" s="68">
        <v>0</v>
      </c>
      <c r="DH169" s="68">
        <v>0</v>
      </c>
      <c r="DI169" s="68">
        <v>0</v>
      </c>
      <c r="DJ169" s="68">
        <v>0</v>
      </c>
      <c r="DK169" s="68">
        <v>0</v>
      </c>
      <c r="DL169" s="68">
        <v>0</v>
      </c>
      <c r="DM169" s="68">
        <v>0</v>
      </c>
      <c r="DN169" s="68">
        <v>0</v>
      </c>
      <c r="DO169" s="68">
        <v>0</v>
      </c>
      <c r="DP169" s="68">
        <v>0</v>
      </c>
      <c r="DQ169" s="68">
        <v>0</v>
      </c>
      <c r="DR169" s="68">
        <v>0</v>
      </c>
      <c r="DS169" s="68">
        <v>0</v>
      </c>
      <c r="DT169" s="68">
        <v>0</v>
      </c>
      <c r="DU169" s="68">
        <v>0</v>
      </c>
      <c r="DV169" s="68">
        <v>0</v>
      </c>
      <c r="DW169" s="68">
        <v>0</v>
      </c>
      <c r="DX169" s="68">
        <v>0</v>
      </c>
      <c r="DY169" s="68">
        <v>0</v>
      </c>
      <c r="DZ169" s="68">
        <v>0</v>
      </c>
      <c r="EA169" s="68">
        <v>0</v>
      </c>
      <c r="EB169" s="68">
        <v>0</v>
      </c>
      <c r="EC169" s="68">
        <v>0</v>
      </c>
      <c r="ED169" s="68">
        <v>0</v>
      </c>
      <c r="EE169" s="68">
        <v>0</v>
      </c>
      <c r="EF169" s="68">
        <v>0</v>
      </c>
      <c r="EG169" s="68">
        <v>0</v>
      </c>
      <c r="EH169" s="68">
        <v>0</v>
      </c>
      <c r="EI169" s="68">
        <v>0</v>
      </c>
      <c r="EJ169" s="68">
        <v>0</v>
      </c>
      <c r="EK169" s="68">
        <v>0</v>
      </c>
      <c r="EL169" s="68">
        <v>0</v>
      </c>
      <c r="EM169" s="68">
        <v>0</v>
      </c>
      <c r="EN169" s="68">
        <v>0</v>
      </c>
      <c r="EO169" s="68">
        <v>0</v>
      </c>
      <c r="EP169" s="68">
        <v>0</v>
      </c>
      <c r="EQ169" s="94">
        <v>0</v>
      </c>
      <c r="ER169" s="68">
        <v>0</v>
      </c>
      <c r="ES169" s="68">
        <v>0</v>
      </c>
      <c r="ET169" s="68">
        <v>0</v>
      </c>
      <c r="EU169" s="68">
        <v>0</v>
      </c>
      <c r="EV169" s="68">
        <v>0</v>
      </c>
      <c r="EW169" s="68">
        <v>0</v>
      </c>
      <c r="EX169" s="68">
        <v>0</v>
      </c>
      <c r="EY169" s="68">
        <v>0</v>
      </c>
      <c r="EZ169" s="68">
        <v>0</v>
      </c>
      <c r="FA169" s="68">
        <v>0</v>
      </c>
      <c r="FB169" s="68">
        <v>0</v>
      </c>
      <c r="FC169" s="67"/>
      <c r="FD169" s="68"/>
      <c r="FE169" s="69"/>
      <c r="FF169" s="69"/>
      <c r="FG169" s="69"/>
      <c r="FH169" s="69"/>
      <c r="FI169" s="69"/>
      <c r="FJ169" s="69"/>
      <c r="FK169" s="69"/>
      <c r="FL169" s="69"/>
      <c r="FM169" s="69"/>
      <c r="FN169" s="69"/>
      <c r="FO169" s="69"/>
      <c r="FP169" s="69"/>
      <c r="FQ169" s="69"/>
      <c r="FR169" s="69"/>
      <c r="FS169" s="69"/>
      <c r="FT169" s="69"/>
      <c r="FU169" s="69"/>
      <c r="FV169" s="69"/>
      <c r="FW169" s="69"/>
      <c r="FX169" s="69"/>
      <c r="FY169" s="69"/>
      <c r="FZ169" s="69"/>
      <c r="GA169" s="69"/>
      <c r="GB169" s="69"/>
      <c r="GC169" s="69"/>
      <c r="GD169" s="69"/>
      <c r="GE169" s="69"/>
      <c r="GF169" s="69"/>
      <c r="GG169" s="165"/>
    </row>
    <row r="170" spans="1:189" s="66" customFormat="1" hidden="1" x14ac:dyDescent="0.2">
      <c r="A170"/>
      <c r="B170" s="82">
        <v>45170</v>
      </c>
      <c r="C170" s="68">
        <v>0</v>
      </c>
      <c r="D170" s="68">
        <v>0</v>
      </c>
      <c r="E170" s="68">
        <v>0</v>
      </c>
      <c r="F170" s="68">
        <v>0</v>
      </c>
      <c r="G170" s="68">
        <v>0</v>
      </c>
      <c r="H170" s="68">
        <v>0</v>
      </c>
      <c r="I170" s="68">
        <v>0</v>
      </c>
      <c r="J170" s="68">
        <v>0</v>
      </c>
      <c r="K170" s="68">
        <v>0</v>
      </c>
      <c r="L170" s="68">
        <v>0</v>
      </c>
      <c r="M170" s="68">
        <v>0</v>
      </c>
      <c r="N170" s="68">
        <v>0</v>
      </c>
      <c r="O170" s="68">
        <v>0</v>
      </c>
      <c r="P170" s="68">
        <v>0</v>
      </c>
      <c r="Q170" s="68">
        <v>0</v>
      </c>
      <c r="R170" s="68">
        <v>0</v>
      </c>
      <c r="S170" s="68">
        <v>0</v>
      </c>
      <c r="T170" s="68">
        <v>0</v>
      </c>
      <c r="U170" s="68">
        <v>0</v>
      </c>
      <c r="V170" s="68">
        <v>0</v>
      </c>
      <c r="W170" s="68">
        <v>0</v>
      </c>
      <c r="X170" s="68">
        <v>0</v>
      </c>
      <c r="Y170" s="68">
        <v>0</v>
      </c>
      <c r="Z170" s="68">
        <v>0</v>
      </c>
      <c r="AA170" s="68">
        <v>0</v>
      </c>
      <c r="AB170" s="68">
        <v>0</v>
      </c>
      <c r="AC170" s="68">
        <v>0</v>
      </c>
      <c r="AD170" s="68">
        <v>0</v>
      </c>
      <c r="AE170" s="68">
        <v>0</v>
      </c>
      <c r="AF170" s="68">
        <v>0</v>
      </c>
      <c r="AG170" s="68">
        <v>0</v>
      </c>
      <c r="AH170" s="68">
        <v>0</v>
      </c>
      <c r="AI170" s="68">
        <v>0</v>
      </c>
      <c r="AJ170" s="68">
        <v>0</v>
      </c>
      <c r="AK170" s="68">
        <v>0</v>
      </c>
      <c r="AL170" s="68">
        <v>0</v>
      </c>
      <c r="AM170" s="68">
        <v>0</v>
      </c>
      <c r="AN170" s="68">
        <v>0</v>
      </c>
      <c r="AO170" s="68">
        <v>0</v>
      </c>
      <c r="AP170" s="68">
        <v>0</v>
      </c>
      <c r="AQ170" s="68">
        <v>0</v>
      </c>
      <c r="AR170" s="68">
        <v>0</v>
      </c>
      <c r="AS170" s="68">
        <v>0</v>
      </c>
      <c r="AT170" s="68">
        <v>0</v>
      </c>
      <c r="AU170" s="68">
        <v>0</v>
      </c>
      <c r="AV170" s="68">
        <v>0</v>
      </c>
      <c r="AW170" s="68">
        <v>0</v>
      </c>
      <c r="AX170" s="68">
        <v>0</v>
      </c>
      <c r="AY170" s="68">
        <v>0</v>
      </c>
      <c r="AZ170" s="68">
        <v>0</v>
      </c>
      <c r="BA170" s="68">
        <v>0</v>
      </c>
      <c r="BB170" s="68">
        <v>0</v>
      </c>
      <c r="BC170" s="68">
        <v>0</v>
      </c>
      <c r="BD170" s="68">
        <v>0</v>
      </c>
      <c r="BE170" s="68">
        <v>0</v>
      </c>
      <c r="BF170" s="68">
        <v>0</v>
      </c>
      <c r="BG170" s="68">
        <v>0</v>
      </c>
      <c r="BH170" s="68">
        <v>0</v>
      </c>
      <c r="BI170" s="68">
        <v>0</v>
      </c>
      <c r="BJ170" s="68">
        <v>0</v>
      </c>
      <c r="BK170" s="68">
        <v>0</v>
      </c>
      <c r="BL170" s="68">
        <v>0</v>
      </c>
      <c r="BM170" s="68">
        <v>0</v>
      </c>
      <c r="BN170" s="68">
        <v>0</v>
      </c>
      <c r="BO170" s="68">
        <v>0</v>
      </c>
      <c r="BP170" s="68">
        <v>0</v>
      </c>
      <c r="BQ170" s="68">
        <v>0</v>
      </c>
      <c r="BR170" s="68">
        <v>0</v>
      </c>
      <c r="BS170" s="68">
        <v>0</v>
      </c>
      <c r="BT170" s="68">
        <v>0</v>
      </c>
      <c r="BU170" s="68">
        <v>0</v>
      </c>
      <c r="BV170" s="68">
        <v>0</v>
      </c>
      <c r="BW170" s="68">
        <v>0</v>
      </c>
      <c r="BX170" s="68">
        <v>0</v>
      </c>
      <c r="BY170" s="68">
        <v>0</v>
      </c>
      <c r="BZ170" s="68">
        <v>0</v>
      </c>
      <c r="CA170" s="68">
        <v>0</v>
      </c>
      <c r="CB170" s="68">
        <v>0</v>
      </c>
      <c r="CC170" s="68">
        <v>0</v>
      </c>
      <c r="CD170" s="68">
        <v>0</v>
      </c>
      <c r="CE170" s="68">
        <v>0</v>
      </c>
      <c r="CF170" s="68">
        <v>0</v>
      </c>
      <c r="CG170" s="68">
        <v>0</v>
      </c>
      <c r="CH170" s="68">
        <v>0</v>
      </c>
      <c r="CI170" s="68">
        <v>0</v>
      </c>
      <c r="CJ170" s="68">
        <v>0</v>
      </c>
      <c r="CK170" s="68">
        <v>0</v>
      </c>
      <c r="CL170" s="68">
        <v>0</v>
      </c>
      <c r="CM170" s="68">
        <v>0</v>
      </c>
      <c r="CN170" s="68">
        <v>0</v>
      </c>
      <c r="CO170" s="68">
        <v>0</v>
      </c>
      <c r="CP170" s="68">
        <v>0</v>
      </c>
      <c r="CQ170" s="68">
        <v>0</v>
      </c>
      <c r="CR170" s="68">
        <v>0</v>
      </c>
      <c r="CS170" s="68">
        <v>0</v>
      </c>
      <c r="CT170" s="68">
        <v>0</v>
      </c>
      <c r="CU170" s="68">
        <v>0</v>
      </c>
      <c r="CV170" s="68">
        <v>0</v>
      </c>
      <c r="CW170" s="68">
        <v>0</v>
      </c>
      <c r="CX170" s="68">
        <v>0</v>
      </c>
      <c r="CY170" s="68">
        <v>0</v>
      </c>
      <c r="CZ170" s="68">
        <v>0</v>
      </c>
      <c r="DA170" s="68">
        <v>0</v>
      </c>
      <c r="DB170" s="68">
        <v>0</v>
      </c>
      <c r="DC170" s="68">
        <v>0</v>
      </c>
      <c r="DD170" s="68">
        <v>0</v>
      </c>
      <c r="DE170" s="68">
        <v>0</v>
      </c>
      <c r="DF170" s="68">
        <v>0</v>
      </c>
      <c r="DG170" s="68">
        <v>0</v>
      </c>
      <c r="DH170" s="68">
        <v>0</v>
      </c>
      <c r="DI170" s="68">
        <v>0</v>
      </c>
      <c r="DJ170" s="68">
        <v>0</v>
      </c>
      <c r="DK170" s="68">
        <v>0</v>
      </c>
      <c r="DL170" s="68">
        <v>0</v>
      </c>
      <c r="DM170" s="68">
        <v>0</v>
      </c>
      <c r="DN170" s="68">
        <v>0</v>
      </c>
      <c r="DO170" s="68">
        <v>0</v>
      </c>
      <c r="DP170" s="68">
        <v>0</v>
      </c>
      <c r="DQ170" s="68">
        <v>0</v>
      </c>
      <c r="DR170" s="68">
        <v>0</v>
      </c>
      <c r="DS170" s="68">
        <v>0</v>
      </c>
      <c r="DT170" s="68">
        <v>0</v>
      </c>
      <c r="DU170" s="68">
        <v>0</v>
      </c>
      <c r="DV170" s="68">
        <v>0</v>
      </c>
      <c r="DW170" s="68">
        <v>0</v>
      </c>
      <c r="DX170" s="68">
        <v>0</v>
      </c>
      <c r="DY170" s="68">
        <v>0</v>
      </c>
      <c r="DZ170" s="68">
        <v>0</v>
      </c>
      <c r="EA170" s="68">
        <v>0</v>
      </c>
      <c r="EB170" s="68">
        <v>0</v>
      </c>
      <c r="EC170" s="68">
        <v>0</v>
      </c>
      <c r="ED170" s="68">
        <v>0</v>
      </c>
      <c r="EE170" s="68">
        <v>0</v>
      </c>
      <c r="EF170" s="68">
        <v>0</v>
      </c>
      <c r="EG170" s="68">
        <v>0</v>
      </c>
      <c r="EH170" s="68">
        <v>0</v>
      </c>
      <c r="EI170" s="68">
        <v>0</v>
      </c>
      <c r="EJ170" s="68">
        <v>0</v>
      </c>
      <c r="EK170" s="68">
        <v>0</v>
      </c>
      <c r="EL170" s="68">
        <v>0</v>
      </c>
      <c r="EM170" s="68">
        <v>0</v>
      </c>
      <c r="EN170" s="68">
        <v>0</v>
      </c>
      <c r="EO170" s="68">
        <v>0</v>
      </c>
      <c r="EP170" s="68">
        <v>0</v>
      </c>
      <c r="EQ170" s="68">
        <v>0</v>
      </c>
      <c r="ER170" s="94">
        <v>0</v>
      </c>
      <c r="ES170" s="68">
        <v>0</v>
      </c>
      <c r="ET170" s="68">
        <v>0</v>
      </c>
      <c r="EU170" s="68">
        <v>0</v>
      </c>
      <c r="EV170" s="68">
        <v>0</v>
      </c>
      <c r="EW170" s="68">
        <v>0</v>
      </c>
      <c r="EX170" s="68">
        <v>0</v>
      </c>
      <c r="EY170" s="68">
        <v>0</v>
      </c>
      <c r="EZ170" s="68">
        <v>0</v>
      </c>
      <c r="FA170" s="68">
        <v>0</v>
      </c>
      <c r="FB170" s="68">
        <v>0</v>
      </c>
      <c r="FC170" s="68">
        <v>0</v>
      </c>
      <c r="FD170" s="67"/>
      <c r="FE170" s="68"/>
      <c r="FF170" s="69"/>
      <c r="FG170" s="69"/>
      <c r="FH170" s="69"/>
      <c r="FI170" s="69"/>
      <c r="FJ170" s="69"/>
      <c r="FK170" s="69"/>
      <c r="FL170" s="69"/>
      <c r="FM170" s="69"/>
      <c r="FN170" s="69"/>
      <c r="FO170" s="69"/>
      <c r="FP170" s="69"/>
      <c r="FQ170" s="69"/>
      <c r="FR170" s="69"/>
      <c r="FS170" s="69"/>
      <c r="FT170" s="69"/>
      <c r="FU170" s="69"/>
      <c r="FV170" s="69"/>
      <c r="FW170" s="69"/>
      <c r="FX170" s="69"/>
      <c r="FY170" s="69"/>
      <c r="FZ170" s="69"/>
      <c r="GA170" s="69"/>
      <c r="GB170" s="69"/>
      <c r="GC170" s="69"/>
      <c r="GD170" s="69"/>
      <c r="GE170" s="69"/>
      <c r="GF170" s="69"/>
      <c r="GG170" s="165"/>
    </row>
    <row r="171" spans="1:189" s="66" customFormat="1" x14ac:dyDescent="0.2">
      <c r="A171"/>
      <c r="B171" s="82">
        <v>45200</v>
      </c>
      <c r="C171" s="68">
        <v>0</v>
      </c>
      <c r="D171" s="68">
        <v>0</v>
      </c>
      <c r="E171" s="68">
        <v>0</v>
      </c>
      <c r="F171" s="68">
        <v>0</v>
      </c>
      <c r="G171" s="68">
        <v>0</v>
      </c>
      <c r="H171" s="68">
        <v>0</v>
      </c>
      <c r="I171" s="68">
        <v>0</v>
      </c>
      <c r="J171" s="68">
        <v>0</v>
      </c>
      <c r="K171" s="68">
        <v>0</v>
      </c>
      <c r="L171" s="68">
        <v>0</v>
      </c>
      <c r="M171" s="68">
        <v>0</v>
      </c>
      <c r="N171" s="68">
        <v>0</v>
      </c>
      <c r="O171" s="68">
        <v>0</v>
      </c>
      <c r="P171" s="68">
        <v>0</v>
      </c>
      <c r="Q171" s="68">
        <v>0</v>
      </c>
      <c r="R171" s="68">
        <v>0</v>
      </c>
      <c r="S171" s="68">
        <v>0</v>
      </c>
      <c r="T171" s="68">
        <v>0</v>
      </c>
      <c r="U171" s="68">
        <v>0</v>
      </c>
      <c r="V171" s="68">
        <v>0</v>
      </c>
      <c r="W171" s="68">
        <v>0</v>
      </c>
      <c r="X171" s="68">
        <v>0</v>
      </c>
      <c r="Y171" s="68">
        <v>0</v>
      </c>
      <c r="Z171" s="68">
        <v>0</v>
      </c>
      <c r="AA171" s="68">
        <v>0</v>
      </c>
      <c r="AB171" s="68">
        <v>0</v>
      </c>
      <c r="AC171" s="68">
        <v>0</v>
      </c>
      <c r="AD171" s="68">
        <v>0</v>
      </c>
      <c r="AE171" s="68">
        <v>0</v>
      </c>
      <c r="AF171" s="68">
        <v>0</v>
      </c>
      <c r="AG171" s="68">
        <v>0</v>
      </c>
      <c r="AH171" s="68">
        <v>0</v>
      </c>
      <c r="AI171" s="68">
        <v>0</v>
      </c>
      <c r="AJ171" s="68">
        <v>0</v>
      </c>
      <c r="AK171" s="68">
        <v>0</v>
      </c>
      <c r="AL171" s="68">
        <v>0</v>
      </c>
      <c r="AM171" s="68">
        <v>0</v>
      </c>
      <c r="AN171" s="68">
        <v>0</v>
      </c>
      <c r="AO171" s="68">
        <v>0</v>
      </c>
      <c r="AP171" s="68">
        <v>0</v>
      </c>
      <c r="AQ171" s="68">
        <v>0</v>
      </c>
      <c r="AR171" s="68">
        <v>0</v>
      </c>
      <c r="AS171" s="68">
        <v>0</v>
      </c>
      <c r="AT171" s="68">
        <v>0</v>
      </c>
      <c r="AU171" s="68">
        <v>0</v>
      </c>
      <c r="AV171" s="68">
        <v>0</v>
      </c>
      <c r="AW171" s="68">
        <v>0</v>
      </c>
      <c r="AX171" s="68">
        <v>0</v>
      </c>
      <c r="AY171" s="68">
        <v>0</v>
      </c>
      <c r="AZ171" s="68">
        <v>0</v>
      </c>
      <c r="BA171" s="68">
        <v>0</v>
      </c>
      <c r="BB171" s="68">
        <v>0</v>
      </c>
      <c r="BC171" s="68">
        <v>0</v>
      </c>
      <c r="BD171" s="68">
        <v>0</v>
      </c>
      <c r="BE171" s="68">
        <v>0</v>
      </c>
      <c r="BF171" s="68">
        <v>0</v>
      </c>
      <c r="BG171" s="68">
        <v>0</v>
      </c>
      <c r="BH171" s="68">
        <v>0</v>
      </c>
      <c r="BI171" s="68">
        <v>0</v>
      </c>
      <c r="BJ171" s="68">
        <v>0</v>
      </c>
      <c r="BK171" s="68">
        <v>0</v>
      </c>
      <c r="BL171" s="68">
        <v>0</v>
      </c>
      <c r="BM171" s="68">
        <v>0</v>
      </c>
      <c r="BN171" s="68">
        <v>0</v>
      </c>
      <c r="BO171" s="68">
        <v>0</v>
      </c>
      <c r="BP171" s="68">
        <v>0</v>
      </c>
      <c r="BQ171" s="68">
        <v>0</v>
      </c>
      <c r="BR171" s="68">
        <v>0</v>
      </c>
      <c r="BS171" s="68">
        <v>0</v>
      </c>
      <c r="BT171" s="68">
        <v>0</v>
      </c>
      <c r="BU171" s="68">
        <v>0</v>
      </c>
      <c r="BV171" s="68">
        <v>0</v>
      </c>
      <c r="BW171" s="68">
        <v>0</v>
      </c>
      <c r="BX171" s="68">
        <v>0</v>
      </c>
      <c r="BY171" s="68">
        <v>0</v>
      </c>
      <c r="BZ171" s="68">
        <v>0</v>
      </c>
      <c r="CA171" s="68">
        <v>0</v>
      </c>
      <c r="CB171" s="68">
        <v>0</v>
      </c>
      <c r="CC171" s="68">
        <v>0</v>
      </c>
      <c r="CD171" s="68">
        <v>0</v>
      </c>
      <c r="CE171" s="68">
        <v>0</v>
      </c>
      <c r="CF171" s="68">
        <v>0</v>
      </c>
      <c r="CG171" s="68">
        <v>0</v>
      </c>
      <c r="CH171" s="68">
        <v>0</v>
      </c>
      <c r="CI171" s="68">
        <v>0</v>
      </c>
      <c r="CJ171" s="68">
        <v>0</v>
      </c>
      <c r="CK171" s="68">
        <v>0</v>
      </c>
      <c r="CL171" s="68">
        <v>0</v>
      </c>
      <c r="CM171" s="68">
        <v>0</v>
      </c>
      <c r="CN171" s="68">
        <v>0</v>
      </c>
      <c r="CO171" s="68">
        <v>0</v>
      </c>
      <c r="CP171" s="68">
        <v>0</v>
      </c>
      <c r="CQ171" s="68">
        <v>0</v>
      </c>
      <c r="CR171" s="68">
        <v>0</v>
      </c>
      <c r="CS171" s="68">
        <v>0</v>
      </c>
      <c r="CT171" s="68">
        <v>0</v>
      </c>
      <c r="CU171" s="68">
        <v>0</v>
      </c>
      <c r="CV171" s="68">
        <v>0</v>
      </c>
      <c r="CW171" s="68">
        <v>0</v>
      </c>
      <c r="CX171" s="68">
        <v>0</v>
      </c>
      <c r="CY171" s="68">
        <v>0</v>
      </c>
      <c r="CZ171" s="68">
        <v>0</v>
      </c>
      <c r="DA171" s="68">
        <v>0</v>
      </c>
      <c r="DB171" s="68">
        <v>0</v>
      </c>
      <c r="DC171" s="68">
        <v>0</v>
      </c>
      <c r="DD171" s="68">
        <v>0</v>
      </c>
      <c r="DE171" s="68">
        <v>0</v>
      </c>
      <c r="DF171" s="68">
        <v>0</v>
      </c>
      <c r="DG171" s="68">
        <v>0</v>
      </c>
      <c r="DH171" s="68">
        <v>0</v>
      </c>
      <c r="DI171" s="68">
        <v>0</v>
      </c>
      <c r="DJ171" s="68">
        <v>0</v>
      </c>
      <c r="DK171" s="68">
        <v>0</v>
      </c>
      <c r="DL171" s="68">
        <v>0</v>
      </c>
      <c r="DM171" s="68">
        <v>0</v>
      </c>
      <c r="DN171" s="68">
        <v>0</v>
      </c>
      <c r="DO171" s="68">
        <v>0</v>
      </c>
      <c r="DP171" s="68">
        <v>0</v>
      </c>
      <c r="DQ171" s="68">
        <v>0</v>
      </c>
      <c r="DR171" s="68">
        <v>0</v>
      </c>
      <c r="DS171" s="68">
        <v>0</v>
      </c>
      <c r="DT171" s="68">
        <v>0</v>
      </c>
      <c r="DU171" s="68">
        <v>0</v>
      </c>
      <c r="DV171" s="68">
        <v>0</v>
      </c>
      <c r="DW171" s="68">
        <v>0</v>
      </c>
      <c r="DX171" s="68">
        <v>0</v>
      </c>
      <c r="DY171" s="68">
        <v>0</v>
      </c>
      <c r="DZ171" s="68">
        <v>0</v>
      </c>
      <c r="EA171" s="68">
        <v>0</v>
      </c>
      <c r="EB171" s="68">
        <v>0</v>
      </c>
      <c r="EC171" s="68">
        <v>0</v>
      </c>
      <c r="ED171" s="68">
        <v>0</v>
      </c>
      <c r="EE171" s="68">
        <v>0</v>
      </c>
      <c r="EF171" s="68">
        <v>0</v>
      </c>
      <c r="EG171" s="68">
        <v>0</v>
      </c>
      <c r="EH171" s="68">
        <v>0</v>
      </c>
      <c r="EI171" s="68">
        <v>0</v>
      </c>
      <c r="EJ171" s="68">
        <v>0</v>
      </c>
      <c r="EK171" s="68">
        <v>0</v>
      </c>
      <c r="EL171" s="68">
        <v>0</v>
      </c>
      <c r="EM171" s="68">
        <v>0</v>
      </c>
      <c r="EN171" s="68">
        <v>0</v>
      </c>
      <c r="EO171" s="68">
        <v>0</v>
      </c>
      <c r="EP171" s="68">
        <v>0</v>
      </c>
      <c r="EQ171" s="68">
        <v>0</v>
      </c>
      <c r="ER171" s="68">
        <v>0</v>
      </c>
      <c r="ES171" s="94">
        <v>0</v>
      </c>
      <c r="ET171" s="68">
        <v>0</v>
      </c>
      <c r="EU171" s="68">
        <v>0</v>
      </c>
      <c r="EV171" s="68">
        <v>0</v>
      </c>
      <c r="EW171" s="68">
        <v>0</v>
      </c>
      <c r="EX171" s="68">
        <v>0</v>
      </c>
      <c r="EY171" s="68">
        <v>0</v>
      </c>
      <c r="EZ171" s="68">
        <v>0</v>
      </c>
      <c r="FA171" s="68">
        <v>0</v>
      </c>
      <c r="FB171" s="68">
        <v>0</v>
      </c>
      <c r="FC171" s="68">
        <v>0</v>
      </c>
      <c r="FD171" s="68">
        <v>0</v>
      </c>
      <c r="FE171" s="67"/>
      <c r="FF171" s="68"/>
      <c r="FG171" s="69"/>
      <c r="FH171" s="69"/>
      <c r="FI171" s="69"/>
      <c r="FJ171" s="69"/>
      <c r="FK171" s="69"/>
      <c r="FL171" s="69"/>
      <c r="FM171" s="69"/>
      <c r="FN171" s="69"/>
      <c r="FO171" s="69"/>
      <c r="FP171" s="69"/>
      <c r="FQ171" s="69"/>
      <c r="FR171" s="69"/>
      <c r="FS171" s="69"/>
      <c r="FT171" s="69"/>
      <c r="FU171" s="69"/>
      <c r="FV171" s="69"/>
      <c r="FW171" s="69"/>
      <c r="FX171" s="69"/>
      <c r="FY171" s="69"/>
      <c r="FZ171" s="69"/>
      <c r="GA171" s="69"/>
      <c r="GB171" s="69"/>
      <c r="GC171" s="69"/>
      <c r="GD171" s="69"/>
      <c r="GE171" s="69"/>
      <c r="GF171" s="69"/>
      <c r="GG171" s="165"/>
    </row>
    <row r="172" spans="1:189" s="66" customFormat="1" x14ac:dyDescent="0.2">
      <c r="A172"/>
      <c r="B172" s="82">
        <v>45231</v>
      </c>
      <c r="C172" s="68">
        <v>0</v>
      </c>
      <c r="D172" s="68">
        <v>0</v>
      </c>
      <c r="E172" s="68">
        <v>0</v>
      </c>
      <c r="F172" s="68">
        <v>0</v>
      </c>
      <c r="G172" s="68">
        <v>0</v>
      </c>
      <c r="H172" s="68">
        <v>0</v>
      </c>
      <c r="I172" s="68">
        <v>0</v>
      </c>
      <c r="J172" s="68">
        <v>0</v>
      </c>
      <c r="K172" s="68">
        <v>0</v>
      </c>
      <c r="L172" s="68">
        <v>0</v>
      </c>
      <c r="M172" s="68">
        <v>0</v>
      </c>
      <c r="N172" s="68">
        <v>0</v>
      </c>
      <c r="O172" s="68">
        <v>0</v>
      </c>
      <c r="P172" s="68">
        <v>0</v>
      </c>
      <c r="Q172" s="68">
        <v>0</v>
      </c>
      <c r="R172" s="68">
        <v>0</v>
      </c>
      <c r="S172" s="68">
        <v>0</v>
      </c>
      <c r="T172" s="68">
        <v>0</v>
      </c>
      <c r="U172" s="68">
        <v>0</v>
      </c>
      <c r="V172" s="68">
        <v>0</v>
      </c>
      <c r="W172" s="68">
        <v>0</v>
      </c>
      <c r="X172" s="68">
        <v>0</v>
      </c>
      <c r="Y172" s="68">
        <v>0</v>
      </c>
      <c r="Z172" s="68">
        <v>0</v>
      </c>
      <c r="AA172" s="68">
        <v>0</v>
      </c>
      <c r="AB172" s="68">
        <v>0</v>
      </c>
      <c r="AC172" s="68">
        <v>0</v>
      </c>
      <c r="AD172" s="68">
        <v>0</v>
      </c>
      <c r="AE172" s="68">
        <v>0</v>
      </c>
      <c r="AF172" s="68">
        <v>0</v>
      </c>
      <c r="AG172" s="68">
        <v>0</v>
      </c>
      <c r="AH172" s="68">
        <v>0</v>
      </c>
      <c r="AI172" s="68">
        <v>0</v>
      </c>
      <c r="AJ172" s="68">
        <v>0</v>
      </c>
      <c r="AK172" s="68">
        <v>0</v>
      </c>
      <c r="AL172" s="68">
        <v>0</v>
      </c>
      <c r="AM172" s="68">
        <v>0</v>
      </c>
      <c r="AN172" s="68">
        <v>0</v>
      </c>
      <c r="AO172" s="68">
        <v>0</v>
      </c>
      <c r="AP172" s="68">
        <v>0</v>
      </c>
      <c r="AQ172" s="68">
        <v>0</v>
      </c>
      <c r="AR172" s="68">
        <v>0</v>
      </c>
      <c r="AS172" s="68">
        <v>0</v>
      </c>
      <c r="AT172" s="68">
        <v>0</v>
      </c>
      <c r="AU172" s="68">
        <v>0</v>
      </c>
      <c r="AV172" s="68">
        <v>0</v>
      </c>
      <c r="AW172" s="68">
        <v>0</v>
      </c>
      <c r="AX172" s="68">
        <v>0</v>
      </c>
      <c r="AY172" s="68">
        <v>0</v>
      </c>
      <c r="AZ172" s="68">
        <v>0</v>
      </c>
      <c r="BA172" s="68">
        <v>0</v>
      </c>
      <c r="BB172" s="68">
        <v>0</v>
      </c>
      <c r="BC172" s="68">
        <v>0</v>
      </c>
      <c r="BD172" s="68">
        <v>0</v>
      </c>
      <c r="BE172" s="68">
        <v>0</v>
      </c>
      <c r="BF172" s="68">
        <v>0</v>
      </c>
      <c r="BG172" s="68">
        <v>0</v>
      </c>
      <c r="BH172" s="68">
        <v>0</v>
      </c>
      <c r="BI172" s="68">
        <v>0</v>
      </c>
      <c r="BJ172" s="68">
        <v>0</v>
      </c>
      <c r="BK172" s="68">
        <v>0</v>
      </c>
      <c r="BL172" s="68">
        <v>0</v>
      </c>
      <c r="BM172" s="68">
        <v>0</v>
      </c>
      <c r="BN172" s="68">
        <v>0</v>
      </c>
      <c r="BO172" s="68">
        <v>0</v>
      </c>
      <c r="BP172" s="68">
        <v>0</v>
      </c>
      <c r="BQ172" s="68">
        <v>0</v>
      </c>
      <c r="BR172" s="68">
        <v>0</v>
      </c>
      <c r="BS172" s="68">
        <v>0</v>
      </c>
      <c r="BT172" s="68">
        <v>0</v>
      </c>
      <c r="BU172" s="68">
        <v>0</v>
      </c>
      <c r="BV172" s="68">
        <v>0</v>
      </c>
      <c r="BW172" s="68">
        <v>0</v>
      </c>
      <c r="BX172" s="68">
        <v>0</v>
      </c>
      <c r="BY172" s="68">
        <v>0</v>
      </c>
      <c r="BZ172" s="68">
        <v>0</v>
      </c>
      <c r="CA172" s="68">
        <v>0</v>
      </c>
      <c r="CB172" s="68">
        <v>0</v>
      </c>
      <c r="CC172" s="68">
        <v>0</v>
      </c>
      <c r="CD172" s="68">
        <v>0</v>
      </c>
      <c r="CE172" s="68">
        <v>0</v>
      </c>
      <c r="CF172" s="68">
        <v>0</v>
      </c>
      <c r="CG172" s="68">
        <v>0</v>
      </c>
      <c r="CH172" s="68">
        <v>0</v>
      </c>
      <c r="CI172" s="68">
        <v>0</v>
      </c>
      <c r="CJ172" s="68">
        <v>0</v>
      </c>
      <c r="CK172" s="68">
        <v>0</v>
      </c>
      <c r="CL172" s="68">
        <v>0</v>
      </c>
      <c r="CM172" s="68">
        <v>0</v>
      </c>
      <c r="CN172" s="68">
        <v>0</v>
      </c>
      <c r="CO172" s="68">
        <v>0</v>
      </c>
      <c r="CP172" s="68">
        <v>0</v>
      </c>
      <c r="CQ172" s="68">
        <v>0</v>
      </c>
      <c r="CR172" s="68">
        <v>0</v>
      </c>
      <c r="CS172" s="68">
        <v>0</v>
      </c>
      <c r="CT172" s="68">
        <v>0</v>
      </c>
      <c r="CU172" s="68">
        <v>0</v>
      </c>
      <c r="CV172" s="68">
        <v>0</v>
      </c>
      <c r="CW172" s="68">
        <v>0</v>
      </c>
      <c r="CX172" s="68">
        <v>0</v>
      </c>
      <c r="CY172" s="68">
        <v>0</v>
      </c>
      <c r="CZ172" s="68">
        <v>0</v>
      </c>
      <c r="DA172" s="68">
        <v>0</v>
      </c>
      <c r="DB172" s="68">
        <v>0</v>
      </c>
      <c r="DC172" s="68">
        <v>0</v>
      </c>
      <c r="DD172" s="68">
        <v>0</v>
      </c>
      <c r="DE172" s="68">
        <v>0</v>
      </c>
      <c r="DF172" s="68">
        <v>0</v>
      </c>
      <c r="DG172" s="68">
        <v>0</v>
      </c>
      <c r="DH172" s="68">
        <v>0</v>
      </c>
      <c r="DI172" s="68">
        <v>0</v>
      </c>
      <c r="DJ172" s="68">
        <v>0</v>
      </c>
      <c r="DK172" s="68">
        <v>0</v>
      </c>
      <c r="DL172" s="68">
        <v>0</v>
      </c>
      <c r="DM172" s="68">
        <v>0</v>
      </c>
      <c r="DN172" s="68">
        <v>0</v>
      </c>
      <c r="DO172" s="68">
        <v>0</v>
      </c>
      <c r="DP172" s="68">
        <v>0</v>
      </c>
      <c r="DQ172" s="68">
        <v>0</v>
      </c>
      <c r="DR172" s="68">
        <v>0</v>
      </c>
      <c r="DS172" s="68">
        <v>0</v>
      </c>
      <c r="DT172" s="68">
        <v>0</v>
      </c>
      <c r="DU172" s="68">
        <v>0</v>
      </c>
      <c r="DV172" s="68">
        <v>0</v>
      </c>
      <c r="DW172" s="68">
        <v>0</v>
      </c>
      <c r="DX172" s="68">
        <v>0</v>
      </c>
      <c r="DY172" s="68">
        <v>0</v>
      </c>
      <c r="DZ172" s="68">
        <v>0</v>
      </c>
      <c r="EA172" s="68">
        <v>0</v>
      </c>
      <c r="EB172" s="68">
        <v>0</v>
      </c>
      <c r="EC172" s="68">
        <v>0</v>
      </c>
      <c r="ED172" s="68">
        <v>0</v>
      </c>
      <c r="EE172" s="68">
        <v>0</v>
      </c>
      <c r="EF172" s="68">
        <v>0</v>
      </c>
      <c r="EG172" s="68">
        <v>0</v>
      </c>
      <c r="EH172" s="68">
        <v>0</v>
      </c>
      <c r="EI172" s="68">
        <v>0</v>
      </c>
      <c r="EJ172" s="68">
        <v>0</v>
      </c>
      <c r="EK172" s="68">
        <v>0</v>
      </c>
      <c r="EL172" s="68">
        <v>0</v>
      </c>
      <c r="EM172" s="68">
        <v>0</v>
      </c>
      <c r="EN172" s="68">
        <v>0</v>
      </c>
      <c r="EO172" s="68">
        <v>0</v>
      </c>
      <c r="EP172" s="68">
        <v>0</v>
      </c>
      <c r="EQ172" s="68">
        <v>0</v>
      </c>
      <c r="ER172" s="68">
        <v>0</v>
      </c>
      <c r="ES172" s="68">
        <v>0</v>
      </c>
      <c r="ET172" s="94">
        <v>0</v>
      </c>
      <c r="EU172" s="68">
        <v>0</v>
      </c>
      <c r="EV172" s="68">
        <v>0</v>
      </c>
      <c r="EW172" s="68">
        <v>0</v>
      </c>
      <c r="EX172" s="68">
        <v>0</v>
      </c>
      <c r="EY172" s="68">
        <v>0</v>
      </c>
      <c r="EZ172" s="68">
        <v>0</v>
      </c>
      <c r="FA172" s="68">
        <v>0</v>
      </c>
      <c r="FB172" s="68">
        <v>0</v>
      </c>
      <c r="FC172" s="68">
        <v>0</v>
      </c>
      <c r="FD172" s="68">
        <v>0</v>
      </c>
      <c r="FE172" s="68">
        <v>0</v>
      </c>
      <c r="FF172" s="67"/>
      <c r="FG172" s="68"/>
      <c r="FH172" s="69"/>
      <c r="FI172" s="69"/>
      <c r="FJ172" s="69"/>
      <c r="FK172" s="69"/>
      <c r="FL172" s="69"/>
      <c r="FM172" s="69"/>
      <c r="FN172" s="69"/>
      <c r="FO172" s="69"/>
      <c r="FP172" s="69"/>
      <c r="FQ172" s="69"/>
      <c r="FR172" s="69"/>
      <c r="FS172" s="69"/>
      <c r="FT172" s="69"/>
      <c r="FU172" s="69"/>
      <c r="FV172" s="69"/>
      <c r="FW172" s="69"/>
      <c r="FX172" s="69"/>
      <c r="FY172" s="69"/>
      <c r="FZ172" s="69"/>
      <c r="GA172" s="69"/>
      <c r="GB172" s="69"/>
      <c r="GC172" s="69"/>
      <c r="GD172" s="69"/>
      <c r="GE172" s="69"/>
      <c r="GF172" s="69"/>
      <c r="GG172" s="165"/>
    </row>
    <row r="173" spans="1:189" s="66" customFormat="1" x14ac:dyDescent="0.2">
      <c r="A173"/>
      <c r="B173" s="82">
        <v>45261</v>
      </c>
      <c r="C173" s="68">
        <v>0</v>
      </c>
      <c r="D173" s="68">
        <v>0</v>
      </c>
      <c r="E173" s="68">
        <v>0</v>
      </c>
      <c r="F173" s="68">
        <v>0</v>
      </c>
      <c r="G173" s="68">
        <v>0</v>
      </c>
      <c r="H173" s="68">
        <v>0</v>
      </c>
      <c r="I173" s="68">
        <v>0</v>
      </c>
      <c r="J173" s="68">
        <v>0</v>
      </c>
      <c r="K173" s="68">
        <v>0</v>
      </c>
      <c r="L173" s="68">
        <v>0</v>
      </c>
      <c r="M173" s="68">
        <v>0</v>
      </c>
      <c r="N173" s="68">
        <v>0</v>
      </c>
      <c r="O173" s="68">
        <v>0</v>
      </c>
      <c r="P173" s="68">
        <v>0</v>
      </c>
      <c r="Q173" s="68">
        <v>0</v>
      </c>
      <c r="R173" s="68">
        <v>0</v>
      </c>
      <c r="S173" s="68">
        <v>0</v>
      </c>
      <c r="T173" s="68">
        <v>0</v>
      </c>
      <c r="U173" s="68">
        <v>0</v>
      </c>
      <c r="V173" s="68">
        <v>0</v>
      </c>
      <c r="W173" s="68">
        <v>0</v>
      </c>
      <c r="X173" s="68">
        <v>0</v>
      </c>
      <c r="Y173" s="68">
        <v>0</v>
      </c>
      <c r="Z173" s="68">
        <v>0</v>
      </c>
      <c r="AA173" s="68">
        <v>0</v>
      </c>
      <c r="AB173" s="68">
        <v>0</v>
      </c>
      <c r="AC173" s="68">
        <v>0</v>
      </c>
      <c r="AD173" s="68">
        <v>0</v>
      </c>
      <c r="AE173" s="68">
        <v>0</v>
      </c>
      <c r="AF173" s="68">
        <v>0</v>
      </c>
      <c r="AG173" s="68">
        <v>0</v>
      </c>
      <c r="AH173" s="68">
        <v>0</v>
      </c>
      <c r="AI173" s="68">
        <v>0</v>
      </c>
      <c r="AJ173" s="68">
        <v>0</v>
      </c>
      <c r="AK173" s="68">
        <v>0</v>
      </c>
      <c r="AL173" s="68">
        <v>0</v>
      </c>
      <c r="AM173" s="68">
        <v>0</v>
      </c>
      <c r="AN173" s="68">
        <v>0</v>
      </c>
      <c r="AO173" s="68">
        <v>0</v>
      </c>
      <c r="AP173" s="68">
        <v>0</v>
      </c>
      <c r="AQ173" s="68">
        <v>0</v>
      </c>
      <c r="AR173" s="68">
        <v>0</v>
      </c>
      <c r="AS173" s="68">
        <v>0</v>
      </c>
      <c r="AT173" s="68">
        <v>0</v>
      </c>
      <c r="AU173" s="68">
        <v>0</v>
      </c>
      <c r="AV173" s="68">
        <v>0</v>
      </c>
      <c r="AW173" s="68">
        <v>0</v>
      </c>
      <c r="AX173" s="68">
        <v>0</v>
      </c>
      <c r="AY173" s="68">
        <v>0</v>
      </c>
      <c r="AZ173" s="68">
        <v>0</v>
      </c>
      <c r="BA173" s="68">
        <v>0</v>
      </c>
      <c r="BB173" s="68">
        <v>0</v>
      </c>
      <c r="BC173" s="68">
        <v>0</v>
      </c>
      <c r="BD173" s="68">
        <v>0</v>
      </c>
      <c r="BE173" s="68">
        <v>0</v>
      </c>
      <c r="BF173" s="68">
        <v>0</v>
      </c>
      <c r="BG173" s="68">
        <v>0</v>
      </c>
      <c r="BH173" s="68">
        <v>0</v>
      </c>
      <c r="BI173" s="68">
        <v>0</v>
      </c>
      <c r="BJ173" s="68">
        <v>0</v>
      </c>
      <c r="BK173" s="68">
        <v>0</v>
      </c>
      <c r="BL173" s="68">
        <v>0</v>
      </c>
      <c r="BM173" s="68">
        <v>0</v>
      </c>
      <c r="BN173" s="68">
        <v>0</v>
      </c>
      <c r="BO173" s="68">
        <v>0</v>
      </c>
      <c r="BP173" s="68">
        <v>0</v>
      </c>
      <c r="BQ173" s="68">
        <v>0</v>
      </c>
      <c r="BR173" s="68">
        <v>0</v>
      </c>
      <c r="BS173" s="68">
        <v>0</v>
      </c>
      <c r="BT173" s="68">
        <v>0</v>
      </c>
      <c r="BU173" s="68">
        <v>0</v>
      </c>
      <c r="BV173" s="68">
        <v>0</v>
      </c>
      <c r="BW173" s="68">
        <v>0</v>
      </c>
      <c r="BX173" s="68">
        <v>0</v>
      </c>
      <c r="BY173" s="68">
        <v>0</v>
      </c>
      <c r="BZ173" s="68">
        <v>0</v>
      </c>
      <c r="CA173" s="68">
        <v>0</v>
      </c>
      <c r="CB173" s="68">
        <v>0</v>
      </c>
      <c r="CC173" s="68">
        <v>0</v>
      </c>
      <c r="CD173" s="68">
        <v>0</v>
      </c>
      <c r="CE173" s="68">
        <v>0</v>
      </c>
      <c r="CF173" s="68">
        <v>0</v>
      </c>
      <c r="CG173" s="68">
        <v>0</v>
      </c>
      <c r="CH173" s="68">
        <v>0</v>
      </c>
      <c r="CI173" s="68">
        <v>0</v>
      </c>
      <c r="CJ173" s="68">
        <v>0</v>
      </c>
      <c r="CK173" s="68">
        <v>0</v>
      </c>
      <c r="CL173" s="68">
        <v>0</v>
      </c>
      <c r="CM173" s="68">
        <v>0</v>
      </c>
      <c r="CN173" s="68">
        <v>0</v>
      </c>
      <c r="CO173" s="68">
        <v>0</v>
      </c>
      <c r="CP173" s="68">
        <v>0</v>
      </c>
      <c r="CQ173" s="68">
        <v>0</v>
      </c>
      <c r="CR173" s="68">
        <v>0</v>
      </c>
      <c r="CS173" s="68">
        <v>0</v>
      </c>
      <c r="CT173" s="68">
        <v>0</v>
      </c>
      <c r="CU173" s="68">
        <v>0</v>
      </c>
      <c r="CV173" s="68">
        <v>0</v>
      </c>
      <c r="CW173" s="68">
        <v>0</v>
      </c>
      <c r="CX173" s="68">
        <v>0</v>
      </c>
      <c r="CY173" s="68">
        <v>0</v>
      </c>
      <c r="CZ173" s="68">
        <v>0</v>
      </c>
      <c r="DA173" s="68">
        <v>0</v>
      </c>
      <c r="DB173" s="68">
        <v>0</v>
      </c>
      <c r="DC173" s="68">
        <v>0</v>
      </c>
      <c r="DD173" s="68">
        <v>0</v>
      </c>
      <c r="DE173" s="68">
        <v>0</v>
      </c>
      <c r="DF173" s="68">
        <v>0</v>
      </c>
      <c r="DG173" s="68">
        <v>0</v>
      </c>
      <c r="DH173" s="68">
        <v>0</v>
      </c>
      <c r="DI173" s="68">
        <v>0</v>
      </c>
      <c r="DJ173" s="68">
        <v>0</v>
      </c>
      <c r="DK173" s="68">
        <v>0</v>
      </c>
      <c r="DL173" s="68">
        <v>0</v>
      </c>
      <c r="DM173" s="68">
        <v>0</v>
      </c>
      <c r="DN173" s="68">
        <v>0</v>
      </c>
      <c r="DO173" s="68">
        <v>0</v>
      </c>
      <c r="DP173" s="68">
        <v>0</v>
      </c>
      <c r="DQ173" s="68">
        <v>0</v>
      </c>
      <c r="DR173" s="68">
        <v>0</v>
      </c>
      <c r="DS173" s="68">
        <v>0</v>
      </c>
      <c r="DT173" s="68">
        <v>0</v>
      </c>
      <c r="DU173" s="68">
        <v>0</v>
      </c>
      <c r="DV173" s="68">
        <v>0</v>
      </c>
      <c r="DW173" s="68">
        <v>0</v>
      </c>
      <c r="DX173" s="68">
        <v>0</v>
      </c>
      <c r="DY173" s="68">
        <v>0</v>
      </c>
      <c r="DZ173" s="68">
        <v>0</v>
      </c>
      <c r="EA173" s="68">
        <v>0</v>
      </c>
      <c r="EB173" s="68">
        <v>0</v>
      </c>
      <c r="EC173" s="68">
        <v>0</v>
      </c>
      <c r="ED173" s="68">
        <v>0</v>
      </c>
      <c r="EE173" s="68">
        <v>0</v>
      </c>
      <c r="EF173" s="68">
        <v>0</v>
      </c>
      <c r="EG173" s="68">
        <v>0</v>
      </c>
      <c r="EH173" s="68">
        <v>0</v>
      </c>
      <c r="EI173" s="68">
        <v>0</v>
      </c>
      <c r="EJ173" s="68">
        <v>0</v>
      </c>
      <c r="EK173" s="68">
        <v>0</v>
      </c>
      <c r="EL173" s="68">
        <v>0</v>
      </c>
      <c r="EM173" s="68">
        <v>0</v>
      </c>
      <c r="EN173" s="68">
        <v>0</v>
      </c>
      <c r="EO173" s="68">
        <v>0</v>
      </c>
      <c r="EP173" s="68">
        <v>0</v>
      </c>
      <c r="EQ173" s="68">
        <v>0</v>
      </c>
      <c r="ER173" s="68">
        <v>0</v>
      </c>
      <c r="ES173" s="68">
        <v>0</v>
      </c>
      <c r="ET173" s="68">
        <v>0</v>
      </c>
      <c r="EU173" s="94">
        <v>0</v>
      </c>
      <c r="EV173" s="68">
        <v>0</v>
      </c>
      <c r="EW173" s="68">
        <v>0</v>
      </c>
      <c r="EX173" s="68">
        <v>0</v>
      </c>
      <c r="EY173" s="68">
        <v>0</v>
      </c>
      <c r="EZ173" s="68">
        <v>0</v>
      </c>
      <c r="FA173" s="68">
        <v>0</v>
      </c>
      <c r="FB173" s="68">
        <v>0</v>
      </c>
      <c r="FC173" s="68">
        <v>0</v>
      </c>
      <c r="FD173" s="68">
        <v>0</v>
      </c>
      <c r="FE173" s="68">
        <v>0</v>
      </c>
      <c r="FF173" s="68">
        <v>0</v>
      </c>
      <c r="FG173" s="67"/>
      <c r="FH173" s="68"/>
      <c r="FI173" s="69"/>
      <c r="FJ173" s="69"/>
      <c r="FK173" s="69"/>
      <c r="FL173" s="69"/>
      <c r="FM173" s="69"/>
      <c r="FN173" s="69"/>
      <c r="FO173" s="69"/>
      <c r="FP173" s="69"/>
      <c r="FQ173" s="69"/>
      <c r="FR173" s="69"/>
      <c r="FS173" s="69"/>
      <c r="FT173" s="69"/>
      <c r="FU173" s="69"/>
      <c r="FV173" s="69"/>
      <c r="FW173" s="69"/>
      <c r="FX173" s="69"/>
      <c r="FY173" s="69"/>
      <c r="FZ173" s="69"/>
      <c r="GA173" s="69"/>
      <c r="GB173" s="69"/>
      <c r="GC173" s="69"/>
      <c r="GD173" s="69"/>
      <c r="GE173" s="69"/>
      <c r="GF173" s="69"/>
      <c r="GG173" s="165"/>
    </row>
    <row r="174" spans="1:189" s="66" customFormat="1" x14ac:dyDescent="0.2">
      <c r="A174"/>
      <c r="B174" s="82">
        <v>45292</v>
      </c>
      <c r="C174" s="68">
        <v>0</v>
      </c>
      <c r="D174" s="68">
        <v>0</v>
      </c>
      <c r="E174" s="68">
        <v>0</v>
      </c>
      <c r="F174" s="68">
        <v>0</v>
      </c>
      <c r="G174" s="68">
        <v>0</v>
      </c>
      <c r="H174" s="68">
        <v>0</v>
      </c>
      <c r="I174" s="68">
        <v>0</v>
      </c>
      <c r="J174" s="68">
        <v>0</v>
      </c>
      <c r="K174" s="68">
        <v>0</v>
      </c>
      <c r="L174" s="68">
        <v>0</v>
      </c>
      <c r="M174" s="68">
        <v>0</v>
      </c>
      <c r="N174" s="68">
        <v>0</v>
      </c>
      <c r="O174" s="68">
        <v>0</v>
      </c>
      <c r="P174" s="68">
        <v>0</v>
      </c>
      <c r="Q174" s="68">
        <v>0</v>
      </c>
      <c r="R174" s="68">
        <v>0</v>
      </c>
      <c r="S174" s="68">
        <v>0</v>
      </c>
      <c r="T174" s="68">
        <v>0</v>
      </c>
      <c r="U174" s="68">
        <v>0</v>
      </c>
      <c r="V174" s="68">
        <v>0</v>
      </c>
      <c r="W174" s="68">
        <v>0</v>
      </c>
      <c r="X174" s="68">
        <v>0</v>
      </c>
      <c r="Y174" s="68">
        <v>0</v>
      </c>
      <c r="Z174" s="68">
        <v>0</v>
      </c>
      <c r="AA174" s="68">
        <v>0</v>
      </c>
      <c r="AB174" s="68">
        <v>0</v>
      </c>
      <c r="AC174" s="68">
        <v>0</v>
      </c>
      <c r="AD174" s="68">
        <v>0</v>
      </c>
      <c r="AE174" s="68">
        <v>0</v>
      </c>
      <c r="AF174" s="68">
        <v>0</v>
      </c>
      <c r="AG174" s="68">
        <v>0</v>
      </c>
      <c r="AH174" s="68">
        <v>0</v>
      </c>
      <c r="AI174" s="68">
        <v>0</v>
      </c>
      <c r="AJ174" s="68">
        <v>0</v>
      </c>
      <c r="AK174" s="68">
        <v>0</v>
      </c>
      <c r="AL174" s="68">
        <v>0</v>
      </c>
      <c r="AM174" s="68">
        <v>0</v>
      </c>
      <c r="AN174" s="68">
        <v>0</v>
      </c>
      <c r="AO174" s="68">
        <v>0</v>
      </c>
      <c r="AP174" s="68">
        <v>0</v>
      </c>
      <c r="AQ174" s="68">
        <v>0</v>
      </c>
      <c r="AR174" s="68">
        <v>0</v>
      </c>
      <c r="AS174" s="68">
        <v>0</v>
      </c>
      <c r="AT174" s="68">
        <v>0</v>
      </c>
      <c r="AU174" s="68">
        <v>0</v>
      </c>
      <c r="AV174" s="68">
        <v>0</v>
      </c>
      <c r="AW174" s="68">
        <v>0</v>
      </c>
      <c r="AX174" s="68">
        <v>0</v>
      </c>
      <c r="AY174" s="68">
        <v>0</v>
      </c>
      <c r="AZ174" s="68">
        <v>0</v>
      </c>
      <c r="BA174" s="68">
        <v>0</v>
      </c>
      <c r="BB174" s="68">
        <v>0</v>
      </c>
      <c r="BC174" s="68">
        <v>0</v>
      </c>
      <c r="BD174" s="68">
        <v>0</v>
      </c>
      <c r="BE174" s="68">
        <v>0</v>
      </c>
      <c r="BF174" s="68">
        <v>0</v>
      </c>
      <c r="BG174" s="68">
        <v>0</v>
      </c>
      <c r="BH174" s="68">
        <v>0</v>
      </c>
      <c r="BI174" s="68">
        <v>0</v>
      </c>
      <c r="BJ174" s="68">
        <v>0</v>
      </c>
      <c r="BK174" s="68">
        <v>0</v>
      </c>
      <c r="BL174" s="68">
        <v>0</v>
      </c>
      <c r="BM174" s="68">
        <v>0</v>
      </c>
      <c r="BN174" s="68">
        <v>0</v>
      </c>
      <c r="BO174" s="68">
        <v>0</v>
      </c>
      <c r="BP174" s="68">
        <v>0</v>
      </c>
      <c r="BQ174" s="68">
        <v>0</v>
      </c>
      <c r="BR174" s="68">
        <v>0</v>
      </c>
      <c r="BS174" s="68">
        <v>0</v>
      </c>
      <c r="BT174" s="68">
        <v>0</v>
      </c>
      <c r="BU174" s="68">
        <v>0</v>
      </c>
      <c r="BV174" s="68">
        <v>0</v>
      </c>
      <c r="BW174" s="68">
        <v>0</v>
      </c>
      <c r="BX174" s="68">
        <v>0</v>
      </c>
      <c r="BY174" s="68">
        <v>0</v>
      </c>
      <c r="BZ174" s="68">
        <v>0</v>
      </c>
      <c r="CA174" s="68">
        <v>0</v>
      </c>
      <c r="CB174" s="68">
        <v>0</v>
      </c>
      <c r="CC174" s="68">
        <v>0</v>
      </c>
      <c r="CD174" s="68">
        <v>0</v>
      </c>
      <c r="CE174" s="68">
        <v>0</v>
      </c>
      <c r="CF174" s="68">
        <v>0</v>
      </c>
      <c r="CG174" s="68">
        <v>0</v>
      </c>
      <c r="CH174" s="68">
        <v>0</v>
      </c>
      <c r="CI174" s="68">
        <v>0</v>
      </c>
      <c r="CJ174" s="68">
        <v>0</v>
      </c>
      <c r="CK174" s="68">
        <v>0</v>
      </c>
      <c r="CL174" s="68">
        <v>0</v>
      </c>
      <c r="CM174" s="68">
        <v>0</v>
      </c>
      <c r="CN174" s="68">
        <v>0</v>
      </c>
      <c r="CO174" s="68">
        <v>0</v>
      </c>
      <c r="CP174" s="68">
        <v>0</v>
      </c>
      <c r="CQ174" s="68">
        <v>0</v>
      </c>
      <c r="CR174" s="68">
        <v>0</v>
      </c>
      <c r="CS174" s="68">
        <v>0</v>
      </c>
      <c r="CT174" s="68">
        <v>0</v>
      </c>
      <c r="CU174" s="68">
        <v>0</v>
      </c>
      <c r="CV174" s="68">
        <v>0</v>
      </c>
      <c r="CW174" s="68">
        <v>0</v>
      </c>
      <c r="CX174" s="68">
        <v>0</v>
      </c>
      <c r="CY174" s="68">
        <v>0</v>
      </c>
      <c r="CZ174" s="68">
        <v>0</v>
      </c>
      <c r="DA174" s="68">
        <v>0</v>
      </c>
      <c r="DB174" s="68">
        <v>0</v>
      </c>
      <c r="DC174" s="68">
        <v>0</v>
      </c>
      <c r="DD174" s="68">
        <v>0</v>
      </c>
      <c r="DE174" s="68">
        <v>0</v>
      </c>
      <c r="DF174" s="68">
        <v>0</v>
      </c>
      <c r="DG174" s="68">
        <v>0</v>
      </c>
      <c r="DH174" s="68">
        <v>0</v>
      </c>
      <c r="DI174" s="68">
        <v>0</v>
      </c>
      <c r="DJ174" s="68">
        <v>0</v>
      </c>
      <c r="DK174" s="68">
        <v>0</v>
      </c>
      <c r="DL174" s="68">
        <v>0</v>
      </c>
      <c r="DM174" s="68">
        <v>0</v>
      </c>
      <c r="DN174" s="68">
        <v>0</v>
      </c>
      <c r="DO174" s="68">
        <v>0</v>
      </c>
      <c r="DP174" s="68">
        <v>0</v>
      </c>
      <c r="DQ174" s="68">
        <v>0</v>
      </c>
      <c r="DR174" s="68">
        <v>0</v>
      </c>
      <c r="DS174" s="68">
        <v>0</v>
      </c>
      <c r="DT174" s="68">
        <v>0</v>
      </c>
      <c r="DU174" s="68">
        <v>0</v>
      </c>
      <c r="DV174" s="68">
        <v>0</v>
      </c>
      <c r="DW174" s="68">
        <v>0</v>
      </c>
      <c r="DX174" s="68">
        <v>0</v>
      </c>
      <c r="DY174" s="68">
        <v>0</v>
      </c>
      <c r="DZ174" s="68">
        <v>0</v>
      </c>
      <c r="EA174" s="68">
        <v>0</v>
      </c>
      <c r="EB174" s="68">
        <v>0</v>
      </c>
      <c r="EC174" s="68">
        <v>0</v>
      </c>
      <c r="ED174" s="68">
        <v>0</v>
      </c>
      <c r="EE174" s="68">
        <v>0</v>
      </c>
      <c r="EF174" s="68">
        <v>0</v>
      </c>
      <c r="EG174" s="68">
        <v>0</v>
      </c>
      <c r="EH174" s="68">
        <v>0</v>
      </c>
      <c r="EI174" s="68">
        <v>0</v>
      </c>
      <c r="EJ174" s="68">
        <v>0</v>
      </c>
      <c r="EK174" s="68">
        <v>0</v>
      </c>
      <c r="EL174" s="68">
        <v>0</v>
      </c>
      <c r="EM174" s="68">
        <v>0</v>
      </c>
      <c r="EN174" s="68">
        <v>0</v>
      </c>
      <c r="EO174" s="68">
        <v>0</v>
      </c>
      <c r="EP174" s="68">
        <v>0</v>
      </c>
      <c r="EQ174" s="68">
        <v>0</v>
      </c>
      <c r="ER174" s="68">
        <v>0</v>
      </c>
      <c r="ES174" s="68">
        <v>0</v>
      </c>
      <c r="ET174" s="68">
        <v>0</v>
      </c>
      <c r="EU174" s="68">
        <v>0</v>
      </c>
      <c r="EV174" s="94">
        <v>0</v>
      </c>
      <c r="EW174" s="68">
        <v>0</v>
      </c>
      <c r="EX174" s="68">
        <v>0</v>
      </c>
      <c r="EY174" s="68">
        <v>0</v>
      </c>
      <c r="EZ174" s="68">
        <v>0</v>
      </c>
      <c r="FA174" s="68">
        <v>0</v>
      </c>
      <c r="FB174" s="68">
        <v>0</v>
      </c>
      <c r="FC174" s="68">
        <v>0</v>
      </c>
      <c r="FD174" s="68">
        <v>0</v>
      </c>
      <c r="FE174" s="68">
        <v>0</v>
      </c>
      <c r="FF174" s="68">
        <v>0</v>
      </c>
      <c r="FG174" s="68">
        <v>0</v>
      </c>
      <c r="FH174" s="67"/>
      <c r="FI174" s="68"/>
      <c r="FJ174" s="69"/>
      <c r="FK174" s="69"/>
      <c r="FL174" s="69"/>
      <c r="FM174" s="69"/>
      <c r="FN174" s="69"/>
      <c r="FO174" s="69"/>
      <c r="FP174" s="69"/>
      <c r="FQ174" s="69"/>
      <c r="FR174" s="69"/>
      <c r="FS174" s="69"/>
      <c r="FT174" s="69"/>
      <c r="FU174" s="69"/>
      <c r="FV174" s="69"/>
      <c r="FW174" s="69"/>
      <c r="FX174" s="69"/>
      <c r="FY174" s="69"/>
      <c r="FZ174" s="69"/>
      <c r="GA174" s="69"/>
      <c r="GB174" s="69"/>
      <c r="GC174" s="69"/>
      <c r="GD174" s="69"/>
      <c r="GE174" s="69"/>
      <c r="GF174" s="69"/>
      <c r="GG174" s="165"/>
    </row>
    <row r="175" spans="1:189" s="66" customFormat="1" x14ac:dyDescent="0.2">
      <c r="A175"/>
      <c r="B175" s="82">
        <v>45323</v>
      </c>
      <c r="C175" s="68">
        <v>0</v>
      </c>
      <c r="D175" s="68">
        <v>0</v>
      </c>
      <c r="E175" s="68">
        <v>0</v>
      </c>
      <c r="F175" s="68">
        <v>0</v>
      </c>
      <c r="G175" s="68">
        <v>0</v>
      </c>
      <c r="H175" s="68">
        <v>0</v>
      </c>
      <c r="I175" s="68">
        <v>0</v>
      </c>
      <c r="J175" s="68">
        <v>0</v>
      </c>
      <c r="K175" s="68">
        <v>0</v>
      </c>
      <c r="L175" s="68">
        <v>0</v>
      </c>
      <c r="M175" s="68">
        <v>0</v>
      </c>
      <c r="N175" s="68">
        <v>0</v>
      </c>
      <c r="O175" s="68">
        <v>0</v>
      </c>
      <c r="P175" s="68">
        <v>0</v>
      </c>
      <c r="Q175" s="68">
        <v>-1.8164097967030557E-3</v>
      </c>
      <c r="R175" s="68">
        <v>-3.6189831997290867E-3</v>
      </c>
      <c r="S175" s="68">
        <v>-5.437885633639894E-3</v>
      </c>
      <c r="T175" s="68">
        <v>-7.2510437742892009E-3</v>
      </c>
      <c r="U175" s="68">
        <v>-9.0930918992455645E-3</v>
      </c>
      <c r="V175" s="68">
        <v>-1.0922430179832077E-2</v>
      </c>
      <c r="W175" s="68">
        <v>-1.2783334975281946E-2</v>
      </c>
      <c r="X175" s="68">
        <v>-1.4706764804543582E-2</v>
      </c>
      <c r="Y175" s="68">
        <v>-1.658897242290891E-2</v>
      </c>
      <c r="Z175" s="68">
        <v>-1.8536979955669608E-2</v>
      </c>
      <c r="AA175" s="68">
        <v>-2.0604555922645318E-2</v>
      </c>
      <c r="AB175" s="68">
        <v>-2.2625325290050569E-2</v>
      </c>
      <c r="AC175" s="68">
        <v>-2.5817138956341523E-2</v>
      </c>
      <c r="AD175" s="68">
        <v>-2.8875264115370669E-2</v>
      </c>
      <c r="AE175" s="68">
        <v>-3.1893009911641457E-2</v>
      </c>
      <c r="AF175" s="68">
        <v>-3.5279779545561496E-2</v>
      </c>
      <c r="AG175" s="68">
        <v>-3.8558116407145349E-2</v>
      </c>
      <c r="AH175" s="68">
        <v>-4.1600782311562057E-2</v>
      </c>
      <c r="AI175" s="68">
        <v>-4.4379887507147942E-2</v>
      </c>
      <c r="AJ175" s="68">
        <v>-4.7500989970970409E-2</v>
      </c>
      <c r="AK175" s="68">
        <v>-5.0707205550622803E-2</v>
      </c>
      <c r="AL175" s="68">
        <v>-5.3733091079706696E-2</v>
      </c>
      <c r="AM175" s="68">
        <v>-5.7099517993137283E-2</v>
      </c>
      <c r="AN175" s="68">
        <v>-6.0553336359831178E-2</v>
      </c>
      <c r="AO175" s="68">
        <v>-6.2754282767414793E-2</v>
      </c>
      <c r="AP175" s="68">
        <v>-6.5246024495849042E-2</v>
      </c>
      <c r="AQ175" s="68">
        <v>-6.7935857604041416E-2</v>
      </c>
      <c r="AR175" s="68">
        <v>-7.0493312839332134E-2</v>
      </c>
      <c r="AS175" s="68">
        <v>-7.2561298948244257E-2</v>
      </c>
      <c r="AT175" s="68">
        <v>-7.5010661726238936E-2</v>
      </c>
      <c r="AU175" s="68">
        <v>-7.7895590289742245E-2</v>
      </c>
      <c r="AV175" s="68">
        <v>-8.0313672014696635E-2</v>
      </c>
      <c r="AW175" s="68">
        <v>-8.3132861155789328E-2</v>
      </c>
      <c r="AX175" s="68">
        <v>-8.5927472207387723E-2</v>
      </c>
      <c r="AY175" s="68">
        <v>-8.7922267222722894E-2</v>
      </c>
      <c r="AZ175" s="68">
        <v>-8.9992689228054701E-2</v>
      </c>
      <c r="BA175" s="68">
        <v>-9.3421814241494872E-2</v>
      </c>
      <c r="BB175" s="68">
        <v>-9.649809472696802E-2</v>
      </c>
      <c r="BC175" s="68">
        <v>-9.9265617291848685E-2</v>
      </c>
      <c r="BD175" s="68">
        <v>-0.10209235424046881</v>
      </c>
      <c r="BE175" s="68">
        <v>-0.10557813057199894</v>
      </c>
      <c r="BF175" s="68">
        <v>-0.10872409871321054</v>
      </c>
      <c r="BG175" s="68">
        <v>-0.11198717575621231</v>
      </c>
      <c r="BH175" s="68">
        <v>-0.11486139030350273</v>
      </c>
      <c r="BI175" s="68">
        <v>-0.11771218195268318</v>
      </c>
      <c r="BJ175" s="68">
        <v>-0.12019857221234531</v>
      </c>
      <c r="BK175" s="68">
        <v>-0.12327304170270281</v>
      </c>
      <c r="BL175" s="68">
        <v>-0.12641716821548243</v>
      </c>
      <c r="BM175" s="68">
        <v>-0.13028424231823976</v>
      </c>
      <c r="BN175" s="68">
        <v>-0.13459115053991866</v>
      </c>
      <c r="BO175" s="68">
        <v>-0.13888268082619959</v>
      </c>
      <c r="BP175" s="68">
        <v>-0.14276112767055338</v>
      </c>
      <c r="BQ175" s="68">
        <v>-0.14662724049613018</v>
      </c>
      <c r="BR175" s="68">
        <v>-0.1502055559199249</v>
      </c>
      <c r="BS175" s="68">
        <v>-0.15403349921737686</v>
      </c>
      <c r="BT175" s="68">
        <v>-0.15766406667394506</v>
      </c>
      <c r="BU175" s="68">
        <v>-0.16151539177168672</v>
      </c>
      <c r="BV175" s="68">
        <v>-0.16576638596951909</v>
      </c>
      <c r="BW175" s="68">
        <v>-0.16964781530101902</v>
      </c>
      <c r="BX175" s="68">
        <v>-0.17363170804775052</v>
      </c>
      <c r="BY175" s="68">
        <v>-0.17638048047497534</v>
      </c>
      <c r="BZ175" s="68">
        <v>-0.17904775670652384</v>
      </c>
      <c r="CA175" s="68">
        <v>-0.18181200695386224</v>
      </c>
      <c r="CB175" s="68">
        <v>-0.18468054645829568</v>
      </c>
      <c r="CC175" s="68">
        <v>-0.18796608677986626</v>
      </c>
      <c r="CD175" s="68">
        <v>-0.19066381855476777</v>
      </c>
      <c r="CE175" s="68">
        <v>-0.19383349148898787</v>
      </c>
      <c r="CF175" s="68">
        <v>-0.1972498392364912</v>
      </c>
      <c r="CG175" s="68">
        <v>-0.20006059971429124</v>
      </c>
      <c r="CH175" s="68">
        <v>-0.2034777324634689</v>
      </c>
      <c r="CI175" s="68">
        <v>-0.20713613261600017</v>
      </c>
      <c r="CJ175" s="68">
        <v>-0.21065407117440316</v>
      </c>
      <c r="CK175" s="68">
        <v>-0.21603724328275575</v>
      </c>
      <c r="CL175" s="68">
        <v>-0.22137840998530578</v>
      </c>
      <c r="CM175" s="68">
        <v>-0.22759852934068192</v>
      </c>
      <c r="CN175" s="68">
        <v>-0.23469153687833</v>
      </c>
      <c r="CO175" s="68">
        <v>-0.2398725304329048</v>
      </c>
      <c r="CP175" s="68">
        <v>-0.24637497417099041</v>
      </c>
      <c r="CQ175" s="68">
        <v>-0.25262226026134726</v>
      </c>
      <c r="CR175" s="68">
        <v>-0.25941060640907665</v>
      </c>
      <c r="CS175" s="68">
        <v>-0.26548552349399301</v>
      </c>
      <c r="CT175" s="68">
        <v>-0.27158590458597587</v>
      </c>
      <c r="CU175" s="68">
        <v>-0.27710748587233525</v>
      </c>
      <c r="CV175" s="68">
        <v>-0.28287088559351048</v>
      </c>
      <c r="CW175" s="68">
        <v>-0.28830248913988044</v>
      </c>
      <c r="CX175" s="68">
        <v>-0.29352001226615698</v>
      </c>
      <c r="CY175" s="68">
        <v>-0.29958428676675908</v>
      </c>
      <c r="CZ175" s="68">
        <v>-0.30509436852872795</v>
      </c>
      <c r="DA175" s="68">
        <v>-0.31073831012085407</v>
      </c>
      <c r="DB175" s="68">
        <v>-0.31750407961439464</v>
      </c>
      <c r="DC175" s="68">
        <v>-0.32291135200108556</v>
      </c>
      <c r="DD175" s="68">
        <v>-0.32779102446350805</v>
      </c>
      <c r="DE175" s="68">
        <v>-0.33339357180432216</v>
      </c>
      <c r="DF175" s="68">
        <v>-0.33828909043195665</v>
      </c>
      <c r="DG175" s="68">
        <v>-0.34387897897484265</v>
      </c>
      <c r="DH175" s="68">
        <v>-0.3492955604042578</v>
      </c>
      <c r="DI175" s="68">
        <v>-0.35139225878626235</v>
      </c>
      <c r="DJ175" s="68">
        <v>-0.35612019894863067</v>
      </c>
      <c r="DK175" s="68">
        <v>-0.3604403198594639</v>
      </c>
      <c r="DL175" s="68">
        <v>-0.36527993304510176</v>
      </c>
      <c r="DM175" s="68">
        <v>-0.36973904524698753</v>
      </c>
      <c r="DN175" s="68">
        <v>-0.37330560454429929</v>
      </c>
      <c r="DO175" s="68">
        <v>-0.3776194848633736</v>
      </c>
      <c r="DP175" s="68">
        <v>-0.38006315969447257</v>
      </c>
      <c r="DQ175" s="68">
        <v>-0.38189498930208288</v>
      </c>
      <c r="DR175" s="68">
        <v>-0.38490158588481904</v>
      </c>
      <c r="DS175" s="68">
        <v>-0.38769324023999729</v>
      </c>
      <c r="DT175" s="68">
        <v>-0.39015728947788375</v>
      </c>
      <c r="DU175" s="68">
        <v>-0.39275832582502801</v>
      </c>
      <c r="DV175" s="68">
        <v>-0.39465329494323953</v>
      </c>
      <c r="DW175" s="68">
        <v>-0.39850452107391732</v>
      </c>
      <c r="DX175" s="68">
        <v>-0.40316446658228244</v>
      </c>
      <c r="DY175" s="68">
        <v>-0.40548316411873486</v>
      </c>
      <c r="DZ175" s="68">
        <v>-0.40982464124037676</v>
      </c>
      <c r="EA175" s="68">
        <v>-0.41521888222038683</v>
      </c>
      <c r="EB175" s="68">
        <v>-0.41943591087300547</v>
      </c>
      <c r="EC175" s="68">
        <v>-0.42401446204851823</v>
      </c>
      <c r="ED175" s="68">
        <v>-0.42878336311282794</v>
      </c>
      <c r="EE175" s="68">
        <v>-0.4355789751961936</v>
      </c>
      <c r="EF175" s="68">
        <v>-0.44067316368985132</v>
      </c>
      <c r="EG175" s="68">
        <v>-0.44615663028665153</v>
      </c>
      <c r="EH175" s="68">
        <v>-0.4517698449200509</v>
      </c>
      <c r="EI175" s="68">
        <v>-0.45698070475086183</v>
      </c>
      <c r="EJ175" s="68">
        <v>-0.46230779537428646</v>
      </c>
      <c r="EK175" s="68">
        <v>-0.46784042833462536</v>
      </c>
      <c r="EL175" s="68">
        <v>-0.47238594310857707</v>
      </c>
      <c r="EM175" s="68">
        <v>-0.47750237781521321</v>
      </c>
      <c r="EN175" s="68">
        <v>-0.48403633947535241</v>
      </c>
      <c r="EO175" s="68">
        <v>-0.48911245970123218</v>
      </c>
      <c r="EP175" s="68">
        <v>-0.49642485422201332</v>
      </c>
      <c r="EQ175" s="68">
        <v>-0.49690358167094928</v>
      </c>
      <c r="ER175" s="68">
        <v>-0.49989268887345872</v>
      </c>
      <c r="ES175" s="68">
        <v>-0.4585206850607193</v>
      </c>
      <c r="ET175" s="68">
        <v>-0.53054903001039122</v>
      </c>
      <c r="EU175" s="68">
        <v>-0.54778162600187841</v>
      </c>
      <c r="EV175" s="68">
        <v>-0.36346559645826915</v>
      </c>
      <c r="EW175" s="94">
        <v>-0.44461497766891966</v>
      </c>
      <c r="EX175" s="68">
        <v>-0.48606700577119</v>
      </c>
      <c r="EY175" s="68">
        <v>-0.57065797745364932</v>
      </c>
      <c r="EZ175" s="68">
        <v>-0.59819296793637022</v>
      </c>
      <c r="FA175" s="68">
        <v>-0.5414595976293981</v>
      </c>
      <c r="FB175" s="68">
        <v>-0.51289420504848238</v>
      </c>
      <c r="FC175" s="68">
        <v>-0.56057505087829895</v>
      </c>
      <c r="FD175" s="68">
        <v>-0.57174512864955318</v>
      </c>
      <c r="FE175" s="68">
        <v>-0.52567625766430126</v>
      </c>
      <c r="FF175" s="68">
        <v>-0.59718332356339943</v>
      </c>
      <c r="FG175" s="68">
        <v>-0.50845916947262992</v>
      </c>
      <c r="FH175" s="68">
        <v>-0.70002348778243118</v>
      </c>
      <c r="FI175" s="67"/>
      <c r="FJ175" s="68"/>
      <c r="FK175" s="69"/>
      <c r="FL175" s="69"/>
      <c r="FM175" s="69"/>
      <c r="FN175" s="69"/>
      <c r="FO175" s="69"/>
      <c r="FP175" s="69"/>
      <c r="FQ175" s="69"/>
      <c r="FR175" s="69"/>
      <c r="FS175" s="69"/>
      <c r="FT175" s="69"/>
      <c r="FU175" s="69"/>
      <c r="FV175" s="69"/>
      <c r="FW175" s="69"/>
      <c r="FX175" s="69"/>
      <c r="FY175" s="69"/>
      <c r="FZ175" s="69"/>
      <c r="GA175" s="69"/>
      <c r="GB175" s="69"/>
      <c r="GC175" s="69"/>
      <c r="GD175" s="69"/>
      <c r="GE175" s="69"/>
      <c r="GF175" s="69"/>
      <c r="GG175" s="165"/>
    </row>
    <row r="176" spans="1:189" s="66" customFormat="1" x14ac:dyDescent="0.2">
      <c r="A176"/>
      <c r="B176" s="82">
        <v>45352</v>
      </c>
      <c r="C176" s="68">
        <v>0</v>
      </c>
      <c r="D176" s="68">
        <v>0</v>
      </c>
      <c r="E176" s="68">
        <v>0</v>
      </c>
      <c r="F176" s="68">
        <v>0</v>
      </c>
      <c r="G176" s="68">
        <v>0</v>
      </c>
      <c r="H176" s="68">
        <v>0</v>
      </c>
      <c r="I176" s="68">
        <v>0</v>
      </c>
      <c r="J176" s="68">
        <v>0</v>
      </c>
      <c r="K176" s="68">
        <v>0</v>
      </c>
      <c r="L176" s="68">
        <v>0</v>
      </c>
      <c r="M176" s="68">
        <v>0</v>
      </c>
      <c r="N176" s="68">
        <v>0</v>
      </c>
      <c r="O176" s="68">
        <v>0</v>
      </c>
      <c r="P176" s="68">
        <v>0</v>
      </c>
      <c r="Q176" s="68">
        <v>0</v>
      </c>
      <c r="R176" s="68">
        <v>0</v>
      </c>
      <c r="S176" s="68">
        <v>0</v>
      </c>
      <c r="T176" s="68">
        <v>0</v>
      </c>
      <c r="U176" s="68">
        <v>0</v>
      </c>
      <c r="V176" s="68">
        <v>0</v>
      </c>
      <c r="W176" s="68">
        <v>0</v>
      </c>
      <c r="X176" s="68">
        <v>0</v>
      </c>
      <c r="Y176" s="68">
        <v>0</v>
      </c>
      <c r="Z176" s="68">
        <v>0</v>
      </c>
      <c r="AA176" s="68">
        <v>0</v>
      </c>
      <c r="AB176" s="68">
        <v>0</v>
      </c>
      <c r="AC176" s="68">
        <v>0</v>
      </c>
      <c r="AD176" s="68">
        <v>0</v>
      </c>
      <c r="AE176" s="68">
        <v>0</v>
      </c>
      <c r="AF176" s="68">
        <v>0</v>
      </c>
      <c r="AG176" s="68">
        <v>0</v>
      </c>
      <c r="AH176" s="68">
        <v>0</v>
      </c>
      <c r="AI176" s="68">
        <v>0</v>
      </c>
      <c r="AJ176" s="68">
        <v>0</v>
      </c>
      <c r="AK176" s="68">
        <v>0</v>
      </c>
      <c r="AL176" s="68">
        <v>0</v>
      </c>
      <c r="AM176" s="68">
        <v>0</v>
      </c>
      <c r="AN176" s="68">
        <v>0</v>
      </c>
      <c r="AO176" s="68">
        <v>0</v>
      </c>
      <c r="AP176" s="68">
        <v>0</v>
      </c>
      <c r="AQ176" s="68">
        <v>0</v>
      </c>
      <c r="AR176" s="68">
        <v>0</v>
      </c>
      <c r="AS176" s="68">
        <v>0</v>
      </c>
      <c r="AT176" s="68">
        <v>0</v>
      </c>
      <c r="AU176" s="68">
        <v>0</v>
      </c>
      <c r="AV176" s="68">
        <v>0</v>
      </c>
      <c r="AW176" s="68">
        <v>0</v>
      </c>
      <c r="AX176" s="68">
        <v>0</v>
      </c>
      <c r="AY176" s="68">
        <v>0</v>
      </c>
      <c r="AZ176" s="68">
        <v>0</v>
      </c>
      <c r="BA176" s="68">
        <v>0</v>
      </c>
      <c r="BB176" s="68">
        <v>0</v>
      </c>
      <c r="BC176" s="68">
        <v>0</v>
      </c>
      <c r="BD176" s="68">
        <v>0</v>
      </c>
      <c r="BE176" s="68">
        <v>0</v>
      </c>
      <c r="BF176" s="68">
        <v>0</v>
      </c>
      <c r="BG176" s="68">
        <v>0</v>
      </c>
      <c r="BH176" s="68">
        <v>0</v>
      </c>
      <c r="BI176" s="68">
        <v>0</v>
      </c>
      <c r="BJ176" s="68">
        <v>0</v>
      </c>
      <c r="BK176" s="68">
        <v>0</v>
      </c>
      <c r="BL176" s="68">
        <v>0</v>
      </c>
      <c r="BM176" s="68">
        <v>0</v>
      </c>
      <c r="BN176" s="68">
        <v>0</v>
      </c>
      <c r="BO176" s="68">
        <v>0</v>
      </c>
      <c r="BP176" s="68">
        <v>0</v>
      </c>
      <c r="BQ176" s="68">
        <v>0</v>
      </c>
      <c r="BR176" s="68">
        <v>0</v>
      </c>
      <c r="BS176" s="68">
        <v>0</v>
      </c>
      <c r="BT176" s="68">
        <v>0</v>
      </c>
      <c r="BU176" s="68">
        <v>0</v>
      </c>
      <c r="BV176" s="68">
        <v>0</v>
      </c>
      <c r="BW176" s="68">
        <v>0</v>
      </c>
      <c r="BX176" s="68">
        <v>0</v>
      </c>
      <c r="BY176" s="68">
        <v>0</v>
      </c>
      <c r="BZ176" s="68">
        <v>0</v>
      </c>
      <c r="CA176" s="68">
        <v>0</v>
      </c>
      <c r="CB176" s="68">
        <v>0</v>
      </c>
      <c r="CC176" s="68">
        <v>0</v>
      </c>
      <c r="CD176" s="68">
        <v>0</v>
      </c>
      <c r="CE176" s="68">
        <v>0</v>
      </c>
      <c r="CF176" s="68">
        <v>0</v>
      </c>
      <c r="CG176" s="68">
        <v>0</v>
      </c>
      <c r="CH176" s="68">
        <v>0</v>
      </c>
      <c r="CI176" s="68">
        <v>0</v>
      </c>
      <c r="CJ176" s="68">
        <v>0</v>
      </c>
      <c r="CK176" s="68">
        <v>0</v>
      </c>
      <c r="CL176" s="68">
        <v>0</v>
      </c>
      <c r="CM176" s="68">
        <v>0</v>
      </c>
      <c r="CN176" s="68">
        <v>0</v>
      </c>
      <c r="CO176" s="68">
        <v>0</v>
      </c>
      <c r="CP176" s="68">
        <v>0</v>
      </c>
      <c r="CQ176" s="68">
        <v>0</v>
      </c>
      <c r="CR176" s="68">
        <v>0</v>
      </c>
      <c r="CS176" s="68">
        <v>0</v>
      </c>
      <c r="CT176" s="68">
        <v>0</v>
      </c>
      <c r="CU176" s="68">
        <v>0</v>
      </c>
      <c r="CV176" s="68">
        <v>0</v>
      </c>
      <c r="CW176" s="68">
        <v>0</v>
      </c>
      <c r="CX176" s="68">
        <v>0</v>
      </c>
      <c r="CY176" s="68">
        <v>0</v>
      </c>
      <c r="CZ176" s="68">
        <v>0</v>
      </c>
      <c r="DA176" s="68">
        <v>0</v>
      </c>
      <c r="DB176" s="68">
        <v>0</v>
      </c>
      <c r="DC176" s="68">
        <v>0</v>
      </c>
      <c r="DD176" s="68">
        <v>0</v>
      </c>
      <c r="DE176" s="68">
        <v>0</v>
      </c>
      <c r="DF176" s="68">
        <v>0</v>
      </c>
      <c r="DG176" s="68">
        <v>0</v>
      </c>
      <c r="DH176" s="68">
        <v>0</v>
      </c>
      <c r="DI176" s="68">
        <v>0</v>
      </c>
      <c r="DJ176" s="68">
        <v>0</v>
      </c>
      <c r="DK176" s="68">
        <v>0</v>
      </c>
      <c r="DL176" s="68">
        <v>0</v>
      </c>
      <c r="DM176" s="68">
        <v>0</v>
      </c>
      <c r="DN176" s="68">
        <v>0</v>
      </c>
      <c r="DO176" s="68">
        <v>0</v>
      </c>
      <c r="DP176" s="68">
        <v>0</v>
      </c>
      <c r="DQ176" s="68">
        <v>0</v>
      </c>
      <c r="DR176" s="68">
        <v>0</v>
      </c>
      <c r="DS176" s="68">
        <v>0</v>
      </c>
      <c r="DT176" s="68">
        <v>0</v>
      </c>
      <c r="DU176" s="68">
        <v>0</v>
      </c>
      <c r="DV176" s="68">
        <v>0</v>
      </c>
      <c r="DW176" s="68">
        <v>0</v>
      </c>
      <c r="DX176" s="68">
        <v>0</v>
      </c>
      <c r="DY176" s="68">
        <v>0</v>
      </c>
      <c r="DZ176" s="68">
        <v>0</v>
      </c>
      <c r="EA176" s="68">
        <v>0</v>
      </c>
      <c r="EB176" s="68">
        <v>0</v>
      </c>
      <c r="EC176" s="68">
        <v>0</v>
      </c>
      <c r="ED176" s="68">
        <v>0</v>
      </c>
      <c r="EE176" s="68">
        <v>0</v>
      </c>
      <c r="EF176" s="68">
        <v>0</v>
      </c>
      <c r="EG176" s="68">
        <v>0</v>
      </c>
      <c r="EH176" s="68">
        <v>0</v>
      </c>
      <c r="EI176" s="68">
        <v>0</v>
      </c>
      <c r="EJ176" s="68">
        <v>0</v>
      </c>
      <c r="EK176" s="68">
        <v>0</v>
      </c>
      <c r="EL176" s="68">
        <v>0</v>
      </c>
      <c r="EM176" s="68">
        <v>0</v>
      </c>
      <c r="EN176" s="68">
        <v>0</v>
      </c>
      <c r="EO176" s="68">
        <v>0</v>
      </c>
      <c r="EP176" s="68">
        <v>0</v>
      </c>
      <c r="EQ176" s="68">
        <v>0</v>
      </c>
      <c r="ER176" s="68">
        <v>0</v>
      </c>
      <c r="ES176" s="68">
        <v>0</v>
      </c>
      <c r="ET176" s="68">
        <v>0</v>
      </c>
      <c r="EU176" s="68">
        <v>0</v>
      </c>
      <c r="EV176" s="68">
        <v>0</v>
      </c>
      <c r="EW176" s="68">
        <v>0</v>
      </c>
      <c r="EX176" s="94">
        <v>0</v>
      </c>
      <c r="EY176" s="68">
        <v>0</v>
      </c>
      <c r="EZ176" s="68">
        <v>0</v>
      </c>
      <c r="FA176" s="68">
        <v>0</v>
      </c>
      <c r="FB176" s="68">
        <v>0</v>
      </c>
      <c r="FC176" s="68">
        <v>0</v>
      </c>
      <c r="FD176" s="68">
        <v>0</v>
      </c>
      <c r="FE176" s="68">
        <v>-1.4210854715202004E-14</v>
      </c>
      <c r="FF176" s="68">
        <v>0</v>
      </c>
      <c r="FG176" s="68">
        <v>0</v>
      </c>
      <c r="FH176" s="68">
        <v>0</v>
      </c>
      <c r="FI176" s="68">
        <v>0</v>
      </c>
      <c r="FJ176" s="67"/>
      <c r="FK176" s="68"/>
      <c r="FL176" s="69"/>
      <c r="FM176" s="69"/>
      <c r="FN176" s="69"/>
      <c r="FO176" s="69"/>
      <c r="FP176" s="69"/>
      <c r="FQ176" s="69"/>
      <c r="FR176" s="69"/>
      <c r="FS176" s="69"/>
      <c r="FT176" s="69"/>
      <c r="FU176" s="69"/>
      <c r="FV176" s="69"/>
      <c r="FW176" s="69"/>
      <c r="FX176" s="69"/>
      <c r="FY176" s="69"/>
      <c r="FZ176" s="69"/>
      <c r="GA176" s="69"/>
      <c r="GB176" s="69"/>
      <c r="GC176" s="69"/>
      <c r="GD176" s="69"/>
      <c r="GE176" s="69"/>
      <c r="GF176" s="69"/>
      <c r="GG176" s="165"/>
    </row>
    <row r="177" spans="1:189" s="66" customFormat="1" x14ac:dyDescent="0.2">
      <c r="A177"/>
      <c r="B177" s="82">
        <v>45383</v>
      </c>
      <c r="C177" s="68">
        <v>0</v>
      </c>
      <c r="D177" s="68">
        <v>0</v>
      </c>
      <c r="E177" s="68">
        <v>0</v>
      </c>
      <c r="F177" s="68">
        <v>0</v>
      </c>
      <c r="G177" s="68">
        <v>0</v>
      </c>
      <c r="H177" s="68">
        <v>0</v>
      </c>
      <c r="I177" s="68">
        <v>0</v>
      </c>
      <c r="J177" s="68">
        <v>0</v>
      </c>
      <c r="K177" s="68">
        <v>0</v>
      </c>
      <c r="L177" s="68">
        <v>0</v>
      </c>
      <c r="M177" s="68">
        <v>0</v>
      </c>
      <c r="N177" s="68">
        <v>0</v>
      </c>
      <c r="O177" s="68">
        <v>0</v>
      </c>
      <c r="P177" s="68">
        <v>0</v>
      </c>
      <c r="Q177" s="68">
        <v>0</v>
      </c>
      <c r="R177" s="68">
        <v>0</v>
      </c>
      <c r="S177" s="68">
        <v>0</v>
      </c>
      <c r="T177" s="68">
        <v>0</v>
      </c>
      <c r="U177" s="68">
        <v>0</v>
      </c>
      <c r="V177" s="68">
        <v>0</v>
      </c>
      <c r="W177" s="68">
        <v>0</v>
      </c>
      <c r="X177" s="68">
        <v>0</v>
      </c>
      <c r="Y177" s="68">
        <v>0</v>
      </c>
      <c r="Z177" s="68">
        <v>0</v>
      </c>
      <c r="AA177" s="68">
        <v>0</v>
      </c>
      <c r="AB177" s="68">
        <v>0</v>
      </c>
      <c r="AC177" s="68">
        <v>0</v>
      </c>
      <c r="AD177" s="68">
        <v>0</v>
      </c>
      <c r="AE177" s="68">
        <v>0</v>
      </c>
      <c r="AF177" s="68">
        <v>0</v>
      </c>
      <c r="AG177" s="68">
        <v>0</v>
      </c>
      <c r="AH177" s="68">
        <v>0</v>
      </c>
      <c r="AI177" s="68">
        <v>0</v>
      </c>
      <c r="AJ177" s="68">
        <v>0</v>
      </c>
      <c r="AK177" s="68">
        <v>0</v>
      </c>
      <c r="AL177" s="68">
        <v>0</v>
      </c>
      <c r="AM177" s="68">
        <v>0</v>
      </c>
      <c r="AN177" s="68">
        <v>0</v>
      </c>
      <c r="AO177" s="68">
        <v>0</v>
      </c>
      <c r="AP177" s="68">
        <v>0</v>
      </c>
      <c r="AQ177" s="68">
        <v>0</v>
      </c>
      <c r="AR177" s="68">
        <v>0</v>
      </c>
      <c r="AS177" s="68">
        <v>0</v>
      </c>
      <c r="AT177" s="68">
        <v>0</v>
      </c>
      <c r="AU177" s="68">
        <v>0</v>
      </c>
      <c r="AV177" s="68">
        <v>0</v>
      </c>
      <c r="AW177" s="68">
        <v>0</v>
      </c>
      <c r="AX177" s="68">
        <v>0</v>
      </c>
      <c r="AY177" s="68">
        <v>0</v>
      </c>
      <c r="AZ177" s="68">
        <v>0</v>
      </c>
      <c r="BA177" s="68">
        <v>0</v>
      </c>
      <c r="BB177" s="68">
        <v>0</v>
      </c>
      <c r="BC177" s="68">
        <v>0</v>
      </c>
      <c r="BD177" s="68">
        <v>0</v>
      </c>
      <c r="BE177" s="68">
        <v>0</v>
      </c>
      <c r="BF177" s="68">
        <v>0</v>
      </c>
      <c r="BG177" s="68">
        <v>0</v>
      </c>
      <c r="BH177" s="68">
        <v>0</v>
      </c>
      <c r="BI177" s="68">
        <v>0</v>
      </c>
      <c r="BJ177" s="68">
        <v>0</v>
      </c>
      <c r="BK177" s="68">
        <v>0</v>
      </c>
      <c r="BL177" s="68">
        <v>0</v>
      </c>
      <c r="BM177" s="68">
        <v>0</v>
      </c>
      <c r="BN177" s="68">
        <v>0</v>
      </c>
      <c r="BO177" s="68">
        <v>0</v>
      </c>
      <c r="BP177" s="68">
        <v>0</v>
      </c>
      <c r="BQ177" s="68">
        <v>0</v>
      </c>
      <c r="BR177" s="68">
        <v>0</v>
      </c>
      <c r="BS177" s="68">
        <v>0</v>
      </c>
      <c r="BT177" s="68">
        <v>0</v>
      </c>
      <c r="BU177" s="68">
        <v>0</v>
      </c>
      <c r="BV177" s="68">
        <v>0</v>
      </c>
      <c r="BW177" s="68">
        <v>0</v>
      </c>
      <c r="BX177" s="68">
        <v>0</v>
      </c>
      <c r="BY177" s="68">
        <v>0</v>
      </c>
      <c r="BZ177" s="68">
        <v>0</v>
      </c>
      <c r="CA177" s="68">
        <v>0</v>
      </c>
      <c r="CB177" s="68">
        <v>0</v>
      </c>
      <c r="CC177" s="68">
        <v>0</v>
      </c>
      <c r="CD177" s="68">
        <v>0</v>
      </c>
      <c r="CE177" s="68">
        <v>0</v>
      </c>
      <c r="CF177" s="68">
        <v>0</v>
      </c>
      <c r="CG177" s="68">
        <v>0</v>
      </c>
      <c r="CH177" s="68">
        <v>0</v>
      </c>
      <c r="CI177" s="68">
        <v>0</v>
      </c>
      <c r="CJ177" s="68">
        <v>0</v>
      </c>
      <c r="CK177" s="68">
        <v>0</v>
      </c>
      <c r="CL177" s="68">
        <v>0</v>
      </c>
      <c r="CM177" s="68">
        <v>0</v>
      </c>
      <c r="CN177" s="68">
        <v>0</v>
      </c>
      <c r="CO177" s="68">
        <v>0</v>
      </c>
      <c r="CP177" s="68">
        <v>0</v>
      </c>
      <c r="CQ177" s="68">
        <v>0</v>
      </c>
      <c r="CR177" s="68">
        <v>0</v>
      </c>
      <c r="CS177" s="68">
        <v>0</v>
      </c>
      <c r="CT177" s="68">
        <v>0</v>
      </c>
      <c r="CU177" s="68">
        <v>0</v>
      </c>
      <c r="CV177" s="68">
        <v>0</v>
      </c>
      <c r="CW177" s="68">
        <v>0</v>
      </c>
      <c r="CX177" s="68">
        <v>0</v>
      </c>
      <c r="CY177" s="68">
        <v>0</v>
      </c>
      <c r="CZ177" s="68">
        <v>0</v>
      </c>
      <c r="DA177" s="68">
        <v>0</v>
      </c>
      <c r="DB177" s="68">
        <v>0</v>
      </c>
      <c r="DC177" s="68">
        <v>0</v>
      </c>
      <c r="DD177" s="68">
        <v>0</v>
      </c>
      <c r="DE177" s="68">
        <v>0</v>
      </c>
      <c r="DF177" s="68">
        <v>0</v>
      </c>
      <c r="DG177" s="68">
        <v>0</v>
      </c>
      <c r="DH177" s="68">
        <v>0</v>
      </c>
      <c r="DI177" s="68">
        <v>0</v>
      </c>
      <c r="DJ177" s="68">
        <v>0</v>
      </c>
      <c r="DK177" s="68">
        <v>0</v>
      </c>
      <c r="DL177" s="68">
        <v>0</v>
      </c>
      <c r="DM177" s="68">
        <v>0</v>
      </c>
      <c r="DN177" s="68">
        <v>0</v>
      </c>
      <c r="DO177" s="68">
        <v>0</v>
      </c>
      <c r="DP177" s="68">
        <v>0</v>
      </c>
      <c r="DQ177" s="68">
        <v>0</v>
      </c>
      <c r="DR177" s="68">
        <v>0</v>
      </c>
      <c r="DS177" s="68">
        <v>0</v>
      </c>
      <c r="DT177" s="68">
        <v>0</v>
      </c>
      <c r="DU177" s="68">
        <v>0</v>
      </c>
      <c r="DV177" s="68">
        <v>0</v>
      </c>
      <c r="DW177" s="68">
        <v>0</v>
      </c>
      <c r="DX177" s="68">
        <v>0</v>
      </c>
      <c r="DY177" s="68">
        <v>0</v>
      </c>
      <c r="DZ177" s="68">
        <v>0</v>
      </c>
      <c r="EA177" s="68">
        <v>0</v>
      </c>
      <c r="EB177" s="68">
        <v>0</v>
      </c>
      <c r="EC177" s="68">
        <v>0</v>
      </c>
      <c r="ED177" s="68">
        <v>0</v>
      </c>
      <c r="EE177" s="68">
        <v>0</v>
      </c>
      <c r="EF177" s="68">
        <v>0</v>
      </c>
      <c r="EG177" s="68">
        <v>0</v>
      </c>
      <c r="EH177" s="68">
        <v>0</v>
      </c>
      <c r="EI177" s="68">
        <v>0</v>
      </c>
      <c r="EJ177" s="68">
        <v>0</v>
      </c>
      <c r="EK177" s="68">
        <v>0</v>
      </c>
      <c r="EL177" s="68">
        <v>0</v>
      </c>
      <c r="EM177" s="68">
        <v>0</v>
      </c>
      <c r="EN177" s="68">
        <v>0</v>
      </c>
      <c r="EO177" s="68">
        <v>0</v>
      </c>
      <c r="EP177" s="68">
        <v>0</v>
      </c>
      <c r="EQ177" s="68">
        <v>0</v>
      </c>
      <c r="ER177" s="68">
        <v>0</v>
      </c>
      <c r="ES177" s="68">
        <v>0</v>
      </c>
      <c r="ET177" s="68">
        <v>0</v>
      </c>
      <c r="EU177" s="68">
        <v>0</v>
      </c>
      <c r="EV177" s="68">
        <v>0</v>
      </c>
      <c r="EW177" s="68">
        <v>0</v>
      </c>
      <c r="EX177" s="68">
        <v>0</v>
      </c>
      <c r="EY177" s="94">
        <v>0</v>
      </c>
      <c r="EZ177" s="68">
        <v>0</v>
      </c>
      <c r="FA177" s="68">
        <v>0</v>
      </c>
      <c r="FB177" s="68">
        <v>0</v>
      </c>
      <c r="FC177" s="68">
        <v>0</v>
      </c>
      <c r="FD177" s="68">
        <v>0</v>
      </c>
      <c r="FE177" s="68">
        <v>1.4210854715202004E-14</v>
      </c>
      <c r="FF177" s="68">
        <v>0</v>
      </c>
      <c r="FG177" s="68">
        <v>0</v>
      </c>
      <c r="FH177" s="68">
        <v>0</v>
      </c>
      <c r="FI177" s="68">
        <v>0</v>
      </c>
      <c r="FJ177" s="68">
        <v>-0.15335618045386923</v>
      </c>
      <c r="FK177" s="67"/>
      <c r="FL177" s="68"/>
      <c r="FM177" s="69"/>
      <c r="FN177" s="69"/>
      <c r="FO177" s="69"/>
      <c r="FP177" s="69"/>
      <c r="FQ177" s="69"/>
      <c r="FR177" s="69"/>
      <c r="FS177" s="69"/>
      <c r="FT177" s="69"/>
      <c r="FU177" s="69"/>
      <c r="FV177" s="69"/>
      <c r="FW177" s="69"/>
      <c r="FX177" s="69"/>
      <c r="FY177" s="69"/>
      <c r="FZ177" s="69"/>
      <c r="GA177" s="69"/>
      <c r="GB177" s="69"/>
      <c r="GC177" s="69"/>
      <c r="GD177" s="69"/>
      <c r="GE177" s="69"/>
      <c r="GF177" s="69"/>
      <c r="GG177" s="165"/>
    </row>
    <row r="178" spans="1:189" s="66" customFormat="1" x14ac:dyDescent="0.2">
      <c r="A178"/>
      <c r="B178" s="82">
        <v>45413</v>
      </c>
      <c r="C178" s="68">
        <v>0</v>
      </c>
      <c r="D178" s="68">
        <v>0</v>
      </c>
      <c r="E178" s="68">
        <v>0</v>
      </c>
      <c r="F178" s="68">
        <v>0</v>
      </c>
      <c r="G178" s="68">
        <v>0</v>
      </c>
      <c r="H178" s="68">
        <v>0</v>
      </c>
      <c r="I178" s="68">
        <v>0</v>
      </c>
      <c r="J178" s="68">
        <v>0</v>
      </c>
      <c r="K178" s="68">
        <v>0</v>
      </c>
      <c r="L178" s="68">
        <v>0</v>
      </c>
      <c r="M178" s="68">
        <v>0</v>
      </c>
      <c r="N178" s="68">
        <v>0</v>
      </c>
      <c r="O178" s="68">
        <v>0</v>
      </c>
      <c r="P178" s="68">
        <v>0</v>
      </c>
      <c r="Q178" s="68">
        <v>0</v>
      </c>
      <c r="R178" s="68">
        <v>0</v>
      </c>
      <c r="S178" s="68">
        <v>0</v>
      </c>
      <c r="T178" s="68">
        <v>0</v>
      </c>
      <c r="U178" s="68">
        <v>0</v>
      </c>
      <c r="V178" s="68">
        <v>0</v>
      </c>
      <c r="W178" s="68">
        <v>0</v>
      </c>
      <c r="X178" s="68">
        <v>0</v>
      </c>
      <c r="Y178" s="68">
        <v>0</v>
      </c>
      <c r="Z178" s="68">
        <v>0</v>
      </c>
      <c r="AA178" s="68">
        <v>0</v>
      </c>
      <c r="AB178" s="68">
        <v>0</v>
      </c>
      <c r="AC178" s="68">
        <v>0</v>
      </c>
      <c r="AD178" s="68">
        <v>0</v>
      </c>
      <c r="AE178" s="68">
        <v>0</v>
      </c>
      <c r="AF178" s="68">
        <v>0</v>
      </c>
      <c r="AG178" s="68">
        <v>0</v>
      </c>
      <c r="AH178" s="68">
        <v>0</v>
      </c>
      <c r="AI178" s="68">
        <v>0</v>
      </c>
      <c r="AJ178" s="68">
        <v>0</v>
      </c>
      <c r="AK178" s="68">
        <v>0</v>
      </c>
      <c r="AL178" s="68">
        <v>0</v>
      </c>
      <c r="AM178" s="68">
        <v>0</v>
      </c>
      <c r="AN178" s="68">
        <v>0</v>
      </c>
      <c r="AO178" s="68">
        <v>0</v>
      </c>
      <c r="AP178" s="68">
        <v>0</v>
      </c>
      <c r="AQ178" s="68">
        <v>0</v>
      </c>
      <c r="AR178" s="68">
        <v>0</v>
      </c>
      <c r="AS178" s="68">
        <v>0</v>
      </c>
      <c r="AT178" s="68">
        <v>0</v>
      </c>
      <c r="AU178" s="68">
        <v>0</v>
      </c>
      <c r="AV178" s="68">
        <v>0</v>
      </c>
      <c r="AW178" s="68">
        <v>0</v>
      </c>
      <c r="AX178" s="68">
        <v>0</v>
      </c>
      <c r="AY178" s="68">
        <v>0</v>
      </c>
      <c r="AZ178" s="68">
        <v>0</v>
      </c>
      <c r="BA178" s="68">
        <v>0</v>
      </c>
      <c r="BB178" s="68">
        <v>0</v>
      </c>
      <c r="BC178" s="68">
        <v>0</v>
      </c>
      <c r="BD178" s="68">
        <v>0</v>
      </c>
      <c r="BE178" s="68">
        <v>0</v>
      </c>
      <c r="BF178" s="68">
        <v>0</v>
      </c>
      <c r="BG178" s="68">
        <v>0</v>
      </c>
      <c r="BH178" s="68">
        <v>0</v>
      </c>
      <c r="BI178" s="68">
        <v>0</v>
      </c>
      <c r="BJ178" s="68">
        <v>0</v>
      </c>
      <c r="BK178" s="68">
        <v>0</v>
      </c>
      <c r="BL178" s="68">
        <v>0</v>
      </c>
      <c r="BM178" s="68">
        <v>0</v>
      </c>
      <c r="BN178" s="68">
        <v>0</v>
      </c>
      <c r="BO178" s="68">
        <v>0</v>
      </c>
      <c r="BP178" s="68">
        <v>0</v>
      </c>
      <c r="BQ178" s="68">
        <v>0</v>
      </c>
      <c r="BR178" s="68">
        <v>0</v>
      </c>
      <c r="BS178" s="68">
        <v>0</v>
      </c>
      <c r="BT178" s="68">
        <v>0</v>
      </c>
      <c r="BU178" s="68">
        <v>0</v>
      </c>
      <c r="BV178" s="68">
        <v>0</v>
      </c>
      <c r="BW178" s="68">
        <v>0</v>
      </c>
      <c r="BX178" s="68">
        <v>0</v>
      </c>
      <c r="BY178" s="68">
        <v>0</v>
      </c>
      <c r="BZ178" s="68">
        <v>0</v>
      </c>
      <c r="CA178" s="68">
        <v>0</v>
      </c>
      <c r="CB178" s="68">
        <v>0</v>
      </c>
      <c r="CC178" s="68">
        <v>0</v>
      </c>
      <c r="CD178" s="68">
        <v>0</v>
      </c>
      <c r="CE178" s="68">
        <v>0</v>
      </c>
      <c r="CF178" s="68">
        <v>0</v>
      </c>
      <c r="CG178" s="68">
        <v>0</v>
      </c>
      <c r="CH178" s="68">
        <v>0</v>
      </c>
      <c r="CI178" s="68">
        <v>0</v>
      </c>
      <c r="CJ178" s="68">
        <v>0</v>
      </c>
      <c r="CK178" s="68">
        <v>0</v>
      </c>
      <c r="CL178" s="68">
        <v>0</v>
      </c>
      <c r="CM178" s="68">
        <v>0</v>
      </c>
      <c r="CN178" s="68">
        <v>0</v>
      </c>
      <c r="CO178" s="68">
        <v>0</v>
      </c>
      <c r="CP178" s="68">
        <v>0</v>
      </c>
      <c r="CQ178" s="68">
        <v>0</v>
      </c>
      <c r="CR178" s="68">
        <v>0</v>
      </c>
      <c r="CS178" s="68">
        <v>0</v>
      </c>
      <c r="CT178" s="68">
        <v>0</v>
      </c>
      <c r="CU178" s="68">
        <v>0</v>
      </c>
      <c r="CV178" s="68">
        <v>0</v>
      </c>
      <c r="CW178" s="68">
        <v>0</v>
      </c>
      <c r="CX178" s="68">
        <v>0</v>
      </c>
      <c r="CY178" s="68">
        <v>0</v>
      </c>
      <c r="CZ178" s="68">
        <v>0</v>
      </c>
      <c r="DA178" s="68">
        <v>0</v>
      </c>
      <c r="DB178" s="68">
        <v>0</v>
      </c>
      <c r="DC178" s="68">
        <v>0</v>
      </c>
      <c r="DD178" s="68">
        <v>0</v>
      </c>
      <c r="DE178" s="68">
        <v>0</v>
      </c>
      <c r="DF178" s="68">
        <v>0</v>
      </c>
      <c r="DG178" s="68">
        <v>0</v>
      </c>
      <c r="DH178" s="68">
        <v>0</v>
      </c>
      <c r="DI178" s="68">
        <v>0</v>
      </c>
      <c r="DJ178" s="68">
        <v>0</v>
      </c>
      <c r="DK178" s="68">
        <v>0</v>
      </c>
      <c r="DL178" s="68">
        <v>0</v>
      </c>
      <c r="DM178" s="68">
        <v>0</v>
      </c>
      <c r="DN178" s="68">
        <v>0</v>
      </c>
      <c r="DO178" s="68">
        <v>0</v>
      </c>
      <c r="DP178" s="68">
        <v>0</v>
      </c>
      <c r="DQ178" s="68">
        <v>0</v>
      </c>
      <c r="DR178" s="68">
        <v>0</v>
      </c>
      <c r="DS178" s="68">
        <v>0</v>
      </c>
      <c r="DT178" s="68">
        <v>0</v>
      </c>
      <c r="DU178" s="68">
        <v>0</v>
      </c>
      <c r="DV178" s="68">
        <v>0</v>
      </c>
      <c r="DW178" s="68">
        <v>0</v>
      </c>
      <c r="DX178" s="68">
        <v>0</v>
      </c>
      <c r="DY178" s="68">
        <v>0</v>
      </c>
      <c r="DZ178" s="68">
        <v>0</v>
      </c>
      <c r="EA178" s="68">
        <v>0</v>
      </c>
      <c r="EB178" s="68">
        <v>0</v>
      </c>
      <c r="EC178" s="68">
        <v>0</v>
      </c>
      <c r="ED178" s="68">
        <v>0</v>
      </c>
      <c r="EE178" s="68">
        <v>0</v>
      </c>
      <c r="EF178" s="68">
        <v>0</v>
      </c>
      <c r="EG178" s="68">
        <v>0</v>
      </c>
      <c r="EH178" s="68">
        <v>0</v>
      </c>
      <c r="EI178" s="68">
        <v>0</v>
      </c>
      <c r="EJ178" s="68">
        <v>0</v>
      </c>
      <c r="EK178" s="68">
        <v>0</v>
      </c>
      <c r="EL178" s="68">
        <v>0</v>
      </c>
      <c r="EM178" s="68">
        <v>0</v>
      </c>
      <c r="EN178" s="68">
        <v>0</v>
      </c>
      <c r="EO178" s="68">
        <v>0</v>
      </c>
      <c r="EP178" s="68">
        <v>0</v>
      </c>
      <c r="EQ178" s="68">
        <v>0</v>
      </c>
      <c r="ER178" s="68">
        <v>0</v>
      </c>
      <c r="ES178" s="68">
        <v>0</v>
      </c>
      <c r="ET178" s="68">
        <v>0</v>
      </c>
      <c r="EU178" s="68">
        <v>0</v>
      </c>
      <c r="EV178" s="68">
        <v>0</v>
      </c>
      <c r="EW178" s="68">
        <v>0</v>
      </c>
      <c r="EX178" s="68">
        <v>0</v>
      </c>
      <c r="EY178" s="68">
        <v>0</v>
      </c>
      <c r="EZ178" s="94">
        <v>0</v>
      </c>
      <c r="FA178" s="68">
        <v>0</v>
      </c>
      <c r="FB178" s="68">
        <v>0</v>
      </c>
      <c r="FC178" s="68">
        <v>0</v>
      </c>
      <c r="FD178" s="68">
        <v>0</v>
      </c>
      <c r="FE178" s="68">
        <v>0</v>
      </c>
      <c r="FF178" s="68">
        <v>0</v>
      </c>
      <c r="FG178" s="68">
        <v>0</v>
      </c>
      <c r="FH178" s="68">
        <v>0</v>
      </c>
      <c r="FI178" s="68">
        <v>0</v>
      </c>
      <c r="FJ178" s="68">
        <v>0</v>
      </c>
      <c r="FK178" s="68">
        <v>0</v>
      </c>
      <c r="FL178" s="67"/>
      <c r="FM178" s="68"/>
      <c r="FN178" s="69"/>
      <c r="FO178" s="69"/>
      <c r="FP178" s="69"/>
      <c r="FQ178" s="69"/>
      <c r="FR178" s="69"/>
      <c r="FS178" s="69"/>
      <c r="FT178" s="69"/>
      <c r="FU178" s="69"/>
      <c r="FV178" s="69"/>
      <c r="FW178" s="69"/>
      <c r="FX178" s="69"/>
      <c r="FY178" s="69"/>
      <c r="FZ178" s="69"/>
      <c r="GA178" s="69"/>
      <c r="GB178" s="69"/>
      <c r="GC178" s="69"/>
      <c r="GD178" s="69"/>
      <c r="GE178" s="69"/>
      <c r="GF178" s="69"/>
      <c r="GG178" s="165"/>
    </row>
    <row r="179" spans="1:189" s="66" customFormat="1" x14ac:dyDescent="0.2">
      <c r="A179"/>
      <c r="B179" s="82">
        <v>45444</v>
      </c>
      <c r="C179" s="68">
        <v>0</v>
      </c>
      <c r="D179" s="68">
        <v>0</v>
      </c>
      <c r="E179" s="68">
        <v>0</v>
      </c>
      <c r="F179" s="68">
        <v>0</v>
      </c>
      <c r="G179" s="68">
        <v>0</v>
      </c>
      <c r="H179" s="68">
        <v>0</v>
      </c>
      <c r="I179" s="68">
        <v>0</v>
      </c>
      <c r="J179" s="68">
        <v>0</v>
      </c>
      <c r="K179" s="68">
        <v>0</v>
      </c>
      <c r="L179" s="68">
        <v>0</v>
      </c>
      <c r="M179" s="68">
        <v>0</v>
      </c>
      <c r="N179" s="68">
        <v>0</v>
      </c>
      <c r="O179" s="68">
        <v>0</v>
      </c>
      <c r="P179" s="68">
        <v>0</v>
      </c>
      <c r="Q179" s="68">
        <v>0</v>
      </c>
      <c r="R179" s="68">
        <v>0</v>
      </c>
      <c r="S179" s="68">
        <v>0</v>
      </c>
      <c r="T179" s="68">
        <v>0</v>
      </c>
      <c r="U179" s="68">
        <v>0</v>
      </c>
      <c r="V179" s="68">
        <v>0</v>
      </c>
      <c r="W179" s="68">
        <v>0</v>
      </c>
      <c r="X179" s="68">
        <v>0</v>
      </c>
      <c r="Y179" s="68">
        <v>0</v>
      </c>
      <c r="Z179" s="68">
        <v>0</v>
      </c>
      <c r="AA179" s="68">
        <v>0</v>
      </c>
      <c r="AB179" s="68">
        <v>0</v>
      </c>
      <c r="AC179" s="68">
        <v>0</v>
      </c>
      <c r="AD179" s="68">
        <v>0</v>
      </c>
      <c r="AE179" s="68">
        <v>0</v>
      </c>
      <c r="AF179" s="68">
        <v>0</v>
      </c>
      <c r="AG179" s="68">
        <v>0</v>
      </c>
      <c r="AH179" s="68">
        <v>0</v>
      </c>
      <c r="AI179" s="68">
        <v>0</v>
      </c>
      <c r="AJ179" s="68">
        <v>0</v>
      </c>
      <c r="AK179" s="68">
        <v>0</v>
      </c>
      <c r="AL179" s="68">
        <v>0</v>
      </c>
      <c r="AM179" s="68">
        <v>0</v>
      </c>
      <c r="AN179" s="68">
        <v>0</v>
      </c>
      <c r="AO179" s="68">
        <v>0</v>
      </c>
      <c r="AP179" s="68">
        <v>0</v>
      </c>
      <c r="AQ179" s="68">
        <v>0</v>
      </c>
      <c r="AR179" s="68">
        <v>0</v>
      </c>
      <c r="AS179" s="68">
        <v>0</v>
      </c>
      <c r="AT179" s="68">
        <v>0</v>
      </c>
      <c r="AU179" s="68">
        <v>0</v>
      </c>
      <c r="AV179" s="68">
        <v>0</v>
      </c>
      <c r="AW179" s="68">
        <v>0</v>
      </c>
      <c r="AX179" s="68">
        <v>0</v>
      </c>
      <c r="AY179" s="68">
        <v>0</v>
      </c>
      <c r="AZ179" s="68">
        <v>0</v>
      </c>
      <c r="BA179" s="68">
        <v>0</v>
      </c>
      <c r="BB179" s="68">
        <v>0</v>
      </c>
      <c r="BC179" s="68">
        <v>0</v>
      </c>
      <c r="BD179" s="68">
        <v>0</v>
      </c>
      <c r="BE179" s="68">
        <v>0</v>
      </c>
      <c r="BF179" s="68">
        <v>0</v>
      </c>
      <c r="BG179" s="68">
        <v>0</v>
      </c>
      <c r="BH179" s="68">
        <v>0</v>
      </c>
      <c r="BI179" s="68">
        <v>0</v>
      </c>
      <c r="BJ179" s="68">
        <v>0</v>
      </c>
      <c r="BK179" s="68">
        <v>0</v>
      </c>
      <c r="BL179" s="68">
        <v>0</v>
      </c>
      <c r="BM179" s="68">
        <v>0</v>
      </c>
      <c r="BN179" s="68">
        <v>0</v>
      </c>
      <c r="BO179" s="68">
        <v>0</v>
      </c>
      <c r="BP179" s="68">
        <v>0</v>
      </c>
      <c r="BQ179" s="68">
        <v>0</v>
      </c>
      <c r="BR179" s="68">
        <v>0</v>
      </c>
      <c r="BS179" s="68">
        <v>0</v>
      </c>
      <c r="BT179" s="68">
        <v>0</v>
      </c>
      <c r="BU179" s="68">
        <v>0</v>
      </c>
      <c r="BV179" s="68">
        <v>0</v>
      </c>
      <c r="BW179" s="68">
        <v>0</v>
      </c>
      <c r="BX179" s="68">
        <v>0</v>
      </c>
      <c r="BY179" s="68">
        <v>0</v>
      </c>
      <c r="BZ179" s="68">
        <v>0</v>
      </c>
      <c r="CA179" s="68">
        <v>0</v>
      </c>
      <c r="CB179" s="68">
        <v>0</v>
      </c>
      <c r="CC179" s="68">
        <v>0</v>
      </c>
      <c r="CD179" s="68">
        <v>0</v>
      </c>
      <c r="CE179" s="68">
        <v>0</v>
      </c>
      <c r="CF179" s="68">
        <v>0</v>
      </c>
      <c r="CG179" s="68">
        <v>0</v>
      </c>
      <c r="CH179" s="68">
        <v>0</v>
      </c>
      <c r="CI179" s="68">
        <v>0</v>
      </c>
      <c r="CJ179" s="68">
        <v>0</v>
      </c>
      <c r="CK179" s="68">
        <v>0</v>
      </c>
      <c r="CL179" s="68">
        <v>0</v>
      </c>
      <c r="CM179" s="68">
        <v>0</v>
      </c>
      <c r="CN179" s="68">
        <v>0</v>
      </c>
      <c r="CO179" s="68">
        <v>0</v>
      </c>
      <c r="CP179" s="68">
        <v>0</v>
      </c>
      <c r="CQ179" s="68">
        <v>0</v>
      </c>
      <c r="CR179" s="68">
        <v>0</v>
      </c>
      <c r="CS179" s="68">
        <v>0</v>
      </c>
      <c r="CT179" s="68">
        <v>0</v>
      </c>
      <c r="CU179" s="68">
        <v>0</v>
      </c>
      <c r="CV179" s="68">
        <v>0</v>
      </c>
      <c r="CW179" s="68">
        <v>0</v>
      </c>
      <c r="CX179" s="68">
        <v>0</v>
      </c>
      <c r="CY179" s="68">
        <v>0</v>
      </c>
      <c r="CZ179" s="68">
        <v>0</v>
      </c>
      <c r="DA179" s="68">
        <v>0</v>
      </c>
      <c r="DB179" s="68">
        <v>0</v>
      </c>
      <c r="DC179" s="68">
        <v>0</v>
      </c>
      <c r="DD179" s="68">
        <v>0</v>
      </c>
      <c r="DE179" s="68">
        <v>0</v>
      </c>
      <c r="DF179" s="68">
        <v>0</v>
      </c>
      <c r="DG179" s="68">
        <v>0</v>
      </c>
      <c r="DH179" s="68">
        <v>0</v>
      </c>
      <c r="DI179" s="68">
        <v>0</v>
      </c>
      <c r="DJ179" s="68">
        <v>0</v>
      </c>
      <c r="DK179" s="68">
        <v>0</v>
      </c>
      <c r="DL179" s="68">
        <v>0</v>
      </c>
      <c r="DM179" s="68">
        <v>0</v>
      </c>
      <c r="DN179" s="68">
        <v>0</v>
      </c>
      <c r="DO179" s="68">
        <v>0</v>
      </c>
      <c r="DP179" s="68">
        <v>0</v>
      </c>
      <c r="DQ179" s="68">
        <v>0</v>
      </c>
      <c r="DR179" s="68">
        <v>0</v>
      </c>
      <c r="DS179" s="68">
        <v>0</v>
      </c>
      <c r="DT179" s="68">
        <v>0</v>
      </c>
      <c r="DU179" s="68">
        <v>0</v>
      </c>
      <c r="DV179" s="68">
        <v>0</v>
      </c>
      <c r="DW179" s="68">
        <v>0</v>
      </c>
      <c r="DX179" s="68">
        <v>0</v>
      </c>
      <c r="DY179" s="68">
        <v>0</v>
      </c>
      <c r="DZ179" s="68">
        <v>0</v>
      </c>
      <c r="EA179" s="68">
        <v>0</v>
      </c>
      <c r="EB179" s="68">
        <v>0</v>
      </c>
      <c r="EC179" s="68">
        <v>0</v>
      </c>
      <c r="ED179" s="68">
        <v>0</v>
      </c>
      <c r="EE179" s="68">
        <v>0</v>
      </c>
      <c r="EF179" s="68">
        <v>0</v>
      </c>
      <c r="EG179" s="68">
        <v>0</v>
      </c>
      <c r="EH179" s="68">
        <v>0</v>
      </c>
      <c r="EI179" s="68">
        <v>0</v>
      </c>
      <c r="EJ179" s="68">
        <v>0</v>
      </c>
      <c r="EK179" s="68">
        <v>0</v>
      </c>
      <c r="EL179" s="68">
        <v>0</v>
      </c>
      <c r="EM179" s="68">
        <v>0</v>
      </c>
      <c r="EN179" s="68">
        <v>0</v>
      </c>
      <c r="EO179" s="68">
        <v>0</v>
      </c>
      <c r="EP179" s="68">
        <v>0</v>
      </c>
      <c r="EQ179" s="68">
        <v>0</v>
      </c>
      <c r="ER179" s="68">
        <v>0</v>
      </c>
      <c r="ES179" s="68">
        <v>0</v>
      </c>
      <c r="ET179" s="68">
        <v>0</v>
      </c>
      <c r="EU179" s="68">
        <v>0</v>
      </c>
      <c r="EV179" s="68">
        <v>0</v>
      </c>
      <c r="EW179" s="68">
        <v>0</v>
      </c>
      <c r="EX179" s="68">
        <v>0</v>
      </c>
      <c r="EY179" s="68">
        <v>0</v>
      </c>
      <c r="EZ179" s="68">
        <v>0</v>
      </c>
      <c r="FA179" s="94">
        <v>0</v>
      </c>
      <c r="FB179" s="68">
        <v>0</v>
      </c>
      <c r="FC179" s="68">
        <v>0</v>
      </c>
      <c r="FD179" s="68">
        <v>0</v>
      </c>
      <c r="FE179" s="68">
        <v>0</v>
      </c>
      <c r="FF179" s="68">
        <v>0</v>
      </c>
      <c r="FG179" s="68">
        <v>0</v>
      </c>
      <c r="FH179" s="68">
        <v>0</v>
      </c>
      <c r="FI179" s="68">
        <v>0</v>
      </c>
      <c r="FJ179" s="68">
        <v>0</v>
      </c>
      <c r="FK179" s="68">
        <v>0</v>
      </c>
      <c r="FL179" s="68">
        <v>0</v>
      </c>
      <c r="FM179" s="67"/>
      <c r="FN179" s="68"/>
      <c r="FO179" s="69"/>
      <c r="FP179" s="69"/>
      <c r="FQ179" s="69"/>
      <c r="FR179" s="69"/>
      <c r="FS179" s="69"/>
      <c r="FT179" s="69"/>
      <c r="FU179" s="69"/>
      <c r="FV179" s="69"/>
      <c r="FW179" s="69"/>
      <c r="FX179" s="69"/>
      <c r="FY179" s="69"/>
      <c r="FZ179" s="69"/>
      <c r="GA179" s="69"/>
      <c r="GB179" s="69"/>
      <c r="GC179" s="69"/>
      <c r="GD179" s="69"/>
      <c r="GE179" s="69"/>
      <c r="GF179" s="69"/>
      <c r="GG179" s="165"/>
    </row>
    <row r="180" spans="1:189" s="66" customFormat="1" x14ac:dyDescent="0.2">
      <c r="A180"/>
      <c r="B180" s="82">
        <v>45474</v>
      </c>
      <c r="C180" s="68">
        <v>0</v>
      </c>
      <c r="D180" s="68">
        <v>0</v>
      </c>
      <c r="E180" s="68">
        <v>0</v>
      </c>
      <c r="F180" s="68">
        <v>0</v>
      </c>
      <c r="G180" s="68">
        <v>0</v>
      </c>
      <c r="H180" s="68">
        <v>0</v>
      </c>
      <c r="I180" s="68">
        <v>0</v>
      </c>
      <c r="J180" s="68">
        <v>0</v>
      </c>
      <c r="K180" s="68">
        <v>0</v>
      </c>
      <c r="L180" s="68">
        <v>0</v>
      </c>
      <c r="M180" s="68">
        <v>0</v>
      </c>
      <c r="N180" s="68">
        <v>0</v>
      </c>
      <c r="O180" s="68">
        <v>0</v>
      </c>
      <c r="P180" s="68">
        <v>0</v>
      </c>
      <c r="Q180" s="68">
        <v>0</v>
      </c>
      <c r="R180" s="68">
        <v>0</v>
      </c>
      <c r="S180" s="68">
        <v>0</v>
      </c>
      <c r="T180" s="68">
        <v>0</v>
      </c>
      <c r="U180" s="68">
        <v>0</v>
      </c>
      <c r="V180" s="68">
        <v>0</v>
      </c>
      <c r="W180" s="68">
        <v>0</v>
      </c>
      <c r="X180" s="68">
        <v>0</v>
      </c>
      <c r="Y180" s="68">
        <v>0</v>
      </c>
      <c r="Z180" s="68">
        <v>0</v>
      </c>
      <c r="AA180" s="68">
        <v>0</v>
      </c>
      <c r="AB180" s="68">
        <v>0</v>
      </c>
      <c r="AC180" s="68">
        <v>0</v>
      </c>
      <c r="AD180" s="68">
        <v>0</v>
      </c>
      <c r="AE180" s="68">
        <v>0</v>
      </c>
      <c r="AF180" s="68">
        <v>0</v>
      </c>
      <c r="AG180" s="68">
        <v>0</v>
      </c>
      <c r="AH180" s="68">
        <v>0</v>
      </c>
      <c r="AI180" s="68">
        <v>0</v>
      </c>
      <c r="AJ180" s="68">
        <v>0</v>
      </c>
      <c r="AK180" s="68">
        <v>0</v>
      </c>
      <c r="AL180" s="68">
        <v>0</v>
      </c>
      <c r="AM180" s="68">
        <v>0</v>
      </c>
      <c r="AN180" s="68">
        <v>0</v>
      </c>
      <c r="AO180" s="68">
        <v>0</v>
      </c>
      <c r="AP180" s="68">
        <v>0</v>
      </c>
      <c r="AQ180" s="68">
        <v>0</v>
      </c>
      <c r="AR180" s="68">
        <v>0</v>
      </c>
      <c r="AS180" s="68">
        <v>0</v>
      </c>
      <c r="AT180" s="68">
        <v>0</v>
      </c>
      <c r="AU180" s="68">
        <v>0</v>
      </c>
      <c r="AV180" s="68">
        <v>0</v>
      </c>
      <c r="AW180" s="68">
        <v>0</v>
      </c>
      <c r="AX180" s="68">
        <v>0</v>
      </c>
      <c r="AY180" s="68">
        <v>0</v>
      </c>
      <c r="AZ180" s="68">
        <v>0</v>
      </c>
      <c r="BA180" s="68">
        <v>0</v>
      </c>
      <c r="BB180" s="68">
        <v>0</v>
      </c>
      <c r="BC180" s="68">
        <v>0</v>
      </c>
      <c r="BD180" s="68">
        <v>0</v>
      </c>
      <c r="BE180" s="68">
        <v>0</v>
      </c>
      <c r="BF180" s="68">
        <v>0</v>
      </c>
      <c r="BG180" s="68">
        <v>0</v>
      </c>
      <c r="BH180" s="68">
        <v>0</v>
      </c>
      <c r="BI180" s="68">
        <v>0</v>
      </c>
      <c r="BJ180" s="68">
        <v>0</v>
      </c>
      <c r="BK180" s="68">
        <v>0</v>
      </c>
      <c r="BL180" s="68">
        <v>0</v>
      </c>
      <c r="BM180" s="68">
        <v>0</v>
      </c>
      <c r="BN180" s="68">
        <v>0</v>
      </c>
      <c r="BO180" s="68">
        <v>0</v>
      </c>
      <c r="BP180" s="68">
        <v>0</v>
      </c>
      <c r="BQ180" s="68">
        <v>0</v>
      </c>
      <c r="BR180" s="68">
        <v>0</v>
      </c>
      <c r="BS180" s="68">
        <v>0</v>
      </c>
      <c r="BT180" s="68">
        <v>0</v>
      </c>
      <c r="BU180" s="68">
        <v>0</v>
      </c>
      <c r="BV180" s="68">
        <v>0</v>
      </c>
      <c r="BW180" s="68">
        <v>0</v>
      </c>
      <c r="BX180" s="68">
        <v>0</v>
      </c>
      <c r="BY180" s="68">
        <v>0</v>
      </c>
      <c r="BZ180" s="68">
        <v>0</v>
      </c>
      <c r="CA180" s="68">
        <v>0</v>
      </c>
      <c r="CB180" s="68">
        <v>0</v>
      </c>
      <c r="CC180" s="68">
        <v>0</v>
      </c>
      <c r="CD180" s="68">
        <v>0</v>
      </c>
      <c r="CE180" s="68">
        <v>0</v>
      </c>
      <c r="CF180" s="68">
        <v>0</v>
      </c>
      <c r="CG180" s="68">
        <v>0</v>
      </c>
      <c r="CH180" s="68">
        <v>0</v>
      </c>
      <c r="CI180" s="68">
        <v>0</v>
      </c>
      <c r="CJ180" s="68">
        <v>0</v>
      </c>
      <c r="CK180" s="68">
        <v>0</v>
      </c>
      <c r="CL180" s="68">
        <v>0</v>
      </c>
      <c r="CM180" s="68">
        <v>0</v>
      </c>
      <c r="CN180" s="68">
        <v>0</v>
      </c>
      <c r="CO180" s="68">
        <v>0</v>
      </c>
      <c r="CP180" s="68">
        <v>0</v>
      </c>
      <c r="CQ180" s="68">
        <v>0</v>
      </c>
      <c r="CR180" s="68">
        <v>0</v>
      </c>
      <c r="CS180" s="68">
        <v>0</v>
      </c>
      <c r="CT180" s="68">
        <v>0</v>
      </c>
      <c r="CU180" s="68">
        <v>0</v>
      </c>
      <c r="CV180" s="68">
        <v>0</v>
      </c>
      <c r="CW180" s="68">
        <v>0</v>
      </c>
      <c r="CX180" s="68">
        <v>0</v>
      </c>
      <c r="CY180" s="68">
        <v>0</v>
      </c>
      <c r="CZ180" s="68">
        <v>0</v>
      </c>
      <c r="DA180" s="68">
        <v>0</v>
      </c>
      <c r="DB180" s="68">
        <v>0</v>
      </c>
      <c r="DC180" s="68">
        <v>0</v>
      </c>
      <c r="DD180" s="68">
        <v>0</v>
      </c>
      <c r="DE180" s="68">
        <v>0</v>
      </c>
      <c r="DF180" s="68">
        <v>0</v>
      </c>
      <c r="DG180" s="68">
        <v>0</v>
      </c>
      <c r="DH180" s="68">
        <v>0</v>
      </c>
      <c r="DI180" s="68">
        <v>0</v>
      </c>
      <c r="DJ180" s="68">
        <v>0</v>
      </c>
      <c r="DK180" s="68">
        <v>0</v>
      </c>
      <c r="DL180" s="68">
        <v>0</v>
      </c>
      <c r="DM180" s="68">
        <v>0</v>
      </c>
      <c r="DN180" s="68">
        <v>0</v>
      </c>
      <c r="DO180" s="68">
        <v>0</v>
      </c>
      <c r="DP180" s="68">
        <v>0</v>
      </c>
      <c r="DQ180" s="68">
        <v>0</v>
      </c>
      <c r="DR180" s="68">
        <v>0</v>
      </c>
      <c r="DS180" s="68">
        <v>0</v>
      </c>
      <c r="DT180" s="68">
        <v>0</v>
      </c>
      <c r="DU180" s="68">
        <v>0</v>
      </c>
      <c r="DV180" s="68">
        <v>0</v>
      </c>
      <c r="DW180" s="68">
        <v>0</v>
      </c>
      <c r="DX180" s="68">
        <v>0</v>
      </c>
      <c r="DY180" s="68">
        <v>0</v>
      </c>
      <c r="DZ180" s="68">
        <v>0</v>
      </c>
      <c r="EA180" s="68">
        <v>0</v>
      </c>
      <c r="EB180" s="68">
        <v>0</v>
      </c>
      <c r="EC180" s="68">
        <v>0</v>
      </c>
      <c r="ED180" s="68">
        <v>0</v>
      </c>
      <c r="EE180" s="68">
        <v>0</v>
      </c>
      <c r="EF180" s="68">
        <v>0</v>
      </c>
      <c r="EG180" s="68">
        <v>0</v>
      </c>
      <c r="EH180" s="68">
        <v>0</v>
      </c>
      <c r="EI180" s="68">
        <v>0</v>
      </c>
      <c r="EJ180" s="68">
        <v>0</v>
      </c>
      <c r="EK180" s="68">
        <v>0</v>
      </c>
      <c r="EL180" s="68">
        <v>0</v>
      </c>
      <c r="EM180" s="68">
        <v>0</v>
      </c>
      <c r="EN180" s="68">
        <v>0</v>
      </c>
      <c r="EO180" s="68">
        <v>0</v>
      </c>
      <c r="EP180" s="68">
        <v>0</v>
      </c>
      <c r="EQ180" s="68">
        <v>0</v>
      </c>
      <c r="ER180" s="68">
        <v>0</v>
      </c>
      <c r="ES180" s="68">
        <v>0</v>
      </c>
      <c r="ET180" s="68">
        <v>0</v>
      </c>
      <c r="EU180" s="68">
        <v>0</v>
      </c>
      <c r="EV180" s="68">
        <v>0</v>
      </c>
      <c r="EW180" s="68">
        <v>0</v>
      </c>
      <c r="EX180" s="68">
        <v>0</v>
      </c>
      <c r="EY180" s="68">
        <v>0</v>
      </c>
      <c r="EZ180" s="68">
        <v>0</v>
      </c>
      <c r="FA180" s="68">
        <v>0</v>
      </c>
      <c r="FB180" s="94">
        <v>0</v>
      </c>
      <c r="FC180" s="68">
        <v>0</v>
      </c>
      <c r="FD180" s="68">
        <v>0</v>
      </c>
      <c r="FE180" s="68">
        <v>0</v>
      </c>
      <c r="FF180" s="68">
        <v>0</v>
      </c>
      <c r="FG180" s="68">
        <v>0</v>
      </c>
      <c r="FH180" s="68">
        <v>0</v>
      </c>
      <c r="FI180" s="68">
        <v>0</v>
      </c>
      <c r="FJ180" s="68">
        <v>0</v>
      </c>
      <c r="FK180" s="68">
        <v>0</v>
      </c>
      <c r="FL180" s="68">
        <v>0</v>
      </c>
      <c r="FM180" s="68">
        <v>0</v>
      </c>
      <c r="FN180" s="67"/>
      <c r="FO180" s="68"/>
      <c r="FP180" s="69"/>
      <c r="FQ180" s="69"/>
      <c r="FR180" s="69"/>
      <c r="FS180" s="69"/>
      <c r="FT180" s="69"/>
      <c r="FU180" s="69"/>
      <c r="FV180" s="69"/>
      <c r="FW180" s="69"/>
      <c r="FX180" s="69"/>
      <c r="FY180" s="69"/>
      <c r="FZ180" s="69"/>
      <c r="GA180" s="69"/>
      <c r="GB180" s="69"/>
      <c r="GC180" s="69"/>
      <c r="GD180" s="69"/>
      <c r="GE180" s="69"/>
      <c r="GF180" s="69"/>
      <c r="GG180" s="165"/>
    </row>
    <row r="181" spans="1:189" s="66" customFormat="1" x14ac:dyDescent="0.2">
      <c r="A181"/>
      <c r="B181" s="82">
        <v>45505</v>
      </c>
      <c r="C181" s="68">
        <v>0</v>
      </c>
      <c r="D181" s="68">
        <v>0</v>
      </c>
      <c r="E181" s="68">
        <v>0</v>
      </c>
      <c r="F181" s="68">
        <v>0</v>
      </c>
      <c r="G181" s="68">
        <v>0</v>
      </c>
      <c r="H181" s="68">
        <v>0</v>
      </c>
      <c r="I181" s="68">
        <v>0</v>
      </c>
      <c r="J181" s="68">
        <v>0</v>
      </c>
      <c r="K181" s="68">
        <v>0</v>
      </c>
      <c r="L181" s="68">
        <v>0</v>
      </c>
      <c r="M181" s="68">
        <v>0</v>
      </c>
      <c r="N181" s="68">
        <v>0</v>
      </c>
      <c r="O181" s="68">
        <v>0</v>
      </c>
      <c r="P181" s="68">
        <v>0</v>
      </c>
      <c r="Q181" s="68">
        <v>0</v>
      </c>
      <c r="R181" s="68">
        <v>0</v>
      </c>
      <c r="S181" s="68">
        <v>0</v>
      </c>
      <c r="T181" s="68">
        <v>0</v>
      </c>
      <c r="U181" s="68">
        <v>0</v>
      </c>
      <c r="V181" s="68">
        <v>0</v>
      </c>
      <c r="W181" s="68">
        <v>0</v>
      </c>
      <c r="X181" s="68">
        <v>0</v>
      </c>
      <c r="Y181" s="68">
        <v>0</v>
      </c>
      <c r="Z181" s="68">
        <v>0</v>
      </c>
      <c r="AA181" s="68">
        <v>0</v>
      </c>
      <c r="AB181" s="68">
        <v>0</v>
      </c>
      <c r="AC181" s="68">
        <v>0</v>
      </c>
      <c r="AD181" s="68">
        <v>0</v>
      </c>
      <c r="AE181" s="68">
        <v>0</v>
      </c>
      <c r="AF181" s="68">
        <v>0</v>
      </c>
      <c r="AG181" s="68">
        <v>0</v>
      </c>
      <c r="AH181" s="68">
        <v>0</v>
      </c>
      <c r="AI181" s="68">
        <v>0</v>
      </c>
      <c r="AJ181" s="68">
        <v>0</v>
      </c>
      <c r="AK181" s="68">
        <v>0</v>
      </c>
      <c r="AL181" s="68">
        <v>0</v>
      </c>
      <c r="AM181" s="68">
        <v>0</v>
      </c>
      <c r="AN181" s="68">
        <v>0</v>
      </c>
      <c r="AO181" s="68">
        <v>0</v>
      </c>
      <c r="AP181" s="68">
        <v>0</v>
      </c>
      <c r="AQ181" s="68">
        <v>0</v>
      </c>
      <c r="AR181" s="68">
        <v>0</v>
      </c>
      <c r="AS181" s="68">
        <v>0</v>
      </c>
      <c r="AT181" s="68">
        <v>0</v>
      </c>
      <c r="AU181" s="68">
        <v>0</v>
      </c>
      <c r="AV181" s="68">
        <v>0</v>
      </c>
      <c r="AW181" s="68">
        <v>0</v>
      </c>
      <c r="AX181" s="68">
        <v>0</v>
      </c>
      <c r="AY181" s="68">
        <v>0</v>
      </c>
      <c r="AZ181" s="68">
        <v>0</v>
      </c>
      <c r="BA181" s="68">
        <v>0</v>
      </c>
      <c r="BB181" s="68">
        <v>0</v>
      </c>
      <c r="BC181" s="68">
        <v>0</v>
      </c>
      <c r="BD181" s="68">
        <v>0</v>
      </c>
      <c r="BE181" s="68">
        <v>0</v>
      </c>
      <c r="BF181" s="68">
        <v>0</v>
      </c>
      <c r="BG181" s="68">
        <v>0</v>
      </c>
      <c r="BH181" s="68">
        <v>0</v>
      </c>
      <c r="BI181" s="68">
        <v>0</v>
      </c>
      <c r="BJ181" s="68">
        <v>0</v>
      </c>
      <c r="BK181" s="68">
        <v>0</v>
      </c>
      <c r="BL181" s="68">
        <v>0</v>
      </c>
      <c r="BM181" s="68">
        <v>0</v>
      </c>
      <c r="BN181" s="68">
        <v>0</v>
      </c>
      <c r="BO181" s="68">
        <v>0</v>
      </c>
      <c r="BP181" s="68">
        <v>0</v>
      </c>
      <c r="BQ181" s="68">
        <v>0</v>
      </c>
      <c r="BR181" s="68">
        <v>0</v>
      </c>
      <c r="BS181" s="68">
        <v>0</v>
      </c>
      <c r="BT181" s="68">
        <v>0</v>
      </c>
      <c r="BU181" s="68">
        <v>0</v>
      </c>
      <c r="BV181" s="68">
        <v>0</v>
      </c>
      <c r="BW181" s="68">
        <v>0</v>
      </c>
      <c r="BX181" s="68">
        <v>0</v>
      </c>
      <c r="BY181" s="68">
        <v>0</v>
      </c>
      <c r="BZ181" s="68">
        <v>0</v>
      </c>
      <c r="CA181" s="68">
        <v>0</v>
      </c>
      <c r="CB181" s="68">
        <v>0</v>
      </c>
      <c r="CC181" s="68">
        <v>0</v>
      </c>
      <c r="CD181" s="68">
        <v>0</v>
      </c>
      <c r="CE181" s="68">
        <v>0</v>
      </c>
      <c r="CF181" s="68">
        <v>0</v>
      </c>
      <c r="CG181" s="68">
        <v>0</v>
      </c>
      <c r="CH181" s="68">
        <v>0</v>
      </c>
      <c r="CI181" s="68">
        <v>0</v>
      </c>
      <c r="CJ181" s="68">
        <v>0</v>
      </c>
      <c r="CK181" s="68">
        <v>0</v>
      </c>
      <c r="CL181" s="68">
        <v>0</v>
      </c>
      <c r="CM181" s="68">
        <v>0</v>
      </c>
      <c r="CN181" s="68">
        <v>0</v>
      </c>
      <c r="CO181" s="68">
        <v>0</v>
      </c>
      <c r="CP181" s="68">
        <v>0</v>
      </c>
      <c r="CQ181" s="68">
        <v>0</v>
      </c>
      <c r="CR181" s="68">
        <v>0</v>
      </c>
      <c r="CS181" s="68">
        <v>0</v>
      </c>
      <c r="CT181" s="68">
        <v>0</v>
      </c>
      <c r="CU181" s="68">
        <v>0</v>
      </c>
      <c r="CV181" s="68">
        <v>0</v>
      </c>
      <c r="CW181" s="68">
        <v>0</v>
      </c>
      <c r="CX181" s="68">
        <v>0</v>
      </c>
      <c r="CY181" s="68">
        <v>0</v>
      </c>
      <c r="CZ181" s="68">
        <v>0</v>
      </c>
      <c r="DA181" s="68">
        <v>0</v>
      </c>
      <c r="DB181" s="68">
        <v>0</v>
      </c>
      <c r="DC181" s="68">
        <v>0</v>
      </c>
      <c r="DD181" s="68">
        <v>0</v>
      </c>
      <c r="DE181" s="68">
        <v>0</v>
      </c>
      <c r="DF181" s="68">
        <v>0</v>
      </c>
      <c r="DG181" s="68">
        <v>0</v>
      </c>
      <c r="DH181" s="68">
        <v>0</v>
      </c>
      <c r="DI181" s="68">
        <v>0</v>
      </c>
      <c r="DJ181" s="68">
        <v>0</v>
      </c>
      <c r="DK181" s="68">
        <v>0</v>
      </c>
      <c r="DL181" s="68">
        <v>0</v>
      </c>
      <c r="DM181" s="68">
        <v>0</v>
      </c>
      <c r="DN181" s="68">
        <v>0</v>
      </c>
      <c r="DO181" s="68">
        <v>0</v>
      </c>
      <c r="DP181" s="68">
        <v>0</v>
      </c>
      <c r="DQ181" s="68">
        <v>0</v>
      </c>
      <c r="DR181" s="68">
        <v>0</v>
      </c>
      <c r="DS181" s="68">
        <v>0</v>
      </c>
      <c r="DT181" s="68">
        <v>0</v>
      </c>
      <c r="DU181" s="68">
        <v>0</v>
      </c>
      <c r="DV181" s="68">
        <v>0</v>
      </c>
      <c r="DW181" s="68">
        <v>0</v>
      </c>
      <c r="DX181" s="68">
        <v>0</v>
      </c>
      <c r="DY181" s="68">
        <v>0</v>
      </c>
      <c r="DZ181" s="68">
        <v>0</v>
      </c>
      <c r="EA181" s="68">
        <v>0</v>
      </c>
      <c r="EB181" s="68">
        <v>0</v>
      </c>
      <c r="EC181" s="68">
        <v>0</v>
      </c>
      <c r="ED181" s="68">
        <v>0</v>
      </c>
      <c r="EE181" s="68">
        <v>0</v>
      </c>
      <c r="EF181" s="68">
        <v>0</v>
      </c>
      <c r="EG181" s="68">
        <v>0</v>
      </c>
      <c r="EH181" s="68">
        <v>0</v>
      </c>
      <c r="EI181" s="68">
        <v>0</v>
      </c>
      <c r="EJ181" s="68">
        <v>0</v>
      </c>
      <c r="EK181" s="68">
        <v>0</v>
      </c>
      <c r="EL181" s="68">
        <v>0</v>
      </c>
      <c r="EM181" s="68">
        <v>0</v>
      </c>
      <c r="EN181" s="68">
        <v>0</v>
      </c>
      <c r="EO181" s="68">
        <v>0</v>
      </c>
      <c r="EP181" s="68">
        <v>0</v>
      </c>
      <c r="EQ181" s="68">
        <v>0</v>
      </c>
      <c r="ER181" s="68">
        <v>0</v>
      </c>
      <c r="ES181" s="68">
        <v>0</v>
      </c>
      <c r="ET181" s="68">
        <v>0</v>
      </c>
      <c r="EU181" s="68">
        <v>0</v>
      </c>
      <c r="EV181" s="68">
        <v>0</v>
      </c>
      <c r="EW181" s="68">
        <v>0</v>
      </c>
      <c r="EX181" s="68">
        <v>0</v>
      </c>
      <c r="EY181" s="68">
        <v>0</v>
      </c>
      <c r="EZ181" s="68">
        <v>0</v>
      </c>
      <c r="FA181" s="68">
        <v>0</v>
      </c>
      <c r="FB181" s="68">
        <v>0</v>
      </c>
      <c r="FC181" s="94">
        <v>0</v>
      </c>
      <c r="FD181" s="68">
        <v>0</v>
      </c>
      <c r="FE181" s="68">
        <v>0</v>
      </c>
      <c r="FF181" s="68">
        <v>0</v>
      </c>
      <c r="FG181" s="68">
        <v>0</v>
      </c>
      <c r="FH181" s="68">
        <v>0</v>
      </c>
      <c r="FI181" s="68">
        <v>0</v>
      </c>
      <c r="FJ181" s="68">
        <v>0</v>
      </c>
      <c r="FK181" s="68">
        <v>0</v>
      </c>
      <c r="FL181" s="68">
        <v>0</v>
      </c>
      <c r="FM181" s="68">
        <v>0</v>
      </c>
      <c r="FN181" s="68">
        <v>0</v>
      </c>
      <c r="FO181" s="67"/>
      <c r="FP181" s="68"/>
      <c r="FQ181" s="69"/>
      <c r="FR181" s="69"/>
      <c r="FS181" s="69"/>
      <c r="FT181" s="69"/>
      <c r="FU181" s="69"/>
      <c r="FV181" s="69"/>
      <c r="FW181" s="69"/>
      <c r="FX181" s="69"/>
      <c r="FY181" s="69"/>
      <c r="FZ181" s="69"/>
      <c r="GA181" s="69"/>
      <c r="GB181" s="69"/>
      <c r="GC181" s="69"/>
      <c r="GD181" s="69"/>
      <c r="GE181" s="69"/>
      <c r="GF181" s="69"/>
      <c r="GG181" s="165"/>
    </row>
    <row r="182" spans="1:189" s="66" customFormat="1" x14ac:dyDescent="0.2">
      <c r="A182"/>
      <c r="B182" s="82">
        <v>45536</v>
      </c>
      <c r="C182" s="68">
        <v>0</v>
      </c>
      <c r="D182" s="68">
        <v>0</v>
      </c>
      <c r="E182" s="68">
        <v>0</v>
      </c>
      <c r="F182" s="68">
        <v>0</v>
      </c>
      <c r="G182" s="68">
        <v>0</v>
      </c>
      <c r="H182" s="68">
        <v>0</v>
      </c>
      <c r="I182" s="68">
        <v>0</v>
      </c>
      <c r="J182" s="68">
        <v>0</v>
      </c>
      <c r="K182" s="68">
        <v>0</v>
      </c>
      <c r="L182" s="68">
        <v>0</v>
      </c>
      <c r="M182" s="68">
        <v>0</v>
      </c>
      <c r="N182" s="68">
        <v>0</v>
      </c>
      <c r="O182" s="68">
        <v>0</v>
      </c>
      <c r="P182" s="68">
        <v>0</v>
      </c>
      <c r="Q182" s="68">
        <v>0</v>
      </c>
      <c r="R182" s="68">
        <v>0</v>
      </c>
      <c r="S182" s="68">
        <v>0</v>
      </c>
      <c r="T182" s="68">
        <v>0</v>
      </c>
      <c r="U182" s="68">
        <v>0</v>
      </c>
      <c r="V182" s="68">
        <v>0</v>
      </c>
      <c r="W182" s="68">
        <v>0</v>
      </c>
      <c r="X182" s="68">
        <v>0</v>
      </c>
      <c r="Y182" s="68">
        <v>0</v>
      </c>
      <c r="Z182" s="68">
        <v>0</v>
      </c>
      <c r="AA182" s="68">
        <v>0</v>
      </c>
      <c r="AB182" s="68">
        <v>0</v>
      </c>
      <c r="AC182" s="68">
        <v>0</v>
      </c>
      <c r="AD182" s="68">
        <v>0</v>
      </c>
      <c r="AE182" s="68">
        <v>0</v>
      </c>
      <c r="AF182" s="68">
        <v>0</v>
      </c>
      <c r="AG182" s="68">
        <v>0</v>
      </c>
      <c r="AH182" s="68">
        <v>0</v>
      </c>
      <c r="AI182" s="68">
        <v>0</v>
      </c>
      <c r="AJ182" s="68">
        <v>0</v>
      </c>
      <c r="AK182" s="68">
        <v>0</v>
      </c>
      <c r="AL182" s="68">
        <v>0</v>
      </c>
      <c r="AM182" s="68">
        <v>0</v>
      </c>
      <c r="AN182" s="68">
        <v>0</v>
      </c>
      <c r="AO182" s="68">
        <v>0</v>
      </c>
      <c r="AP182" s="68">
        <v>0</v>
      </c>
      <c r="AQ182" s="68">
        <v>0</v>
      </c>
      <c r="AR182" s="68">
        <v>0</v>
      </c>
      <c r="AS182" s="68">
        <v>0</v>
      </c>
      <c r="AT182" s="68">
        <v>0</v>
      </c>
      <c r="AU182" s="68">
        <v>0</v>
      </c>
      <c r="AV182" s="68">
        <v>0</v>
      </c>
      <c r="AW182" s="68">
        <v>0</v>
      </c>
      <c r="AX182" s="68">
        <v>0</v>
      </c>
      <c r="AY182" s="68">
        <v>0</v>
      </c>
      <c r="AZ182" s="68">
        <v>0</v>
      </c>
      <c r="BA182" s="68">
        <v>0</v>
      </c>
      <c r="BB182" s="68">
        <v>0</v>
      </c>
      <c r="BC182" s="68">
        <v>0</v>
      </c>
      <c r="BD182" s="68">
        <v>0</v>
      </c>
      <c r="BE182" s="68">
        <v>0</v>
      </c>
      <c r="BF182" s="68">
        <v>0</v>
      </c>
      <c r="BG182" s="68">
        <v>0</v>
      </c>
      <c r="BH182" s="68">
        <v>0</v>
      </c>
      <c r="BI182" s="68">
        <v>0</v>
      </c>
      <c r="BJ182" s="68">
        <v>0</v>
      </c>
      <c r="BK182" s="68">
        <v>0</v>
      </c>
      <c r="BL182" s="68">
        <v>0</v>
      </c>
      <c r="BM182" s="68">
        <v>0</v>
      </c>
      <c r="BN182" s="68">
        <v>0</v>
      </c>
      <c r="BO182" s="68">
        <v>0</v>
      </c>
      <c r="BP182" s="68">
        <v>0</v>
      </c>
      <c r="BQ182" s="68">
        <v>0</v>
      </c>
      <c r="BR182" s="68">
        <v>0</v>
      </c>
      <c r="BS182" s="68">
        <v>0</v>
      </c>
      <c r="BT182" s="68">
        <v>0</v>
      </c>
      <c r="BU182" s="68">
        <v>0</v>
      </c>
      <c r="BV182" s="68">
        <v>0</v>
      </c>
      <c r="BW182" s="68">
        <v>0</v>
      </c>
      <c r="BX182" s="68">
        <v>0</v>
      </c>
      <c r="BY182" s="68">
        <v>0</v>
      </c>
      <c r="BZ182" s="68">
        <v>0</v>
      </c>
      <c r="CA182" s="68">
        <v>0</v>
      </c>
      <c r="CB182" s="68">
        <v>0</v>
      </c>
      <c r="CC182" s="68">
        <v>0</v>
      </c>
      <c r="CD182" s="68">
        <v>0</v>
      </c>
      <c r="CE182" s="68">
        <v>0</v>
      </c>
      <c r="CF182" s="68">
        <v>0</v>
      </c>
      <c r="CG182" s="68">
        <v>0</v>
      </c>
      <c r="CH182" s="68">
        <v>0</v>
      </c>
      <c r="CI182" s="68">
        <v>0</v>
      </c>
      <c r="CJ182" s="68">
        <v>0</v>
      </c>
      <c r="CK182" s="68">
        <v>0</v>
      </c>
      <c r="CL182" s="68">
        <v>0</v>
      </c>
      <c r="CM182" s="68">
        <v>0</v>
      </c>
      <c r="CN182" s="68">
        <v>0</v>
      </c>
      <c r="CO182" s="68">
        <v>0</v>
      </c>
      <c r="CP182" s="68">
        <v>0</v>
      </c>
      <c r="CQ182" s="68">
        <v>0</v>
      </c>
      <c r="CR182" s="68">
        <v>0</v>
      </c>
      <c r="CS182" s="68">
        <v>0</v>
      </c>
      <c r="CT182" s="68">
        <v>0</v>
      </c>
      <c r="CU182" s="68">
        <v>0</v>
      </c>
      <c r="CV182" s="68">
        <v>0</v>
      </c>
      <c r="CW182" s="68">
        <v>0</v>
      </c>
      <c r="CX182" s="68">
        <v>0</v>
      </c>
      <c r="CY182" s="68">
        <v>0</v>
      </c>
      <c r="CZ182" s="68">
        <v>0</v>
      </c>
      <c r="DA182" s="68">
        <v>0</v>
      </c>
      <c r="DB182" s="68">
        <v>0</v>
      </c>
      <c r="DC182" s="68">
        <v>0</v>
      </c>
      <c r="DD182" s="68">
        <v>0</v>
      </c>
      <c r="DE182" s="68">
        <v>0</v>
      </c>
      <c r="DF182" s="68">
        <v>0</v>
      </c>
      <c r="DG182" s="68">
        <v>0</v>
      </c>
      <c r="DH182" s="68">
        <v>0</v>
      </c>
      <c r="DI182" s="68">
        <v>0</v>
      </c>
      <c r="DJ182" s="68">
        <v>0</v>
      </c>
      <c r="DK182" s="68">
        <v>0</v>
      </c>
      <c r="DL182" s="68">
        <v>0</v>
      </c>
      <c r="DM182" s="68">
        <v>0</v>
      </c>
      <c r="DN182" s="68">
        <v>0</v>
      </c>
      <c r="DO182" s="68">
        <v>0</v>
      </c>
      <c r="DP182" s="68">
        <v>0</v>
      </c>
      <c r="DQ182" s="68">
        <v>0</v>
      </c>
      <c r="DR182" s="68">
        <v>0</v>
      </c>
      <c r="DS182" s="68">
        <v>0</v>
      </c>
      <c r="DT182" s="68">
        <v>0</v>
      </c>
      <c r="DU182" s="68">
        <v>0</v>
      </c>
      <c r="DV182" s="68">
        <v>0</v>
      </c>
      <c r="DW182" s="68">
        <v>0</v>
      </c>
      <c r="DX182" s="68">
        <v>0</v>
      </c>
      <c r="DY182" s="68">
        <v>0</v>
      </c>
      <c r="DZ182" s="68">
        <v>0</v>
      </c>
      <c r="EA182" s="68">
        <v>0</v>
      </c>
      <c r="EB182" s="68">
        <v>0</v>
      </c>
      <c r="EC182" s="68">
        <v>0</v>
      </c>
      <c r="ED182" s="68">
        <v>0</v>
      </c>
      <c r="EE182" s="68">
        <v>0</v>
      </c>
      <c r="EF182" s="68">
        <v>0</v>
      </c>
      <c r="EG182" s="68">
        <v>0</v>
      </c>
      <c r="EH182" s="68">
        <v>0</v>
      </c>
      <c r="EI182" s="68">
        <v>0</v>
      </c>
      <c r="EJ182" s="68">
        <v>0</v>
      </c>
      <c r="EK182" s="68">
        <v>0</v>
      </c>
      <c r="EL182" s="68">
        <v>0</v>
      </c>
      <c r="EM182" s="68">
        <v>0</v>
      </c>
      <c r="EN182" s="68">
        <v>0</v>
      </c>
      <c r="EO182" s="68">
        <v>0</v>
      </c>
      <c r="EP182" s="68">
        <v>0</v>
      </c>
      <c r="EQ182" s="68">
        <v>0</v>
      </c>
      <c r="ER182" s="68">
        <v>0</v>
      </c>
      <c r="ES182" s="68">
        <v>0</v>
      </c>
      <c r="ET182" s="68">
        <v>0</v>
      </c>
      <c r="EU182" s="68">
        <v>0</v>
      </c>
      <c r="EV182" s="68">
        <v>0</v>
      </c>
      <c r="EW182" s="68">
        <v>0</v>
      </c>
      <c r="EX182" s="68">
        <v>0</v>
      </c>
      <c r="EY182" s="68">
        <v>0</v>
      </c>
      <c r="EZ182" s="68">
        <v>0</v>
      </c>
      <c r="FA182" s="68">
        <v>0</v>
      </c>
      <c r="FB182" s="68">
        <v>0</v>
      </c>
      <c r="FC182" s="68">
        <v>0</v>
      </c>
      <c r="FD182" s="94">
        <v>0</v>
      </c>
      <c r="FE182" s="68">
        <v>0</v>
      </c>
      <c r="FF182" s="68">
        <v>0</v>
      </c>
      <c r="FG182" s="68">
        <v>0</v>
      </c>
      <c r="FH182" s="68">
        <v>0</v>
      </c>
      <c r="FI182" s="68">
        <v>0</v>
      </c>
      <c r="FJ182" s="68">
        <v>0</v>
      </c>
      <c r="FK182" s="68">
        <v>0</v>
      </c>
      <c r="FL182" s="68">
        <v>0</v>
      </c>
      <c r="FM182" s="68">
        <v>0</v>
      </c>
      <c r="FN182" s="68">
        <v>0</v>
      </c>
      <c r="FO182" s="68">
        <v>0</v>
      </c>
      <c r="FP182" s="67"/>
      <c r="FQ182" s="68"/>
      <c r="FR182" s="69"/>
      <c r="FS182" s="69"/>
      <c r="FT182" s="69"/>
      <c r="FU182" s="69"/>
      <c r="FV182" s="69"/>
      <c r="FW182" s="69"/>
      <c r="FX182" s="69"/>
      <c r="FY182" s="69"/>
      <c r="FZ182" s="69"/>
      <c r="GA182" s="69"/>
      <c r="GB182" s="69"/>
      <c r="GC182" s="69"/>
      <c r="GD182" s="69"/>
      <c r="GE182" s="69"/>
      <c r="GF182" s="69"/>
      <c r="GG182" s="165"/>
    </row>
    <row r="183" spans="1:189" s="66" customFormat="1" x14ac:dyDescent="0.2">
      <c r="A183"/>
      <c r="B183" s="82">
        <v>45566</v>
      </c>
      <c r="C183" s="68">
        <v>0</v>
      </c>
      <c r="D183" s="68">
        <v>0</v>
      </c>
      <c r="E183" s="68">
        <v>0</v>
      </c>
      <c r="F183" s="68">
        <v>0</v>
      </c>
      <c r="G183" s="68">
        <v>0</v>
      </c>
      <c r="H183" s="68">
        <v>0</v>
      </c>
      <c r="I183" s="68">
        <v>0</v>
      </c>
      <c r="J183" s="68">
        <v>0</v>
      </c>
      <c r="K183" s="68">
        <v>0</v>
      </c>
      <c r="L183" s="68">
        <v>0</v>
      </c>
      <c r="M183" s="68">
        <v>0</v>
      </c>
      <c r="N183" s="68">
        <v>0</v>
      </c>
      <c r="O183" s="68">
        <v>0</v>
      </c>
      <c r="P183" s="68">
        <v>0</v>
      </c>
      <c r="Q183" s="68">
        <v>0</v>
      </c>
      <c r="R183" s="68">
        <v>0</v>
      </c>
      <c r="S183" s="68">
        <v>0</v>
      </c>
      <c r="T183" s="68">
        <v>0</v>
      </c>
      <c r="U183" s="68">
        <v>0</v>
      </c>
      <c r="V183" s="68">
        <v>0</v>
      </c>
      <c r="W183" s="68">
        <v>0</v>
      </c>
      <c r="X183" s="68">
        <v>0</v>
      </c>
      <c r="Y183" s="68">
        <v>0</v>
      </c>
      <c r="Z183" s="68">
        <v>0</v>
      </c>
      <c r="AA183" s="68">
        <v>0</v>
      </c>
      <c r="AB183" s="68">
        <v>0</v>
      </c>
      <c r="AC183" s="68">
        <v>0</v>
      </c>
      <c r="AD183" s="68">
        <v>0</v>
      </c>
      <c r="AE183" s="68">
        <v>0</v>
      </c>
      <c r="AF183" s="68">
        <v>0</v>
      </c>
      <c r="AG183" s="68">
        <v>0</v>
      </c>
      <c r="AH183" s="68">
        <v>0</v>
      </c>
      <c r="AI183" s="68">
        <v>0</v>
      </c>
      <c r="AJ183" s="68">
        <v>0</v>
      </c>
      <c r="AK183" s="68">
        <v>0</v>
      </c>
      <c r="AL183" s="68">
        <v>0</v>
      </c>
      <c r="AM183" s="68">
        <v>0</v>
      </c>
      <c r="AN183" s="68">
        <v>0</v>
      </c>
      <c r="AO183" s="68">
        <v>0</v>
      </c>
      <c r="AP183" s="68">
        <v>0</v>
      </c>
      <c r="AQ183" s="68">
        <v>0</v>
      </c>
      <c r="AR183" s="68">
        <v>0</v>
      </c>
      <c r="AS183" s="68">
        <v>0</v>
      </c>
      <c r="AT183" s="68">
        <v>0</v>
      </c>
      <c r="AU183" s="68">
        <v>0</v>
      </c>
      <c r="AV183" s="68">
        <v>0</v>
      </c>
      <c r="AW183" s="68">
        <v>0</v>
      </c>
      <c r="AX183" s="68">
        <v>0</v>
      </c>
      <c r="AY183" s="68">
        <v>0</v>
      </c>
      <c r="AZ183" s="68">
        <v>0</v>
      </c>
      <c r="BA183" s="68">
        <v>0</v>
      </c>
      <c r="BB183" s="68">
        <v>0</v>
      </c>
      <c r="BC183" s="68">
        <v>0</v>
      </c>
      <c r="BD183" s="68">
        <v>0</v>
      </c>
      <c r="BE183" s="68">
        <v>0</v>
      </c>
      <c r="BF183" s="68">
        <v>0</v>
      </c>
      <c r="BG183" s="68">
        <v>0</v>
      </c>
      <c r="BH183" s="68">
        <v>0</v>
      </c>
      <c r="BI183" s="68">
        <v>0</v>
      </c>
      <c r="BJ183" s="68">
        <v>0</v>
      </c>
      <c r="BK183" s="68">
        <v>0</v>
      </c>
      <c r="BL183" s="68">
        <v>0</v>
      </c>
      <c r="BM183" s="68">
        <v>0</v>
      </c>
      <c r="BN183" s="68">
        <v>0</v>
      </c>
      <c r="BO183" s="68">
        <v>0</v>
      </c>
      <c r="BP183" s="68">
        <v>0</v>
      </c>
      <c r="BQ183" s="68">
        <v>0</v>
      </c>
      <c r="BR183" s="68">
        <v>0</v>
      </c>
      <c r="BS183" s="68">
        <v>0</v>
      </c>
      <c r="BT183" s="68">
        <v>0</v>
      </c>
      <c r="BU183" s="68">
        <v>0</v>
      </c>
      <c r="BV183" s="68">
        <v>0</v>
      </c>
      <c r="BW183" s="68">
        <v>0</v>
      </c>
      <c r="BX183" s="68">
        <v>0</v>
      </c>
      <c r="BY183" s="68">
        <v>0</v>
      </c>
      <c r="BZ183" s="68">
        <v>0</v>
      </c>
      <c r="CA183" s="68">
        <v>0</v>
      </c>
      <c r="CB183" s="68">
        <v>0</v>
      </c>
      <c r="CC183" s="68">
        <v>0</v>
      </c>
      <c r="CD183" s="68">
        <v>0</v>
      </c>
      <c r="CE183" s="68">
        <v>0</v>
      </c>
      <c r="CF183" s="68">
        <v>0</v>
      </c>
      <c r="CG183" s="68">
        <v>0</v>
      </c>
      <c r="CH183" s="68">
        <v>0</v>
      </c>
      <c r="CI183" s="68">
        <v>0</v>
      </c>
      <c r="CJ183" s="68">
        <v>0</v>
      </c>
      <c r="CK183" s="68">
        <v>0</v>
      </c>
      <c r="CL183" s="68">
        <v>0</v>
      </c>
      <c r="CM183" s="68">
        <v>0</v>
      </c>
      <c r="CN183" s="68">
        <v>0</v>
      </c>
      <c r="CO183" s="68">
        <v>0</v>
      </c>
      <c r="CP183" s="68">
        <v>0</v>
      </c>
      <c r="CQ183" s="68">
        <v>0</v>
      </c>
      <c r="CR183" s="68">
        <v>0</v>
      </c>
      <c r="CS183" s="68">
        <v>0</v>
      </c>
      <c r="CT183" s="68">
        <v>0</v>
      </c>
      <c r="CU183" s="68">
        <v>0</v>
      </c>
      <c r="CV183" s="68">
        <v>0</v>
      </c>
      <c r="CW183" s="68">
        <v>0</v>
      </c>
      <c r="CX183" s="68">
        <v>0</v>
      </c>
      <c r="CY183" s="68">
        <v>0</v>
      </c>
      <c r="CZ183" s="68">
        <v>0</v>
      </c>
      <c r="DA183" s="68">
        <v>0</v>
      </c>
      <c r="DB183" s="68">
        <v>0</v>
      </c>
      <c r="DC183" s="68">
        <v>0</v>
      </c>
      <c r="DD183" s="68">
        <v>0</v>
      </c>
      <c r="DE183" s="68">
        <v>0</v>
      </c>
      <c r="DF183" s="68">
        <v>0</v>
      </c>
      <c r="DG183" s="68">
        <v>0</v>
      </c>
      <c r="DH183" s="68">
        <v>0</v>
      </c>
      <c r="DI183" s="68">
        <v>0</v>
      </c>
      <c r="DJ183" s="68">
        <v>0</v>
      </c>
      <c r="DK183" s="68">
        <v>0</v>
      </c>
      <c r="DL183" s="68">
        <v>0</v>
      </c>
      <c r="DM183" s="68">
        <v>0</v>
      </c>
      <c r="DN183" s="68">
        <v>0</v>
      </c>
      <c r="DO183" s="68">
        <v>0</v>
      </c>
      <c r="DP183" s="68">
        <v>0</v>
      </c>
      <c r="DQ183" s="68">
        <v>0</v>
      </c>
      <c r="DR183" s="68">
        <v>0</v>
      </c>
      <c r="DS183" s="68">
        <v>0</v>
      </c>
      <c r="DT183" s="68">
        <v>0</v>
      </c>
      <c r="DU183" s="68">
        <v>0</v>
      </c>
      <c r="DV183" s="68">
        <v>0</v>
      </c>
      <c r="DW183" s="68">
        <v>0</v>
      </c>
      <c r="DX183" s="68">
        <v>0</v>
      </c>
      <c r="DY183" s="68">
        <v>0</v>
      </c>
      <c r="DZ183" s="68">
        <v>0</v>
      </c>
      <c r="EA183" s="68">
        <v>0</v>
      </c>
      <c r="EB183" s="68">
        <v>0</v>
      </c>
      <c r="EC183" s="68">
        <v>0</v>
      </c>
      <c r="ED183" s="68">
        <v>0</v>
      </c>
      <c r="EE183" s="68">
        <v>0</v>
      </c>
      <c r="EF183" s="68">
        <v>0</v>
      </c>
      <c r="EG183" s="68">
        <v>0</v>
      </c>
      <c r="EH183" s="68">
        <v>0</v>
      </c>
      <c r="EI183" s="68">
        <v>0</v>
      </c>
      <c r="EJ183" s="68">
        <v>0</v>
      </c>
      <c r="EK183" s="68">
        <v>0</v>
      </c>
      <c r="EL183" s="68">
        <v>0</v>
      </c>
      <c r="EM183" s="68">
        <v>0</v>
      </c>
      <c r="EN183" s="68">
        <v>0</v>
      </c>
      <c r="EO183" s="68">
        <v>0</v>
      </c>
      <c r="EP183" s="68">
        <v>0</v>
      </c>
      <c r="EQ183" s="68">
        <v>0</v>
      </c>
      <c r="ER183" s="68">
        <v>0</v>
      </c>
      <c r="ES183" s="68">
        <v>0</v>
      </c>
      <c r="ET183" s="68">
        <v>0</v>
      </c>
      <c r="EU183" s="68">
        <v>0</v>
      </c>
      <c r="EV183" s="68">
        <v>0</v>
      </c>
      <c r="EW183" s="68">
        <v>0</v>
      </c>
      <c r="EX183" s="68">
        <v>0</v>
      </c>
      <c r="EY183" s="68">
        <v>0</v>
      </c>
      <c r="EZ183" s="68">
        <v>0</v>
      </c>
      <c r="FA183" s="68">
        <v>0</v>
      </c>
      <c r="FB183" s="68">
        <v>0</v>
      </c>
      <c r="FC183" s="68">
        <v>0</v>
      </c>
      <c r="FD183" s="68">
        <v>0</v>
      </c>
      <c r="FE183" s="94">
        <v>0</v>
      </c>
      <c r="FF183" s="68">
        <v>0</v>
      </c>
      <c r="FG183" s="68">
        <v>0</v>
      </c>
      <c r="FH183" s="68">
        <v>0</v>
      </c>
      <c r="FI183" s="68">
        <v>0</v>
      </c>
      <c r="FJ183" s="68">
        <v>0</v>
      </c>
      <c r="FK183" s="68">
        <v>0</v>
      </c>
      <c r="FL183" s="68">
        <v>0</v>
      </c>
      <c r="FM183" s="68">
        <v>0</v>
      </c>
      <c r="FN183" s="68">
        <v>0</v>
      </c>
      <c r="FO183" s="68">
        <v>0</v>
      </c>
      <c r="FP183" s="68">
        <v>0</v>
      </c>
      <c r="FQ183" s="67"/>
      <c r="FR183" s="68"/>
      <c r="FS183" s="69"/>
      <c r="FT183" s="69"/>
      <c r="FU183" s="69"/>
      <c r="FV183" s="69"/>
      <c r="FW183" s="69"/>
      <c r="FX183" s="69"/>
      <c r="FY183" s="69"/>
      <c r="FZ183" s="69"/>
      <c r="GA183" s="69"/>
      <c r="GB183" s="69"/>
      <c r="GC183" s="69"/>
      <c r="GD183" s="69"/>
      <c r="GE183" s="69"/>
      <c r="GF183" s="69"/>
      <c r="GG183" s="165"/>
    </row>
    <row r="184" spans="1:189" s="66" customFormat="1" x14ac:dyDescent="0.2">
      <c r="A184"/>
      <c r="B184" s="82">
        <v>45597</v>
      </c>
      <c r="C184" s="68">
        <v>0</v>
      </c>
      <c r="D184" s="68">
        <v>0</v>
      </c>
      <c r="E184" s="68">
        <v>0</v>
      </c>
      <c r="F184" s="68">
        <v>0</v>
      </c>
      <c r="G184" s="68">
        <v>0</v>
      </c>
      <c r="H184" s="68">
        <v>0</v>
      </c>
      <c r="I184" s="68">
        <v>0</v>
      </c>
      <c r="J184" s="68">
        <v>0</v>
      </c>
      <c r="K184" s="68">
        <v>0</v>
      </c>
      <c r="L184" s="68">
        <v>0</v>
      </c>
      <c r="M184" s="68">
        <v>0</v>
      </c>
      <c r="N184" s="68">
        <v>0</v>
      </c>
      <c r="O184" s="68">
        <v>0</v>
      </c>
      <c r="P184" s="68">
        <v>0</v>
      </c>
      <c r="Q184" s="68">
        <v>0</v>
      </c>
      <c r="R184" s="68">
        <v>0</v>
      </c>
      <c r="S184" s="68">
        <v>0</v>
      </c>
      <c r="T184" s="68">
        <v>0</v>
      </c>
      <c r="U184" s="68">
        <v>0</v>
      </c>
      <c r="V184" s="68">
        <v>0</v>
      </c>
      <c r="W184" s="68">
        <v>0</v>
      </c>
      <c r="X184" s="68">
        <v>0</v>
      </c>
      <c r="Y184" s="68">
        <v>0</v>
      </c>
      <c r="Z184" s="68">
        <v>0</v>
      </c>
      <c r="AA184" s="68">
        <v>0</v>
      </c>
      <c r="AB184" s="68">
        <v>0</v>
      </c>
      <c r="AC184" s="68">
        <v>0</v>
      </c>
      <c r="AD184" s="68">
        <v>0</v>
      </c>
      <c r="AE184" s="68">
        <v>0</v>
      </c>
      <c r="AF184" s="68">
        <v>0</v>
      </c>
      <c r="AG184" s="68">
        <v>0</v>
      </c>
      <c r="AH184" s="68">
        <v>0</v>
      </c>
      <c r="AI184" s="68">
        <v>0</v>
      </c>
      <c r="AJ184" s="68">
        <v>0</v>
      </c>
      <c r="AK184" s="68">
        <v>0</v>
      </c>
      <c r="AL184" s="68">
        <v>0</v>
      </c>
      <c r="AM184" s="68">
        <v>0</v>
      </c>
      <c r="AN184" s="68">
        <v>0</v>
      </c>
      <c r="AO184" s="68">
        <v>0</v>
      </c>
      <c r="AP184" s="68">
        <v>0</v>
      </c>
      <c r="AQ184" s="68">
        <v>0</v>
      </c>
      <c r="AR184" s="68">
        <v>0</v>
      </c>
      <c r="AS184" s="68">
        <v>0</v>
      </c>
      <c r="AT184" s="68">
        <v>0</v>
      </c>
      <c r="AU184" s="68">
        <v>0</v>
      </c>
      <c r="AV184" s="68">
        <v>0</v>
      </c>
      <c r="AW184" s="68">
        <v>0</v>
      </c>
      <c r="AX184" s="68">
        <v>0</v>
      </c>
      <c r="AY184" s="68">
        <v>0</v>
      </c>
      <c r="AZ184" s="68">
        <v>0</v>
      </c>
      <c r="BA184" s="68">
        <v>0</v>
      </c>
      <c r="BB184" s="68">
        <v>0</v>
      </c>
      <c r="BC184" s="68">
        <v>0</v>
      </c>
      <c r="BD184" s="68">
        <v>0</v>
      </c>
      <c r="BE184" s="68">
        <v>0</v>
      </c>
      <c r="BF184" s="68">
        <v>0</v>
      </c>
      <c r="BG184" s="68">
        <v>0</v>
      </c>
      <c r="BH184" s="68">
        <v>0</v>
      </c>
      <c r="BI184" s="68">
        <v>0</v>
      </c>
      <c r="BJ184" s="68">
        <v>0</v>
      </c>
      <c r="BK184" s="68">
        <v>0</v>
      </c>
      <c r="BL184" s="68">
        <v>0</v>
      </c>
      <c r="BM184" s="68">
        <v>0</v>
      </c>
      <c r="BN184" s="68">
        <v>0</v>
      </c>
      <c r="BO184" s="68">
        <v>0</v>
      </c>
      <c r="BP184" s="68">
        <v>0</v>
      </c>
      <c r="BQ184" s="68">
        <v>0</v>
      </c>
      <c r="BR184" s="68">
        <v>0</v>
      </c>
      <c r="BS184" s="68">
        <v>0</v>
      </c>
      <c r="BT184" s="68">
        <v>0</v>
      </c>
      <c r="BU184" s="68">
        <v>0</v>
      </c>
      <c r="BV184" s="68">
        <v>0</v>
      </c>
      <c r="BW184" s="68">
        <v>0</v>
      </c>
      <c r="BX184" s="68">
        <v>0</v>
      </c>
      <c r="BY184" s="68">
        <v>0</v>
      </c>
      <c r="BZ184" s="68">
        <v>0</v>
      </c>
      <c r="CA184" s="68">
        <v>0</v>
      </c>
      <c r="CB184" s="68">
        <v>0</v>
      </c>
      <c r="CC184" s="68">
        <v>0</v>
      </c>
      <c r="CD184" s="68">
        <v>0</v>
      </c>
      <c r="CE184" s="68">
        <v>0</v>
      </c>
      <c r="CF184" s="68">
        <v>0</v>
      </c>
      <c r="CG184" s="68">
        <v>0</v>
      </c>
      <c r="CH184" s="68">
        <v>0</v>
      </c>
      <c r="CI184" s="68">
        <v>0</v>
      </c>
      <c r="CJ184" s="68">
        <v>0</v>
      </c>
      <c r="CK184" s="68">
        <v>0</v>
      </c>
      <c r="CL184" s="68">
        <v>0</v>
      </c>
      <c r="CM184" s="68">
        <v>0</v>
      </c>
      <c r="CN184" s="68">
        <v>0</v>
      </c>
      <c r="CO184" s="68">
        <v>0</v>
      </c>
      <c r="CP184" s="68">
        <v>0</v>
      </c>
      <c r="CQ184" s="68">
        <v>0</v>
      </c>
      <c r="CR184" s="68">
        <v>0</v>
      </c>
      <c r="CS184" s="68">
        <v>0</v>
      </c>
      <c r="CT184" s="68">
        <v>0</v>
      </c>
      <c r="CU184" s="68">
        <v>0</v>
      </c>
      <c r="CV184" s="68">
        <v>0</v>
      </c>
      <c r="CW184" s="68">
        <v>0</v>
      </c>
      <c r="CX184" s="68">
        <v>0</v>
      </c>
      <c r="CY184" s="68">
        <v>0</v>
      </c>
      <c r="CZ184" s="68">
        <v>0</v>
      </c>
      <c r="DA184" s="68">
        <v>0</v>
      </c>
      <c r="DB184" s="68">
        <v>0</v>
      </c>
      <c r="DC184" s="68">
        <v>0</v>
      </c>
      <c r="DD184" s="68">
        <v>0</v>
      </c>
      <c r="DE184" s="68">
        <v>0</v>
      </c>
      <c r="DF184" s="68">
        <v>0</v>
      </c>
      <c r="DG184" s="68">
        <v>0</v>
      </c>
      <c r="DH184" s="68">
        <v>0</v>
      </c>
      <c r="DI184" s="68">
        <v>0</v>
      </c>
      <c r="DJ184" s="68">
        <v>0</v>
      </c>
      <c r="DK184" s="68">
        <v>0</v>
      </c>
      <c r="DL184" s="68">
        <v>0</v>
      </c>
      <c r="DM184" s="68">
        <v>0</v>
      </c>
      <c r="DN184" s="68">
        <v>0</v>
      </c>
      <c r="DO184" s="68">
        <v>0</v>
      </c>
      <c r="DP184" s="68">
        <v>0</v>
      </c>
      <c r="DQ184" s="68">
        <v>0</v>
      </c>
      <c r="DR184" s="68">
        <v>0</v>
      </c>
      <c r="DS184" s="68">
        <v>0</v>
      </c>
      <c r="DT184" s="68">
        <v>0</v>
      </c>
      <c r="DU184" s="68">
        <v>0</v>
      </c>
      <c r="DV184" s="68">
        <v>0</v>
      </c>
      <c r="DW184" s="68">
        <v>0</v>
      </c>
      <c r="DX184" s="68">
        <v>0</v>
      </c>
      <c r="DY184" s="68">
        <v>0</v>
      </c>
      <c r="DZ184" s="68">
        <v>0</v>
      </c>
      <c r="EA184" s="68">
        <v>0</v>
      </c>
      <c r="EB184" s="68">
        <v>0</v>
      </c>
      <c r="EC184" s="68">
        <v>0</v>
      </c>
      <c r="ED184" s="68">
        <v>0</v>
      </c>
      <c r="EE184" s="68">
        <v>0</v>
      </c>
      <c r="EF184" s="68">
        <v>0</v>
      </c>
      <c r="EG184" s="68">
        <v>0</v>
      </c>
      <c r="EH184" s="68">
        <v>0</v>
      </c>
      <c r="EI184" s="68">
        <v>0</v>
      </c>
      <c r="EJ184" s="68">
        <v>0</v>
      </c>
      <c r="EK184" s="68">
        <v>0</v>
      </c>
      <c r="EL184" s="68">
        <v>0</v>
      </c>
      <c r="EM184" s="68">
        <v>0</v>
      </c>
      <c r="EN184" s="68">
        <v>0</v>
      </c>
      <c r="EO184" s="68">
        <v>0</v>
      </c>
      <c r="EP184" s="68">
        <v>0</v>
      </c>
      <c r="EQ184" s="68">
        <v>0</v>
      </c>
      <c r="ER184" s="68">
        <v>0</v>
      </c>
      <c r="ES184" s="68">
        <v>0</v>
      </c>
      <c r="ET184" s="68">
        <v>0</v>
      </c>
      <c r="EU184" s="68">
        <v>0</v>
      </c>
      <c r="EV184" s="68">
        <v>0</v>
      </c>
      <c r="EW184" s="68">
        <v>0</v>
      </c>
      <c r="EX184" s="68">
        <v>0</v>
      </c>
      <c r="EY184" s="68">
        <v>0</v>
      </c>
      <c r="EZ184" s="68">
        <v>0</v>
      </c>
      <c r="FA184" s="68">
        <v>0</v>
      </c>
      <c r="FB184" s="68">
        <v>0</v>
      </c>
      <c r="FC184" s="68">
        <v>0</v>
      </c>
      <c r="FD184" s="68">
        <v>0</v>
      </c>
      <c r="FE184" s="68">
        <v>0</v>
      </c>
      <c r="FF184" s="94">
        <v>0</v>
      </c>
      <c r="FG184" s="68">
        <v>0</v>
      </c>
      <c r="FH184" s="68">
        <v>0</v>
      </c>
      <c r="FI184" s="68">
        <v>0</v>
      </c>
      <c r="FJ184" s="68">
        <v>0</v>
      </c>
      <c r="FK184" s="68">
        <v>0</v>
      </c>
      <c r="FL184" s="68">
        <v>0</v>
      </c>
      <c r="FM184" s="68">
        <v>0</v>
      </c>
      <c r="FN184" s="68">
        <v>0</v>
      </c>
      <c r="FO184" s="68">
        <v>0</v>
      </c>
      <c r="FP184" s="68">
        <v>0</v>
      </c>
      <c r="FQ184" s="68">
        <v>0</v>
      </c>
      <c r="FR184" s="67"/>
      <c r="FS184" s="68"/>
      <c r="FT184" s="69"/>
      <c r="FU184" s="69"/>
      <c r="FV184" s="69"/>
      <c r="FW184" s="69"/>
      <c r="FX184" s="69"/>
      <c r="FY184" s="69"/>
      <c r="FZ184" s="69"/>
      <c r="GA184" s="69"/>
      <c r="GB184" s="69"/>
      <c r="GC184" s="69"/>
      <c r="GD184" s="69"/>
      <c r="GE184" s="69"/>
      <c r="GF184" s="69"/>
      <c r="GG184" s="165"/>
    </row>
    <row r="185" spans="1:189" s="66" customFormat="1" x14ac:dyDescent="0.2">
      <c r="A185"/>
      <c r="B185" s="82">
        <v>45627</v>
      </c>
      <c r="C185" s="68">
        <v>0</v>
      </c>
      <c r="D185" s="68">
        <v>0</v>
      </c>
      <c r="E185" s="68">
        <v>0</v>
      </c>
      <c r="F185" s="68">
        <v>0</v>
      </c>
      <c r="G185" s="68">
        <v>0</v>
      </c>
      <c r="H185" s="68">
        <v>0</v>
      </c>
      <c r="I185" s="68">
        <v>0</v>
      </c>
      <c r="J185" s="68">
        <v>0</v>
      </c>
      <c r="K185" s="68">
        <v>0</v>
      </c>
      <c r="L185" s="68">
        <v>0</v>
      </c>
      <c r="M185" s="68">
        <v>0</v>
      </c>
      <c r="N185" s="68">
        <v>0</v>
      </c>
      <c r="O185" s="68">
        <v>0</v>
      </c>
      <c r="P185" s="68">
        <v>0</v>
      </c>
      <c r="Q185" s="68">
        <v>3.0350958268030581E-3</v>
      </c>
      <c r="R185" s="68">
        <v>5.3439451415897565E-3</v>
      </c>
      <c r="S185" s="68">
        <v>7.6003455959749999E-3</v>
      </c>
      <c r="T185" s="68">
        <v>1.0009709135815115E-2</v>
      </c>
      <c r="U185" s="68">
        <v>1.2145252495130876E-2</v>
      </c>
      <c r="V185" s="68">
        <v>1.4546211654064223E-2</v>
      </c>
      <c r="W185" s="68">
        <v>1.6662806350197457E-2</v>
      </c>
      <c r="X185" s="68">
        <v>1.9019144504085261E-2</v>
      </c>
      <c r="Y185" s="68">
        <v>2.1199687099922926E-2</v>
      </c>
      <c r="Z185" s="68">
        <v>2.3617214740767167E-2</v>
      </c>
      <c r="AA185" s="68">
        <v>2.5567526541465213E-2</v>
      </c>
      <c r="AB185" s="68">
        <v>2.7876029686183301E-2</v>
      </c>
      <c r="AC185" s="68">
        <v>3.034618538653433E-2</v>
      </c>
      <c r="AD185" s="68">
        <v>3.2327669183999319E-2</v>
      </c>
      <c r="AE185" s="68">
        <v>3.449600742568748E-2</v>
      </c>
      <c r="AF185" s="68">
        <v>3.6812120626237288E-2</v>
      </c>
      <c r="AG185" s="68">
        <v>3.9219017273580903E-2</v>
      </c>
      <c r="AH185" s="68">
        <v>4.1321785582539405E-2</v>
      </c>
      <c r="AI185" s="68">
        <v>4.3542015194176997E-2</v>
      </c>
      <c r="AJ185" s="68">
        <v>4.5860416154212658E-2</v>
      </c>
      <c r="AK185" s="68">
        <v>4.7815344176385111E-2</v>
      </c>
      <c r="AL185" s="68">
        <v>5.0320819436265651E-2</v>
      </c>
      <c r="AM185" s="68">
        <v>5.2683186238084545E-2</v>
      </c>
      <c r="AN185" s="68">
        <v>5.4990798399344953E-2</v>
      </c>
      <c r="AO185" s="68">
        <v>5.7201226215710221E-2</v>
      </c>
      <c r="AP185" s="68">
        <v>5.9090127237482193E-2</v>
      </c>
      <c r="AQ185" s="68">
        <v>6.1210749458282976E-2</v>
      </c>
      <c r="AR185" s="68">
        <v>6.3294344134334324E-2</v>
      </c>
      <c r="AS185" s="68">
        <v>6.5438780453675349E-2</v>
      </c>
      <c r="AT185" s="68">
        <v>6.7716540759604982E-2</v>
      </c>
      <c r="AU185" s="68">
        <v>6.9705722850400775E-2</v>
      </c>
      <c r="AV185" s="68">
        <v>7.1778787944666078E-2</v>
      </c>
      <c r="AW185" s="68">
        <v>7.3752169938089196E-2</v>
      </c>
      <c r="AX185" s="68">
        <v>7.588996604563647E-2</v>
      </c>
      <c r="AY185" s="68">
        <v>7.7965914039793915E-2</v>
      </c>
      <c r="AZ185" s="68">
        <v>8.0288812237711227E-2</v>
      </c>
      <c r="BA185" s="68">
        <v>8.1897723016368218E-2</v>
      </c>
      <c r="BB185" s="68">
        <v>8.3820780309764586E-2</v>
      </c>
      <c r="BC185" s="68">
        <v>8.5643307906650534E-2</v>
      </c>
      <c r="BD185" s="68">
        <v>8.7676654600045367E-2</v>
      </c>
      <c r="BE185" s="68">
        <v>8.9308967513233029E-2</v>
      </c>
      <c r="BF185" s="68">
        <v>9.111753424537028E-2</v>
      </c>
      <c r="BG185" s="68">
        <v>9.2865133535937616E-2</v>
      </c>
      <c r="BH185" s="68">
        <v>9.4627006223646504E-2</v>
      </c>
      <c r="BI185" s="68">
        <v>9.6504544061758679E-2</v>
      </c>
      <c r="BJ185" s="68">
        <v>9.8376139491023196E-2</v>
      </c>
      <c r="BK185" s="68">
        <v>0.10013432140156908</v>
      </c>
      <c r="BL185" s="68">
        <v>0.10177343435654507</v>
      </c>
      <c r="BM185" s="68">
        <v>0.10285217480434028</v>
      </c>
      <c r="BN185" s="68">
        <v>0.1042022432501426</v>
      </c>
      <c r="BO185" s="68">
        <v>0.10551031502681951</v>
      </c>
      <c r="BP185" s="68">
        <v>0.1072357896070173</v>
      </c>
      <c r="BQ185" s="68">
        <v>0.10851393626356298</v>
      </c>
      <c r="BR185" s="68">
        <v>0.10996391323801902</v>
      </c>
      <c r="BS185" s="68">
        <v>0.1114452194051978</v>
      </c>
      <c r="BT185" s="68">
        <v>0.1128611540402602</v>
      </c>
      <c r="BU185" s="68">
        <v>0.11437904574769675</v>
      </c>
      <c r="BV185" s="68">
        <v>0.11598232317307122</v>
      </c>
      <c r="BW185" s="68">
        <v>0.11741491811088167</v>
      </c>
      <c r="BX185" s="68">
        <v>0.11919644952848785</v>
      </c>
      <c r="BY185" s="68">
        <v>0.12063526974128536</v>
      </c>
      <c r="BZ185" s="68">
        <v>0.12225807828970403</v>
      </c>
      <c r="CA185" s="68">
        <v>0.12365223754979127</v>
      </c>
      <c r="CB185" s="68">
        <v>0.12498449495132036</v>
      </c>
      <c r="CC185" s="68">
        <v>0.1266407915515515</v>
      </c>
      <c r="CD185" s="68">
        <v>0.12813795380503734</v>
      </c>
      <c r="CE185" s="68">
        <v>0.1296027793889607</v>
      </c>
      <c r="CF185" s="68">
        <v>0.13097012239352068</v>
      </c>
      <c r="CG185" s="68">
        <v>0.13222207967950794</v>
      </c>
      <c r="CH185" s="68">
        <v>0.13358920950012987</v>
      </c>
      <c r="CI185" s="68">
        <v>0.13485031794317592</v>
      </c>
      <c r="CJ185" s="68">
        <v>0.13594456230744356</v>
      </c>
      <c r="CK185" s="68">
        <v>0.1379045655089044</v>
      </c>
      <c r="CL185" s="68">
        <v>0.13967095281381603</v>
      </c>
      <c r="CM185" s="68">
        <v>0.14162671405244964</v>
      </c>
      <c r="CN185" s="68">
        <v>0.14290675379169215</v>
      </c>
      <c r="CO185" s="68">
        <v>0.14442312946822256</v>
      </c>
      <c r="CP185" s="68">
        <v>0.14591905177367437</v>
      </c>
      <c r="CQ185" s="68">
        <v>0.1476819226305679</v>
      </c>
      <c r="CR185" s="68">
        <v>0.14931604602968207</v>
      </c>
      <c r="CS185" s="68">
        <v>0.15098993359292479</v>
      </c>
      <c r="CT185" s="68">
        <v>0.1525878688142086</v>
      </c>
      <c r="CU185" s="68">
        <v>0.15418387015424173</v>
      </c>
      <c r="CV185" s="68">
        <v>0.15584391318526514</v>
      </c>
      <c r="CW185" s="68">
        <v>0.15748722356268274</v>
      </c>
      <c r="CX185" s="68">
        <v>0.15875055445219743</v>
      </c>
      <c r="CY185" s="68">
        <v>0.15979693601043721</v>
      </c>
      <c r="CZ185" s="68">
        <v>0.16123925956655683</v>
      </c>
      <c r="DA185" s="68">
        <v>0.16259267993062565</v>
      </c>
      <c r="DB185" s="68">
        <v>0.16417371575521145</v>
      </c>
      <c r="DC185" s="68">
        <v>0.16589885162157714</v>
      </c>
      <c r="DD185" s="68">
        <v>0.1674150951357376</v>
      </c>
      <c r="DE185" s="68">
        <v>0.22557558332680117</v>
      </c>
      <c r="DF185" s="68">
        <v>0.29240138366783697</v>
      </c>
      <c r="DG185" s="68">
        <v>0.33393235060955817</v>
      </c>
      <c r="DH185" s="68">
        <v>0.27121939924609251</v>
      </c>
      <c r="DI185" s="68">
        <v>0.40437318530672428</v>
      </c>
      <c r="DJ185" s="68">
        <v>0.31396628739122434</v>
      </c>
      <c r="DK185" s="68">
        <v>0.24289262115887311</v>
      </c>
      <c r="DL185" s="68">
        <v>0.24281747715069457</v>
      </c>
      <c r="DM185" s="68">
        <v>0.27349141928337417</v>
      </c>
      <c r="DN185" s="68">
        <v>0.29486234714381965</v>
      </c>
      <c r="DO185" s="68">
        <v>0.30331858010588064</v>
      </c>
      <c r="DP185" s="68">
        <v>-2.6129167222620708E-2</v>
      </c>
      <c r="DQ185" s="68">
        <v>5.5275440049030067E-2</v>
      </c>
      <c r="DR185" s="68">
        <v>2.5590691023154477E-2</v>
      </c>
      <c r="DS185" s="68">
        <v>0.10484064380638358</v>
      </c>
      <c r="DT185" s="68">
        <v>7.7529222799512354E-2</v>
      </c>
      <c r="DU185" s="68">
        <v>8.2957529629581472E-2</v>
      </c>
      <c r="DV185" s="68">
        <v>6.252814288544073E-2</v>
      </c>
      <c r="DW185" s="68">
        <v>4.6676235555054291E-3</v>
      </c>
      <c r="DX185" s="68">
        <v>5.5508726285950161E-2</v>
      </c>
      <c r="DY185" s="68">
        <v>0.14261908358157882</v>
      </c>
      <c r="DZ185" s="68">
        <v>0.17754852523798093</v>
      </c>
      <c r="EA185" s="68">
        <v>0.22378089964543335</v>
      </c>
      <c r="EB185" s="68">
        <v>0.16130938937575934</v>
      </c>
      <c r="EC185" s="68">
        <v>0.15804584003244315</v>
      </c>
      <c r="ED185" s="68">
        <v>0.16309167350672737</v>
      </c>
      <c r="EE185" s="68">
        <v>0.15443560789962874</v>
      </c>
      <c r="EF185" s="68">
        <v>0.134389951237182</v>
      </c>
      <c r="EG185" s="68">
        <v>0.13720610152816448</v>
      </c>
      <c r="EH185" s="68">
        <v>0.13810270134695202</v>
      </c>
      <c r="EI185" s="68">
        <v>5.0598375083211522E-2</v>
      </c>
      <c r="EJ185" s="68">
        <v>3.4684967723308091E-2</v>
      </c>
      <c r="EK185" s="68">
        <v>5.0548951954510812E-2</v>
      </c>
      <c r="EL185" s="68">
        <v>8.8197407652629067E-2</v>
      </c>
      <c r="EM185" s="68">
        <v>5.1749101334308989E-2</v>
      </c>
      <c r="EN185" s="68">
        <v>-4.3804702193327216E-2</v>
      </c>
      <c r="EO185" s="68">
        <v>-1.4819472469156381E-3</v>
      </c>
      <c r="EP185" s="68">
        <v>4.7811489558640119E-2</v>
      </c>
      <c r="EQ185" s="68">
        <v>6.1622560202437171E-2</v>
      </c>
      <c r="ER185" s="68">
        <v>4.08844974836029E-2</v>
      </c>
      <c r="ES185" s="68">
        <v>-5.2015698707492675E-3</v>
      </c>
      <c r="ET185" s="68">
        <v>-4.8371491590799565E-2</v>
      </c>
      <c r="EU185" s="68">
        <v>-3.3159235673736021E-2</v>
      </c>
      <c r="EV185" s="68">
        <v>-0.22938349974282346</v>
      </c>
      <c r="EW185" s="68">
        <v>-5.4773209514067389E-2</v>
      </c>
      <c r="EX185" s="68">
        <v>-7.0983673999123198E-2</v>
      </c>
      <c r="EY185" s="68">
        <v>-8.2638750030284314E-2</v>
      </c>
      <c r="EZ185" s="68">
        <v>-4.7542294812785713E-3</v>
      </c>
      <c r="FA185" s="68">
        <v>4.7328494251587472E-2</v>
      </c>
      <c r="FB185" s="68">
        <v>6.7839282779118548E-3</v>
      </c>
      <c r="FC185" s="68">
        <v>4.9131766410553723E-2</v>
      </c>
      <c r="FD185" s="68">
        <v>1.4887514955773895E-2</v>
      </c>
      <c r="FE185" s="68">
        <v>-6.3342361060463759E-2</v>
      </c>
      <c r="FF185" s="68">
        <v>-5.9164666163837865E-3</v>
      </c>
      <c r="FG185" s="94">
        <v>-0.19328212012109702</v>
      </c>
      <c r="FH185" s="68">
        <v>-0.13132193134744341</v>
      </c>
      <c r="FI185" s="68">
        <v>-0.15857502152148584</v>
      </c>
      <c r="FJ185" s="68">
        <v>-0.17093091382446346</v>
      </c>
      <c r="FK185" s="68">
        <v>7.8817952619445464E-2</v>
      </c>
      <c r="FL185" s="68">
        <v>3.5516132017349378E-2</v>
      </c>
      <c r="FM185" s="68">
        <v>0.10206879038977945</v>
      </c>
      <c r="FN185" s="68">
        <v>6.9871202604787186E-2</v>
      </c>
      <c r="FO185" s="68">
        <v>7.883827994525916E-2</v>
      </c>
      <c r="FP185" s="68">
        <v>-4.5499084052167404E-2</v>
      </c>
      <c r="FQ185" s="68">
        <v>-2.9228839001362417E-2</v>
      </c>
      <c r="FR185" s="68">
        <v>7.520931841176548E-2</v>
      </c>
      <c r="FS185" s="67"/>
      <c r="FT185" s="68"/>
      <c r="FU185" s="69"/>
      <c r="FV185" s="69"/>
      <c r="FW185" s="69"/>
      <c r="FX185" s="69"/>
      <c r="FY185" s="69"/>
      <c r="FZ185" s="69"/>
      <c r="GA185" s="69"/>
      <c r="GB185" s="69"/>
      <c r="GC185" s="69"/>
      <c r="GD185" s="69"/>
      <c r="GE185" s="69"/>
      <c r="GF185" s="69"/>
      <c r="GG185" s="165"/>
    </row>
    <row r="186" spans="1:189" s="66" customFormat="1" x14ac:dyDescent="0.2">
      <c r="A186"/>
      <c r="B186" s="82">
        <v>45658</v>
      </c>
      <c r="C186" s="68">
        <v>0</v>
      </c>
      <c r="D186" s="68">
        <v>0</v>
      </c>
      <c r="E186" s="68">
        <v>0</v>
      </c>
      <c r="F186" s="68">
        <v>0</v>
      </c>
      <c r="G186" s="68">
        <v>0</v>
      </c>
      <c r="H186" s="68">
        <v>0</v>
      </c>
      <c r="I186" s="68">
        <v>0</v>
      </c>
      <c r="J186" s="68">
        <v>0</v>
      </c>
      <c r="K186" s="68">
        <v>0</v>
      </c>
      <c r="L186" s="68">
        <v>0</v>
      </c>
      <c r="M186" s="68">
        <v>0</v>
      </c>
      <c r="N186" s="68">
        <v>0</v>
      </c>
      <c r="O186" s="68">
        <v>0</v>
      </c>
      <c r="P186" s="68">
        <v>0</v>
      </c>
      <c r="Q186" s="68">
        <v>0</v>
      </c>
      <c r="R186" s="68">
        <v>0</v>
      </c>
      <c r="S186" s="68">
        <v>0</v>
      </c>
      <c r="T186" s="68">
        <v>0</v>
      </c>
      <c r="U186" s="68">
        <v>0</v>
      </c>
      <c r="V186" s="68">
        <v>0</v>
      </c>
      <c r="W186" s="68">
        <v>0</v>
      </c>
      <c r="X186" s="68">
        <v>0</v>
      </c>
      <c r="Y186" s="68">
        <v>0</v>
      </c>
      <c r="Z186" s="68">
        <v>0</v>
      </c>
      <c r="AA186" s="68">
        <v>0</v>
      </c>
      <c r="AB186" s="68">
        <v>0</v>
      </c>
      <c r="AC186" s="68">
        <v>0</v>
      </c>
      <c r="AD186" s="68">
        <v>0</v>
      </c>
      <c r="AE186" s="68">
        <v>0</v>
      </c>
      <c r="AF186" s="68">
        <v>0</v>
      </c>
      <c r="AG186" s="68">
        <v>0</v>
      </c>
      <c r="AH186" s="68">
        <v>0</v>
      </c>
      <c r="AI186" s="68">
        <v>0</v>
      </c>
      <c r="AJ186" s="68">
        <v>0</v>
      </c>
      <c r="AK186" s="68">
        <v>0</v>
      </c>
      <c r="AL186" s="68">
        <v>0</v>
      </c>
      <c r="AM186" s="68">
        <v>0</v>
      </c>
      <c r="AN186" s="68">
        <v>0</v>
      </c>
      <c r="AO186" s="68">
        <v>0</v>
      </c>
      <c r="AP186" s="68">
        <v>0</v>
      </c>
      <c r="AQ186" s="68">
        <v>0</v>
      </c>
      <c r="AR186" s="68">
        <v>0</v>
      </c>
      <c r="AS186" s="68">
        <v>0</v>
      </c>
      <c r="AT186" s="68">
        <v>0</v>
      </c>
      <c r="AU186" s="68">
        <v>0</v>
      </c>
      <c r="AV186" s="68">
        <v>0</v>
      </c>
      <c r="AW186" s="68">
        <v>0</v>
      </c>
      <c r="AX186" s="68">
        <v>0</v>
      </c>
      <c r="AY186" s="68">
        <v>0</v>
      </c>
      <c r="AZ186" s="68">
        <v>0</v>
      </c>
      <c r="BA186" s="68">
        <v>0</v>
      </c>
      <c r="BB186" s="68">
        <v>0</v>
      </c>
      <c r="BC186" s="68">
        <v>0</v>
      </c>
      <c r="BD186" s="68">
        <v>0</v>
      </c>
      <c r="BE186" s="68">
        <v>0</v>
      </c>
      <c r="BF186" s="68">
        <v>0</v>
      </c>
      <c r="BG186" s="68">
        <v>0</v>
      </c>
      <c r="BH186" s="68">
        <v>0</v>
      </c>
      <c r="BI186" s="68">
        <v>0</v>
      </c>
      <c r="BJ186" s="68">
        <v>0</v>
      </c>
      <c r="BK186" s="68">
        <v>0</v>
      </c>
      <c r="BL186" s="68">
        <v>0</v>
      </c>
      <c r="BM186" s="68">
        <v>0</v>
      </c>
      <c r="BN186" s="68">
        <v>0</v>
      </c>
      <c r="BO186" s="68">
        <v>0</v>
      </c>
      <c r="BP186" s="68">
        <v>0</v>
      </c>
      <c r="BQ186" s="68">
        <v>0</v>
      </c>
      <c r="BR186" s="68">
        <v>0</v>
      </c>
      <c r="BS186" s="68">
        <v>0</v>
      </c>
      <c r="BT186" s="68">
        <v>0</v>
      </c>
      <c r="BU186" s="68">
        <v>0</v>
      </c>
      <c r="BV186" s="68">
        <v>0</v>
      </c>
      <c r="BW186" s="68">
        <v>0</v>
      </c>
      <c r="BX186" s="68">
        <v>0</v>
      </c>
      <c r="BY186" s="68">
        <v>0</v>
      </c>
      <c r="BZ186" s="68">
        <v>0</v>
      </c>
      <c r="CA186" s="68">
        <v>0</v>
      </c>
      <c r="CB186" s="68">
        <v>0</v>
      </c>
      <c r="CC186" s="68">
        <v>0</v>
      </c>
      <c r="CD186" s="68">
        <v>0</v>
      </c>
      <c r="CE186" s="68">
        <v>0</v>
      </c>
      <c r="CF186" s="68">
        <v>0</v>
      </c>
      <c r="CG186" s="68">
        <v>0</v>
      </c>
      <c r="CH186" s="68">
        <v>0</v>
      </c>
      <c r="CI186" s="68">
        <v>0</v>
      </c>
      <c r="CJ186" s="68">
        <v>0</v>
      </c>
      <c r="CK186" s="68">
        <v>0</v>
      </c>
      <c r="CL186" s="68">
        <v>0</v>
      </c>
      <c r="CM186" s="68">
        <v>0</v>
      </c>
      <c r="CN186" s="68">
        <v>0</v>
      </c>
      <c r="CO186" s="68">
        <v>0</v>
      </c>
      <c r="CP186" s="68">
        <v>0</v>
      </c>
      <c r="CQ186" s="68">
        <v>0</v>
      </c>
      <c r="CR186" s="68">
        <v>0</v>
      </c>
      <c r="CS186" s="68">
        <v>0</v>
      </c>
      <c r="CT186" s="68">
        <v>0</v>
      </c>
      <c r="CU186" s="68">
        <v>0</v>
      </c>
      <c r="CV186" s="68">
        <v>0</v>
      </c>
      <c r="CW186" s="68">
        <v>0</v>
      </c>
      <c r="CX186" s="68">
        <v>0</v>
      </c>
      <c r="CY186" s="68">
        <v>0</v>
      </c>
      <c r="CZ186" s="68">
        <v>0</v>
      </c>
      <c r="DA186" s="68">
        <v>0</v>
      </c>
      <c r="DB186" s="68">
        <v>0</v>
      </c>
      <c r="DC186" s="68">
        <v>0</v>
      </c>
      <c r="DD186" s="68">
        <v>0</v>
      </c>
      <c r="DE186" s="68">
        <v>0</v>
      </c>
      <c r="DF186" s="68">
        <v>0</v>
      </c>
      <c r="DG186" s="68">
        <v>0</v>
      </c>
      <c r="DH186" s="68">
        <v>0</v>
      </c>
      <c r="DI186" s="68">
        <v>0</v>
      </c>
      <c r="DJ186" s="68">
        <v>0</v>
      </c>
      <c r="DK186" s="68">
        <v>0</v>
      </c>
      <c r="DL186" s="68">
        <v>0</v>
      </c>
      <c r="DM186" s="68">
        <v>0</v>
      </c>
      <c r="DN186" s="68">
        <v>0</v>
      </c>
      <c r="DO186" s="68">
        <v>0</v>
      </c>
      <c r="DP186" s="68">
        <v>0</v>
      </c>
      <c r="DQ186" s="68">
        <v>0</v>
      </c>
      <c r="DR186" s="68">
        <v>0</v>
      </c>
      <c r="DS186" s="68">
        <v>0</v>
      </c>
      <c r="DT186" s="68">
        <v>0</v>
      </c>
      <c r="DU186" s="68">
        <v>0</v>
      </c>
      <c r="DV186" s="68">
        <v>0</v>
      </c>
      <c r="DW186" s="68">
        <v>0</v>
      </c>
      <c r="DX186" s="68">
        <v>0</v>
      </c>
      <c r="DY186" s="68">
        <v>0</v>
      </c>
      <c r="DZ186" s="68">
        <v>0</v>
      </c>
      <c r="EA186" s="68">
        <v>0</v>
      </c>
      <c r="EB186" s="68">
        <v>0</v>
      </c>
      <c r="EC186" s="68">
        <v>0</v>
      </c>
      <c r="ED186" s="68">
        <v>0</v>
      </c>
      <c r="EE186" s="68">
        <v>0</v>
      </c>
      <c r="EF186" s="68">
        <v>0</v>
      </c>
      <c r="EG186" s="68">
        <v>0</v>
      </c>
      <c r="EH186" s="68">
        <v>0</v>
      </c>
      <c r="EI186" s="68">
        <v>0</v>
      </c>
      <c r="EJ186" s="68">
        <v>0</v>
      </c>
      <c r="EK186" s="68">
        <v>0</v>
      </c>
      <c r="EL186" s="68">
        <v>0</v>
      </c>
      <c r="EM186" s="68">
        <v>0</v>
      </c>
      <c r="EN186" s="68">
        <v>0</v>
      </c>
      <c r="EO186" s="68">
        <v>0</v>
      </c>
      <c r="EP186" s="68">
        <v>0</v>
      </c>
      <c r="EQ186" s="68">
        <v>0</v>
      </c>
      <c r="ER186" s="68">
        <v>0</v>
      </c>
      <c r="ES186" s="68">
        <v>0</v>
      </c>
      <c r="ET186" s="68">
        <v>0</v>
      </c>
      <c r="EU186" s="68">
        <v>0</v>
      </c>
      <c r="EV186" s="68">
        <v>0</v>
      </c>
      <c r="EW186" s="68">
        <v>0</v>
      </c>
      <c r="EX186" s="68">
        <v>0</v>
      </c>
      <c r="EY186" s="68">
        <v>0</v>
      </c>
      <c r="EZ186" s="68">
        <v>0</v>
      </c>
      <c r="FA186" s="68">
        <v>0</v>
      </c>
      <c r="FB186" s="68">
        <v>0</v>
      </c>
      <c r="FC186" s="68">
        <v>0</v>
      </c>
      <c r="FD186" s="68">
        <v>0</v>
      </c>
      <c r="FE186" s="68">
        <v>0</v>
      </c>
      <c r="FF186" s="68">
        <v>0</v>
      </c>
      <c r="FG186" s="68">
        <v>0</v>
      </c>
      <c r="FH186" s="94">
        <v>0</v>
      </c>
      <c r="FI186" s="68">
        <v>0</v>
      </c>
      <c r="FJ186" s="68">
        <v>0</v>
      </c>
      <c r="FK186" s="68">
        <v>0</v>
      </c>
      <c r="FL186" s="68">
        <v>0</v>
      </c>
      <c r="FM186" s="68">
        <v>0</v>
      </c>
      <c r="FN186" s="68">
        <v>0</v>
      </c>
      <c r="FO186" s="68">
        <v>0</v>
      </c>
      <c r="FP186" s="68">
        <v>0</v>
      </c>
      <c r="FQ186" s="68">
        <v>0</v>
      </c>
      <c r="FR186" s="68">
        <v>0</v>
      </c>
      <c r="FS186" s="68">
        <v>0</v>
      </c>
      <c r="FT186" s="67"/>
      <c r="FU186" s="68"/>
      <c r="FV186" s="69"/>
      <c r="FW186" s="69"/>
      <c r="FX186" s="69"/>
      <c r="FY186" s="69"/>
      <c r="FZ186" s="69"/>
      <c r="GA186" s="69"/>
      <c r="GB186" s="69"/>
      <c r="GC186" s="69"/>
      <c r="GD186" s="69"/>
      <c r="GE186" s="69"/>
      <c r="GF186" s="69"/>
      <c r="GG186" s="165"/>
    </row>
    <row r="187" spans="1:189" s="66" customFormat="1" x14ac:dyDescent="0.2">
      <c r="A187"/>
      <c r="B187" s="82">
        <v>45689</v>
      </c>
      <c r="C187" s="68">
        <v>0</v>
      </c>
      <c r="D187" s="68">
        <v>0</v>
      </c>
      <c r="E187" s="68">
        <v>0</v>
      </c>
      <c r="F187" s="68">
        <v>0</v>
      </c>
      <c r="G187" s="68">
        <v>0</v>
      </c>
      <c r="H187" s="68">
        <v>0</v>
      </c>
      <c r="I187" s="68">
        <v>0</v>
      </c>
      <c r="J187" s="68">
        <v>0</v>
      </c>
      <c r="K187" s="68">
        <v>0</v>
      </c>
      <c r="L187" s="68">
        <v>0</v>
      </c>
      <c r="M187" s="68">
        <v>0</v>
      </c>
      <c r="N187" s="68">
        <v>0</v>
      </c>
      <c r="O187" s="68">
        <v>0</v>
      </c>
      <c r="P187" s="68">
        <v>0</v>
      </c>
      <c r="Q187" s="68">
        <v>0</v>
      </c>
      <c r="R187" s="68">
        <v>0</v>
      </c>
      <c r="S187" s="68">
        <v>0</v>
      </c>
      <c r="T187" s="68">
        <v>0</v>
      </c>
      <c r="U187" s="68">
        <v>0</v>
      </c>
      <c r="V187" s="68">
        <v>0</v>
      </c>
      <c r="W187" s="68">
        <v>0</v>
      </c>
      <c r="X187" s="68">
        <v>0</v>
      </c>
      <c r="Y187" s="68">
        <v>0</v>
      </c>
      <c r="Z187" s="68">
        <v>0</v>
      </c>
      <c r="AA187" s="68">
        <v>0</v>
      </c>
      <c r="AB187" s="68">
        <v>0</v>
      </c>
      <c r="AC187" s="68">
        <v>0</v>
      </c>
      <c r="AD187" s="68">
        <v>0</v>
      </c>
      <c r="AE187" s="68">
        <v>0</v>
      </c>
      <c r="AF187" s="68">
        <v>0</v>
      </c>
      <c r="AG187" s="68">
        <v>0</v>
      </c>
      <c r="AH187" s="68">
        <v>0</v>
      </c>
      <c r="AI187" s="68">
        <v>0</v>
      </c>
      <c r="AJ187" s="68">
        <v>0</v>
      </c>
      <c r="AK187" s="68">
        <v>0</v>
      </c>
      <c r="AL187" s="68">
        <v>0</v>
      </c>
      <c r="AM187" s="68">
        <v>0</v>
      </c>
      <c r="AN187" s="68">
        <v>0</v>
      </c>
      <c r="AO187" s="68">
        <v>0</v>
      </c>
      <c r="AP187" s="68">
        <v>0</v>
      </c>
      <c r="AQ187" s="68">
        <v>0</v>
      </c>
      <c r="AR187" s="68">
        <v>0</v>
      </c>
      <c r="AS187" s="68">
        <v>0</v>
      </c>
      <c r="AT187" s="68">
        <v>0</v>
      </c>
      <c r="AU187" s="68">
        <v>0</v>
      </c>
      <c r="AV187" s="68">
        <v>0</v>
      </c>
      <c r="AW187" s="68">
        <v>0</v>
      </c>
      <c r="AX187" s="68">
        <v>0</v>
      </c>
      <c r="AY187" s="68">
        <v>0</v>
      </c>
      <c r="AZ187" s="68">
        <v>0</v>
      </c>
      <c r="BA187" s="68">
        <v>0</v>
      </c>
      <c r="BB187" s="68">
        <v>0</v>
      </c>
      <c r="BC187" s="68">
        <v>0</v>
      </c>
      <c r="BD187" s="68">
        <v>0</v>
      </c>
      <c r="BE187" s="68">
        <v>0</v>
      </c>
      <c r="BF187" s="68">
        <v>0</v>
      </c>
      <c r="BG187" s="68">
        <v>0</v>
      </c>
      <c r="BH187" s="68">
        <v>0</v>
      </c>
      <c r="BI187" s="68">
        <v>0</v>
      </c>
      <c r="BJ187" s="68">
        <v>0</v>
      </c>
      <c r="BK187" s="68">
        <v>0</v>
      </c>
      <c r="BL187" s="68">
        <v>0</v>
      </c>
      <c r="BM187" s="68">
        <v>0</v>
      </c>
      <c r="BN187" s="68">
        <v>0</v>
      </c>
      <c r="BO187" s="68">
        <v>0</v>
      </c>
      <c r="BP187" s="68">
        <v>0</v>
      </c>
      <c r="BQ187" s="68">
        <v>0</v>
      </c>
      <c r="BR187" s="68">
        <v>0</v>
      </c>
      <c r="BS187" s="68">
        <v>0</v>
      </c>
      <c r="BT187" s="68">
        <v>0</v>
      </c>
      <c r="BU187" s="68">
        <v>0</v>
      </c>
      <c r="BV187" s="68">
        <v>0</v>
      </c>
      <c r="BW187" s="68">
        <v>0</v>
      </c>
      <c r="BX187" s="68">
        <v>0</v>
      </c>
      <c r="BY187" s="68">
        <v>0</v>
      </c>
      <c r="BZ187" s="68">
        <v>0</v>
      </c>
      <c r="CA187" s="68">
        <v>0</v>
      </c>
      <c r="CB187" s="68">
        <v>0</v>
      </c>
      <c r="CC187" s="68">
        <v>0</v>
      </c>
      <c r="CD187" s="68">
        <v>0</v>
      </c>
      <c r="CE187" s="68">
        <v>0</v>
      </c>
      <c r="CF187" s="68">
        <v>0</v>
      </c>
      <c r="CG187" s="68">
        <v>0</v>
      </c>
      <c r="CH187" s="68">
        <v>0</v>
      </c>
      <c r="CI187" s="68">
        <v>0</v>
      </c>
      <c r="CJ187" s="68">
        <v>0</v>
      </c>
      <c r="CK187" s="68">
        <v>0</v>
      </c>
      <c r="CL187" s="68">
        <v>0</v>
      </c>
      <c r="CM187" s="68">
        <v>0</v>
      </c>
      <c r="CN187" s="68">
        <v>0</v>
      </c>
      <c r="CO187" s="68">
        <v>0</v>
      </c>
      <c r="CP187" s="68">
        <v>0</v>
      </c>
      <c r="CQ187" s="68">
        <v>0</v>
      </c>
      <c r="CR187" s="68">
        <v>0</v>
      </c>
      <c r="CS187" s="68">
        <v>0</v>
      </c>
      <c r="CT187" s="68">
        <v>0</v>
      </c>
      <c r="CU187" s="68">
        <v>0</v>
      </c>
      <c r="CV187" s="68">
        <v>0</v>
      </c>
      <c r="CW187" s="68">
        <v>0</v>
      </c>
      <c r="CX187" s="68">
        <v>0</v>
      </c>
      <c r="CY187" s="68">
        <v>0</v>
      </c>
      <c r="CZ187" s="68">
        <v>0</v>
      </c>
      <c r="DA187" s="68">
        <v>0</v>
      </c>
      <c r="DB187" s="68">
        <v>0</v>
      </c>
      <c r="DC187" s="68">
        <v>0</v>
      </c>
      <c r="DD187" s="68">
        <v>0</v>
      </c>
      <c r="DE187" s="68">
        <v>0</v>
      </c>
      <c r="DF187" s="68">
        <v>0</v>
      </c>
      <c r="DG187" s="68">
        <v>0</v>
      </c>
      <c r="DH187" s="68">
        <v>0</v>
      </c>
      <c r="DI187" s="68">
        <v>0</v>
      </c>
      <c r="DJ187" s="68">
        <v>0</v>
      </c>
      <c r="DK187" s="68">
        <v>0</v>
      </c>
      <c r="DL187" s="68">
        <v>0</v>
      </c>
      <c r="DM187" s="68">
        <v>0</v>
      </c>
      <c r="DN187" s="68">
        <v>0</v>
      </c>
      <c r="DO187" s="68">
        <v>0</v>
      </c>
      <c r="DP187" s="68">
        <v>0</v>
      </c>
      <c r="DQ187" s="68">
        <v>0</v>
      </c>
      <c r="DR187" s="68">
        <v>0</v>
      </c>
      <c r="DS187" s="68">
        <v>0</v>
      </c>
      <c r="DT187" s="68">
        <v>0</v>
      </c>
      <c r="DU187" s="68">
        <v>0</v>
      </c>
      <c r="DV187" s="68">
        <v>0</v>
      </c>
      <c r="DW187" s="68">
        <v>0</v>
      </c>
      <c r="DX187" s="68">
        <v>0</v>
      </c>
      <c r="DY187" s="68">
        <v>0</v>
      </c>
      <c r="DZ187" s="68">
        <v>0</v>
      </c>
      <c r="EA187" s="68">
        <v>0</v>
      </c>
      <c r="EB187" s="68">
        <v>0</v>
      </c>
      <c r="EC187" s="68">
        <v>0</v>
      </c>
      <c r="ED187" s="68">
        <v>0</v>
      </c>
      <c r="EE187" s="68">
        <v>0</v>
      </c>
      <c r="EF187" s="68">
        <v>0</v>
      </c>
      <c r="EG187" s="68">
        <v>0</v>
      </c>
      <c r="EH187" s="68">
        <v>0</v>
      </c>
      <c r="EI187" s="68">
        <v>0</v>
      </c>
      <c r="EJ187" s="68">
        <v>0</v>
      </c>
      <c r="EK187" s="68">
        <v>0</v>
      </c>
      <c r="EL187" s="68">
        <v>0</v>
      </c>
      <c r="EM187" s="68">
        <v>0</v>
      </c>
      <c r="EN187" s="68">
        <v>0</v>
      </c>
      <c r="EO187" s="68">
        <v>0</v>
      </c>
      <c r="EP187" s="68">
        <v>0</v>
      </c>
      <c r="EQ187" s="68">
        <v>0</v>
      </c>
      <c r="ER187" s="68">
        <v>0</v>
      </c>
      <c r="ES187" s="68">
        <v>0</v>
      </c>
      <c r="ET187" s="68">
        <v>0</v>
      </c>
      <c r="EU187" s="68">
        <v>0</v>
      </c>
      <c r="EV187" s="68">
        <v>0</v>
      </c>
      <c r="EW187" s="68">
        <v>0</v>
      </c>
      <c r="EX187" s="68">
        <v>0</v>
      </c>
      <c r="EY187" s="68">
        <v>0</v>
      </c>
      <c r="EZ187" s="68">
        <v>0</v>
      </c>
      <c r="FA187" s="68">
        <v>0</v>
      </c>
      <c r="FB187" s="68">
        <v>0</v>
      </c>
      <c r="FC187" s="68">
        <v>0</v>
      </c>
      <c r="FD187" s="68">
        <v>0</v>
      </c>
      <c r="FE187" s="68">
        <v>0</v>
      </c>
      <c r="FF187" s="68">
        <v>0</v>
      </c>
      <c r="FG187" s="68">
        <v>0</v>
      </c>
      <c r="FH187" s="68">
        <v>0</v>
      </c>
      <c r="FI187" s="94">
        <v>0</v>
      </c>
      <c r="FJ187" s="68">
        <v>0</v>
      </c>
      <c r="FK187" s="68">
        <v>0</v>
      </c>
      <c r="FL187" s="68">
        <v>0</v>
      </c>
      <c r="FM187" s="68">
        <v>0</v>
      </c>
      <c r="FN187" s="68">
        <v>0</v>
      </c>
      <c r="FO187" s="68">
        <v>0</v>
      </c>
      <c r="FP187" s="68">
        <v>0</v>
      </c>
      <c r="FQ187" s="68">
        <v>0</v>
      </c>
      <c r="FR187" s="68">
        <v>0</v>
      </c>
      <c r="FS187" s="68">
        <v>0</v>
      </c>
      <c r="FT187" s="68">
        <v>0</v>
      </c>
      <c r="FU187" s="67"/>
      <c r="FV187" s="68"/>
      <c r="FW187" s="69"/>
      <c r="FX187" s="69"/>
      <c r="FY187" s="69"/>
      <c r="FZ187" s="69"/>
      <c r="GA187" s="69"/>
      <c r="GB187" s="69"/>
      <c r="GC187" s="69"/>
      <c r="GD187" s="69"/>
      <c r="GE187" s="69"/>
      <c r="GF187" s="69"/>
      <c r="GG187" s="165"/>
    </row>
    <row r="188" spans="1:189" s="66" customFormat="1" x14ac:dyDescent="0.2">
      <c r="A188"/>
      <c r="B188" s="82">
        <v>45717</v>
      </c>
      <c r="C188" s="68">
        <v>0</v>
      </c>
      <c r="D188" s="68">
        <v>0</v>
      </c>
      <c r="E188" s="68">
        <v>0</v>
      </c>
      <c r="F188" s="68">
        <v>0</v>
      </c>
      <c r="G188" s="68">
        <v>0</v>
      </c>
      <c r="H188" s="68">
        <v>0</v>
      </c>
      <c r="I188" s="68">
        <v>0</v>
      </c>
      <c r="J188" s="68">
        <v>0</v>
      </c>
      <c r="K188" s="68">
        <v>0</v>
      </c>
      <c r="L188" s="68">
        <v>0</v>
      </c>
      <c r="M188" s="68">
        <v>0</v>
      </c>
      <c r="N188" s="68">
        <v>0</v>
      </c>
      <c r="O188" s="68">
        <v>0</v>
      </c>
      <c r="P188" s="68">
        <v>0</v>
      </c>
      <c r="Q188" s="68">
        <v>0</v>
      </c>
      <c r="R188" s="68">
        <v>0</v>
      </c>
      <c r="S188" s="68">
        <v>0</v>
      </c>
      <c r="T188" s="68">
        <v>0</v>
      </c>
      <c r="U188" s="68">
        <v>0</v>
      </c>
      <c r="V188" s="68">
        <v>0</v>
      </c>
      <c r="W188" s="68">
        <v>0</v>
      </c>
      <c r="X188" s="68">
        <v>0</v>
      </c>
      <c r="Y188" s="68">
        <v>0</v>
      </c>
      <c r="Z188" s="68">
        <v>0</v>
      </c>
      <c r="AA188" s="68">
        <v>0</v>
      </c>
      <c r="AB188" s="68">
        <v>0</v>
      </c>
      <c r="AC188" s="68">
        <v>0</v>
      </c>
      <c r="AD188" s="68">
        <v>0</v>
      </c>
      <c r="AE188" s="68">
        <v>0</v>
      </c>
      <c r="AF188" s="68">
        <v>0</v>
      </c>
      <c r="AG188" s="68">
        <v>0</v>
      </c>
      <c r="AH188" s="68">
        <v>0</v>
      </c>
      <c r="AI188" s="68">
        <v>0</v>
      </c>
      <c r="AJ188" s="68">
        <v>0</v>
      </c>
      <c r="AK188" s="68">
        <v>0</v>
      </c>
      <c r="AL188" s="68">
        <v>0</v>
      </c>
      <c r="AM188" s="68">
        <v>0</v>
      </c>
      <c r="AN188" s="68">
        <v>0</v>
      </c>
      <c r="AO188" s="68">
        <v>0</v>
      </c>
      <c r="AP188" s="68">
        <v>0</v>
      </c>
      <c r="AQ188" s="68">
        <v>0</v>
      </c>
      <c r="AR188" s="68">
        <v>0</v>
      </c>
      <c r="AS188" s="68">
        <v>0</v>
      </c>
      <c r="AT188" s="68">
        <v>0</v>
      </c>
      <c r="AU188" s="68">
        <v>0</v>
      </c>
      <c r="AV188" s="68">
        <v>0</v>
      </c>
      <c r="AW188" s="68">
        <v>0</v>
      </c>
      <c r="AX188" s="68">
        <v>0</v>
      </c>
      <c r="AY188" s="68">
        <v>0</v>
      </c>
      <c r="AZ188" s="68">
        <v>0</v>
      </c>
      <c r="BA188" s="68">
        <v>0</v>
      </c>
      <c r="BB188" s="68">
        <v>0</v>
      </c>
      <c r="BC188" s="68">
        <v>0</v>
      </c>
      <c r="BD188" s="68">
        <v>0</v>
      </c>
      <c r="BE188" s="68">
        <v>0</v>
      </c>
      <c r="BF188" s="68">
        <v>0</v>
      </c>
      <c r="BG188" s="68">
        <v>0</v>
      </c>
      <c r="BH188" s="68">
        <v>0</v>
      </c>
      <c r="BI188" s="68">
        <v>0</v>
      </c>
      <c r="BJ188" s="68">
        <v>0</v>
      </c>
      <c r="BK188" s="68">
        <v>0</v>
      </c>
      <c r="BL188" s="68">
        <v>0</v>
      </c>
      <c r="BM188" s="68">
        <v>0</v>
      </c>
      <c r="BN188" s="68">
        <v>0</v>
      </c>
      <c r="BO188" s="68">
        <v>0</v>
      </c>
      <c r="BP188" s="68">
        <v>0</v>
      </c>
      <c r="BQ188" s="68">
        <v>0</v>
      </c>
      <c r="BR188" s="68">
        <v>0</v>
      </c>
      <c r="BS188" s="68">
        <v>0</v>
      </c>
      <c r="BT188" s="68">
        <v>0</v>
      </c>
      <c r="BU188" s="68">
        <v>0</v>
      </c>
      <c r="BV188" s="68">
        <v>0</v>
      </c>
      <c r="BW188" s="68">
        <v>0</v>
      </c>
      <c r="BX188" s="68">
        <v>0</v>
      </c>
      <c r="BY188" s="68">
        <v>0</v>
      </c>
      <c r="BZ188" s="68">
        <v>0</v>
      </c>
      <c r="CA188" s="68">
        <v>0</v>
      </c>
      <c r="CB188" s="68">
        <v>0</v>
      </c>
      <c r="CC188" s="68">
        <v>0</v>
      </c>
      <c r="CD188" s="68">
        <v>0</v>
      </c>
      <c r="CE188" s="68">
        <v>0</v>
      </c>
      <c r="CF188" s="68">
        <v>0</v>
      </c>
      <c r="CG188" s="68">
        <v>0</v>
      </c>
      <c r="CH188" s="68">
        <v>0</v>
      </c>
      <c r="CI188" s="68">
        <v>0</v>
      </c>
      <c r="CJ188" s="68">
        <v>0</v>
      </c>
      <c r="CK188" s="68">
        <v>0</v>
      </c>
      <c r="CL188" s="68">
        <v>0</v>
      </c>
      <c r="CM188" s="68">
        <v>0</v>
      </c>
      <c r="CN188" s="68">
        <v>0</v>
      </c>
      <c r="CO188" s="68">
        <v>0</v>
      </c>
      <c r="CP188" s="68">
        <v>0</v>
      </c>
      <c r="CQ188" s="68">
        <v>0</v>
      </c>
      <c r="CR188" s="68">
        <v>0</v>
      </c>
      <c r="CS188" s="68">
        <v>0</v>
      </c>
      <c r="CT188" s="68">
        <v>0</v>
      </c>
      <c r="CU188" s="68">
        <v>0</v>
      </c>
      <c r="CV188" s="68">
        <v>0</v>
      </c>
      <c r="CW188" s="68">
        <v>0</v>
      </c>
      <c r="CX188" s="68">
        <v>0</v>
      </c>
      <c r="CY188" s="68">
        <v>0</v>
      </c>
      <c r="CZ188" s="68">
        <v>0</v>
      </c>
      <c r="DA188" s="68">
        <v>0</v>
      </c>
      <c r="DB188" s="68">
        <v>0</v>
      </c>
      <c r="DC188" s="68">
        <v>0</v>
      </c>
      <c r="DD188" s="68">
        <v>6.1704264474400361E-3</v>
      </c>
      <c r="DE188" s="68">
        <v>2.6085883909274798E-3</v>
      </c>
      <c r="DF188" s="68">
        <v>-3.7192274439235007E-3</v>
      </c>
      <c r="DG188" s="68">
        <v>-4.6409878572859498E-3</v>
      </c>
      <c r="DH188" s="68">
        <v>-8.745447830762032E-3</v>
      </c>
      <c r="DI188" s="68">
        <v>-3.6038547210353045E-3</v>
      </c>
      <c r="DJ188" s="68">
        <v>2.8030449624623088E-3</v>
      </c>
      <c r="DK188" s="68">
        <v>3.1064640290026091E-3</v>
      </c>
      <c r="DL188" s="68">
        <v>-1.321684166626369E-3</v>
      </c>
      <c r="DM188" s="68">
        <v>3.2593632299722231E-3</v>
      </c>
      <c r="DN188" s="68">
        <v>4.8613167761857312E-4</v>
      </c>
      <c r="DO188" s="68">
        <v>3.4407597027268366E-3</v>
      </c>
      <c r="DP188" s="68">
        <v>8.3817601564817323E-3</v>
      </c>
      <c r="DQ188" s="68">
        <v>1.619790278397204E-3</v>
      </c>
      <c r="DR188" s="68">
        <v>-8.3562259173675102E-3</v>
      </c>
      <c r="DS188" s="68">
        <v>-7.1051848667877948E-3</v>
      </c>
      <c r="DT188" s="68">
        <v>-1.0035889057476766E-2</v>
      </c>
      <c r="DU188" s="68">
        <v>-1.0044152285928476E-3</v>
      </c>
      <c r="DV188" s="68">
        <v>8.6676839747212853E-3</v>
      </c>
      <c r="DW188" s="68">
        <v>5.9330103117218869E-3</v>
      </c>
      <c r="DX188" s="68">
        <v>-1.2915476979458163E-4</v>
      </c>
      <c r="DY188" s="68">
        <v>5.5929981540288054E-3</v>
      </c>
      <c r="DZ188" s="68">
        <v>-3.9235168765827666E-3</v>
      </c>
      <c r="EA188" s="68">
        <v>1.0164023133683031E-3</v>
      </c>
      <c r="EB188" s="68">
        <v>9.5827491308426715E-3</v>
      </c>
      <c r="EC188" s="68">
        <v>-2.2997401708835241E-4</v>
      </c>
      <c r="ED188" s="68">
        <v>-1.4686398818341218E-2</v>
      </c>
      <c r="EE188" s="68">
        <v>-1.1296856203045991E-2</v>
      </c>
      <c r="EF188" s="68">
        <v>-1.2026313177145198E-2</v>
      </c>
      <c r="EG188" s="68">
        <v>2.1800563043825605E-3</v>
      </c>
      <c r="EH188" s="68">
        <v>2.2960622144310605E-2</v>
      </c>
      <c r="EI188" s="68">
        <v>7.7684152779511351E-3</v>
      </c>
      <c r="EJ188" s="68">
        <v>1.3970999618209134E-3</v>
      </c>
      <c r="EK188" s="68">
        <v>5.6909746882922718E-3</v>
      </c>
      <c r="EL188" s="68">
        <v>-8.9496970350069205E-3</v>
      </c>
      <c r="EM188" s="68">
        <v>-2.0033678517847875E-3</v>
      </c>
      <c r="EN188" s="68">
        <v>1.0509869444646824E-2</v>
      </c>
      <c r="EO188" s="68">
        <v>-1.4505901558692358E-3</v>
      </c>
      <c r="EP188" s="68">
        <v>-1.9122852678847835E-2</v>
      </c>
      <c r="EQ188" s="68">
        <v>-1.6202425204213E-2</v>
      </c>
      <c r="ER188" s="68">
        <v>-1.4371372514276004E-2</v>
      </c>
      <c r="ES188" s="68">
        <v>4.924390185124139E-3</v>
      </c>
      <c r="ET188" s="68">
        <v>3.5603350720862181E-2</v>
      </c>
      <c r="EU188" s="68">
        <v>1.1758730513975024E-2</v>
      </c>
      <c r="EV188" s="68">
        <v>3.1650232352689045E-3</v>
      </c>
      <c r="EW188" s="68">
        <v>4.8713416645398411E-3</v>
      </c>
      <c r="EX188" s="68">
        <v>-1.257795152911001E-2</v>
      </c>
      <c r="EY188" s="68">
        <v>-4.3305267475943765E-3</v>
      </c>
      <c r="EZ188" s="68">
        <v>9.3344624255990993E-3</v>
      </c>
      <c r="FA188" s="68">
        <v>-2.829587407191525E-3</v>
      </c>
      <c r="FB188" s="68">
        <v>-2.2579589426058533E-2</v>
      </c>
      <c r="FC188" s="68">
        <v>-1.9899650666189928E-2</v>
      </c>
      <c r="FD188" s="68">
        <v>-1.6314229843402472E-2</v>
      </c>
      <c r="FE188" s="68">
        <v>7.0143449408419656E-3</v>
      </c>
      <c r="FF188" s="68">
        <v>4.7180997657022772E-2</v>
      </c>
      <c r="FG188" s="68">
        <v>1.3762425707597004E-2</v>
      </c>
      <c r="FH188" s="68">
        <v>3.7307634879510942E-3</v>
      </c>
      <c r="FI188" s="68">
        <v>2.9841803640806575E-3</v>
      </c>
      <c r="FJ188" s="94">
        <v>-1.5316153469242977E-2</v>
      </c>
      <c r="FK188" s="68">
        <v>-7.6935025560658232E-3</v>
      </c>
      <c r="FL188" s="68">
        <v>8.8436757367844621E-3</v>
      </c>
      <c r="FM188" s="68">
        <v>-3.8683387261073676E-3</v>
      </c>
      <c r="FN188" s="68">
        <v>-2.3525628995827219E-2</v>
      </c>
      <c r="FO188" s="68">
        <v>-2.2113162308500023E-2</v>
      </c>
      <c r="FP188" s="68">
        <v>-1.7459569494008065E-2</v>
      </c>
      <c r="FQ188" s="68">
        <v>9.1944890109090238E-3</v>
      </c>
      <c r="FR188" s="68">
        <v>5.1711668553124923E-2</v>
      </c>
      <c r="FS188" s="68">
        <v>1.3319908305220451E-2</v>
      </c>
      <c r="FT188" s="68">
        <v>9.8507264177527532E-3</v>
      </c>
      <c r="FU188" s="68">
        <v>1.7783981760970846E-2</v>
      </c>
      <c r="FV188" s="67"/>
      <c r="FW188" s="68"/>
      <c r="FX188" s="69"/>
      <c r="FY188" s="69"/>
      <c r="FZ188" s="69"/>
      <c r="GA188" s="69"/>
      <c r="GB188" s="69"/>
      <c r="GC188" s="69"/>
      <c r="GD188" s="69"/>
      <c r="GE188" s="69"/>
      <c r="GF188" s="69"/>
      <c r="GG188" s="165"/>
    </row>
    <row r="189" spans="1:189" s="66" customFormat="1" x14ac:dyDescent="0.2">
      <c r="A189"/>
      <c r="B189" s="82">
        <v>45748</v>
      </c>
      <c r="C189" s="68">
        <v>0</v>
      </c>
      <c r="D189" s="68">
        <v>0</v>
      </c>
      <c r="E189" s="68">
        <v>0</v>
      </c>
      <c r="F189" s="68">
        <v>0</v>
      </c>
      <c r="G189" s="68">
        <v>0</v>
      </c>
      <c r="H189" s="68">
        <v>0</v>
      </c>
      <c r="I189" s="68">
        <v>0</v>
      </c>
      <c r="J189" s="68">
        <v>0</v>
      </c>
      <c r="K189" s="68">
        <v>0</v>
      </c>
      <c r="L189" s="68">
        <v>0</v>
      </c>
      <c r="M189" s="68">
        <v>0</v>
      </c>
      <c r="N189" s="68">
        <v>0</v>
      </c>
      <c r="O189" s="68">
        <v>0</v>
      </c>
      <c r="P189" s="68">
        <v>0</v>
      </c>
      <c r="Q189" s="68">
        <v>0</v>
      </c>
      <c r="R189" s="68">
        <v>0</v>
      </c>
      <c r="S189" s="68">
        <v>0</v>
      </c>
      <c r="T189" s="68">
        <v>0</v>
      </c>
      <c r="U189" s="68">
        <v>0</v>
      </c>
      <c r="V189" s="68">
        <v>0</v>
      </c>
      <c r="W189" s="68">
        <v>0</v>
      </c>
      <c r="X189" s="68">
        <v>0</v>
      </c>
      <c r="Y189" s="68">
        <v>0</v>
      </c>
      <c r="Z189" s="68">
        <v>0</v>
      </c>
      <c r="AA189" s="68">
        <v>0</v>
      </c>
      <c r="AB189" s="68">
        <v>0</v>
      </c>
      <c r="AC189" s="68">
        <v>0</v>
      </c>
      <c r="AD189" s="68">
        <v>0</v>
      </c>
      <c r="AE189" s="68">
        <v>0</v>
      </c>
      <c r="AF189" s="68">
        <v>0</v>
      </c>
      <c r="AG189" s="68">
        <v>0</v>
      </c>
      <c r="AH189" s="68">
        <v>0</v>
      </c>
      <c r="AI189" s="68">
        <v>0</v>
      </c>
      <c r="AJ189" s="68">
        <v>0</v>
      </c>
      <c r="AK189" s="68">
        <v>0</v>
      </c>
      <c r="AL189" s="68">
        <v>0</v>
      </c>
      <c r="AM189" s="68">
        <v>0</v>
      </c>
      <c r="AN189" s="68">
        <v>0</v>
      </c>
      <c r="AO189" s="68">
        <v>0</v>
      </c>
      <c r="AP189" s="68">
        <v>0</v>
      </c>
      <c r="AQ189" s="68">
        <v>0</v>
      </c>
      <c r="AR189" s="68">
        <v>0</v>
      </c>
      <c r="AS189" s="68">
        <v>0</v>
      </c>
      <c r="AT189" s="68">
        <v>0</v>
      </c>
      <c r="AU189" s="68">
        <v>0</v>
      </c>
      <c r="AV189" s="68">
        <v>0</v>
      </c>
      <c r="AW189" s="68">
        <v>0</v>
      </c>
      <c r="AX189" s="68">
        <v>0</v>
      </c>
      <c r="AY189" s="68">
        <v>0</v>
      </c>
      <c r="AZ189" s="68">
        <v>0</v>
      </c>
      <c r="BA189" s="68">
        <v>0</v>
      </c>
      <c r="BB189" s="68">
        <v>0</v>
      </c>
      <c r="BC189" s="68">
        <v>0</v>
      </c>
      <c r="BD189" s="68">
        <v>0</v>
      </c>
      <c r="BE189" s="68">
        <v>0</v>
      </c>
      <c r="BF189" s="68">
        <v>0</v>
      </c>
      <c r="BG189" s="68">
        <v>0</v>
      </c>
      <c r="BH189" s="68">
        <v>0</v>
      </c>
      <c r="BI189" s="68">
        <v>0</v>
      </c>
      <c r="BJ189" s="68">
        <v>0</v>
      </c>
      <c r="BK189" s="68">
        <v>0</v>
      </c>
      <c r="BL189" s="68">
        <v>0</v>
      </c>
      <c r="BM189" s="68">
        <v>0</v>
      </c>
      <c r="BN189" s="68">
        <v>0</v>
      </c>
      <c r="BO189" s="68">
        <v>0</v>
      </c>
      <c r="BP189" s="68">
        <v>0</v>
      </c>
      <c r="BQ189" s="68">
        <v>0</v>
      </c>
      <c r="BR189" s="68">
        <v>0</v>
      </c>
      <c r="BS189" s="68">
        <v>0</v>
      </c>
      <c r="BT189" s="68">
        <v>0</v>
      </c>
      <c r="BU189" s="68">
        <v>0</v>
      </c>
      <c r="BV189" s="68">
        <v>0</v>
      </c>
      <c r="BW189" s="68">
        <v>0</v>
      </c>
      <c r="BX189" s="68">
        <v>0</v>
      </c>
      <c r="BY189" s="68">
        <v>0</v>
      </c>
      <c r="BZ189" s="68">
        <v>0</v>
      </c>
      <c r="CA189" s="68">
        <v>0</v>
      </c>
      <c r="CB189" s="68">
        <v>0</v>
      </c>
      <c r="CC189" s="68">
        <v>0</v>
      </c>
      <c r="CD189" s="68">
        <v>0</v>
      </c>
      <c r="CE189" s="68">
        <v>0</v>
      </c>
      <c r="CF189" s="68">
        <v>0</v>
      </c>
      <c r="CG189" s="68">
        <v>0</v>
      </c>
      <c r="CH189" s="68">
        <v>0</v>
      </c>
      <c r="CI189" s="68">
        <v>0</v>
      </c>
      <c r="CJ189" s="68">
        <v>0</v>
      </c>
      <c r="CK189" s="68">
        <v>0</v>
      </c>
      <c r="CL189" s="68">
        <v>0</v>
      </c>
      <c r="CM189" s="68">
        <v>0</v>
      </c>
      <c r="CN189" s="68">
        <v>0</v>
      </c>
      <c r="CO189" s="68">
        <v>0</v>
      </c>
      <c r="CP189" s="68">
        <v>0</v>
      </c>
      <c r="CQ189" s="68">
        <v>0</v>
      </c>
      <c r="CR189" s="68">
        <v>0</v>
      </c>
      <c r="CS189" s="68">
        <v>0</v>
      </c>
      <c r="CT189" s="68">
        <v>0</v>
      </c>
      <c r="CU189" s="68">
        <v>0</v>
      </c>
      <c r="CV189" s="68">
        <v>0</v>
      </c>
      <c r="CW189" s="68">
        <v>0</v>
      </c>
      <c r="CX189" s="68">
        <v>0</v>
      </c>
      <c r="CY189" s="68">
        <v>0</v>
      </c>
      <c r="CZ189" s="68">
        <v>0</v>
      </c>
      <c r="DA189" s="68">
        <v>0</v>
      </c>
      <c r="DB189" s="68">
        <v>0</v>
      </c>
      <c r="DC189" s="68">
        <v>0</v>
      </c>
      <c r="DD189" s="68">
        <v>0</v>
      </c>
      <c r="DE189" s="68">
        <v>0</v>
      </c>
      <c r="DF189" s="68">
        <v>0</v>
      </c>
      <c r="DG189" s="68">
        <v>0</v>
      </c>
      <c r="DH189" s="68">
        <v>0</v>
      </c>
      <c r="DI189" s="68">
        <v>0</v>
      </c>
      <c r="DJ189" s="68">
        <v>0</v>
      </c>
      <c r="DK189" s="68">
        <v>0</v>
      </c>
      <c r="DL189" s="68">
        <v>0</v>
      </c>
      <c r="DM189" s="68">
        <v>0</v>
      </c>
      <c r="DN189" s="68">
        <v>0</v>
      </c>
      <c r="DO189" s="68">
        <v>0</v>
      </c>
      <c r="DP189" s="68">
        <v>0</v>
      </c>
      <c r="DQ189" s="68">
        <v>0</v>
      </c>
      <c r="DR189" s="68">
        <v>0</v>
      </c>
      <c r="DS189" s="68">
        <v>0</v>
      </c>
      <c r="DT189" s="68">
        <v>0</v>
      </c>
      <c r="DU189" s="68">
        <v>0</v>
      </c>
      <c r="DV189" s="68">
        <v>0</v>
      </c>
      <c r="DW189" s="68">
        <v>0</v>
      </c>
      <c r="DX189" s="68">
        <v>0</v>
      </c>
      <c r="DY189" s="68">
        <v>0</v>
      </c>
      <c r="DZ189" s="68">
        <v>0</v>
      </c>
      <c r="EA189" s="68">
        <v>0</v>
      </c>
      <c r="EB189" s="68">
        <v>0</v>
      </c>
      <c r="EC189" s="68">
        <v>0</v>
      </c>
      <c r="ED189" s="68">
        <v>0</v>
      </c>
      <c r="EE189" s="68">
        <v>0</v>
      </c>
      <c r="EF189" s="68">
        <v>0</v>
      </c>
      <c r="EG189" s="68">
        <v>0</v>
      </c>
      <c r="EH189" s="68">
        <v>0</v>
      </c>
      <c r="EI189" s="68">
        <v>0</v>
      </c>
      <c r="EJ189" s="68">
        <v>0</v>
      </c>
      <c r="EK189" s="68">
        <v>0</v>
      </c>
      <c r="EL189" s="68">
        <v>0</v>
      </c>
      <c r="EM189" s="68">
        <v>0</v>
      </c>
      <c r="EN189" s="68">
        <v>0</v>
      </c>
      <c r="EO189" s="68">
        <v>0</v>
      </c>
      <c r="EP189" s="68">
        <v>0</v>
      </c>
      <c r="EQ189" s="68">
        <v>0</v>
      </c>
      <c r="ER189" s="68">
        <v>0</v>
      </c>
      <c r="ES189" s="68">
        <v>0</v>
      </c>
      <c r="ET189" s="68">
        <v>0</v>
      </c>
      <c r="EU189" s="68">
        <v>0</v>
      </c>
      <c r="EV189" s="68">
        <v>0</v>
      </c>
      <c r="EW189" s="68">
        <v>0</v>
      </c>
      <c r="EX189" s="68">
        <v>0</v>
      </c>
      <c r="EY189" s="68">
        <v>0</v>
      </c>
      <c r="EZ189" s="68">
        <v>0</v>
      </c>
      <c r="FA189" s="68">
        <v>0</v>
      </c>
      <c r="FB189" s="68">
        <v>0</v>
      </c>
      <c r="FC189" s="68">
        <v>0</v>
      </c>
      <c r="FD189" s="68">
        <v>0</v>
      </c>
      <c r="FE189" s="68">
        <v>0</v>
      </c>
      <c r="FF189" s="68">
        <v>0</v>
      </c>
      <c r="FG189" s="68">
        <v>0</v>
      </c>
      <c r="FH189" s="68">
        <v>0</v>
      </c>
      <c r="FI189" s="68">
        <v>0</v>
      </c>
      <c r="FJ189" s="68">
        <v>0</v>
      </c>
      <c r="FK189" s="94">
        <v>0</v>
      </c>
      <c r="FL189" s="68">
        <v>0</v>
      </c>
      <c r="FM189" s="68">
        <v>0</v>
      </c>
      <c r="FN189" s="68">
        <v>0</v>
      </c>
      <c r="FO189" s="68">
        <v>0</v>
      </c>
      <c r="FP189" s="68">
        <v>0</v>
      </c>
      <c r="FQ189" s="68">
        <v>0</v>
      </c>
      <c r="FR189" s="68">
        <v>0</v>
      </c>
      <c r="FS189" s="68">
        <v>0</v>
      </c>
      <c r="FT189" s="68">
        <v>0</v>
      </c>
      <c r="FU189" s="68">
        <v>0</v>
      </c>
      <c r="FV189" s="68">
        <v>0</v>
      </c>
      <c r="FW189" s="67"/>
      <c r="FX189" s="68"/>
      <c r="FY189" s="69"/>
      <c r="FZ189" s="69"/>
      <c r="GA189" s="69"/>
      <c r="GB189" s="69"/>
      <c r="GC189" s="69"/>
      <c r="GD189" s="69"/>
      <c r="GE189" s="69"/>
      <c r="GF189" s="69"/>
      <c r="GG189" s="165"/>
    </row>
    <row r="190" spans="1:189" s="66" customFormat="1" x14ac:dyDescent="0.2">
      <c r="A190"/>
      <c r="B190" s="82">
        <v>45778</v>
      </c>
      <c r="C190" s="68">
        <v>0</v>
      </c>
      <c r="D190" s="68">
        <v>0</v>
      </c>
      <c r="E190" s="68">
        <v>0</v>
      </c>
      <c r="F190" s="68">
        <v>0</v>
      </c>
      <c r="G190" s="68">
        <v>0</v>
      </c>
      <c r="H190" s="68">
        <v>0</v>
      </c>
      <c r="I190" s="68">
        <v>0</v>
      </c>
      <c r="J190" s="68">
        <v>0</v>
      </c>
      <c r="K190" s="68">
        <v>0</v>
      </c>
      <c r="L190" s="68">
        <v>0</v>
      </c>
      <c r="M190" s="68">
        <v>0</v>
      </c>
      <c r="N190" s="68">
        <v>0</v>
      </c>
      <c r="O190" s="68">
        <v>0</v>
      </c>
      <c r="P190" s="68">
        <v>0</v>
      </c>
      <c r="Q190" s="68">
        <v>0</v>
      </c>
      <c r="R190" s="68">
        <v>0</v>
      </c>
      <c r="S190" s="68">
        <v>0</v>
      </c>
      <c r="T190" s="68">
        <v>0</v>
      </c>
      <c r="U190" s="68">
        <v>0</v>
      </c>
      <c r="V190" s="68">
        <v>0</v>
      </c>
      <c r="W190" s="68">
        <v>0</v>
      </c>
      <c r="X190" s="68">
        <v>0</v>
      </c>
      <c r="Y190" s="68">
        <v>0</v>
      </c>
      <c r="Z190" s="68">
        <v>0</v>
      </c>
      <c r="AA190" s="68">
        <v>0</v>
      </c>
      <c r="AB190" s="68">
        <v>0</v>
      </c>
      <c r="AC190" s="68">
        <v>0</v>
      </c>
      <c r="AD190" s="68">
        <v>0</v>
      </c>
      <c r="AE190" s="68">
        <v>0</v>
      </c>
      <c r="AF190" s="68">
        <v>0</v>
      </c>
      <c r="AG190" s="68">
        <v>0</v>
      </c>
      <c r="AH190" s="68">
        <v>0</v>
      </c>
      <c r="AI190" s="68">
        <v>0</v>
      </c>
      <c r="AJ190" s="68">
        <v>0</v>
      </c>
      <c r="AK190" s="68">
        <v>0</v>
      </c>
      <c r="AL190" s="68">
        <v>0</v>
      </c>
      <c r="AM190" s="68">
        <v>0</v>
      </c>
      <c r="AN190" s="68">
        <v>0</v>
      </c>
      <c r="AO190" s="68">
        <v>0</v>
      </c>
      <c r="AP190" s="68">
        <v>0</v>
      </c>
      <c r="AQ190" s="68">
        <v>0</v>
      </c>
      <c r="AR190" s="68">
        <v>0</v>
      </c>
      <c r="AS190" s="68">
        <v>0</v>
      </c>
      <c r="AT190" s="68">
        <v>0</v>
      </c>
      <c r="AU190" s="68">
        <v>0</v>
      </c>
      <c r="AV190" s="68">
        <v>0</v>
      </c>
      <c r="AW190" s="68">
        <v>0</v>
      </c>
      <c r="AX190" s="68">
        <v>0</v>
      </c>
      <c r="AY190" s="68">
        <v>0</v>
      </c>
      <c r="AZ190" s="68">
        <v>0</v>
      </c>
      <c r="BA190" s="68">
        <v>0</v>
      </c>
      <c r="BB190" s="68">
        <v>0</v>
      </c>
      <c r="BC190" s="68">
        <v>0</v>
      </c>
      <c r="BD190" s="68">
        <v>0</v>
      </c>
      <c r="BE190" s="68">
        <v>0</v>
      </c>
      <c r="BF190" s="68">
        <v>0</v>
      </c>
      <c r="BG190" s="68">
        <v>0</v>
      </c>
      <c r="BH190" s="68">
        <v>0</v>
      </c>
      <c r="BI190" s="68">
        <v>0</v>
      </c>
      <c r="BJ190" s="68">
        <v>0</v>
      </c>
      <c r="BK190" s="68">
        <v>0</v>
      </c>
      <c r="BL190" s="68">
        <v>0</v>
      </c>
      <c r="BM190" s="68">
        <v>0</v>
      </c>
      <c r="BN190" s="68">
        <v>0</v>
      </c>
      <c r="BO190" s="68">
        <v>0</v>
      </c>
      <c r="BP190" s="68">
        <v>0</v>
      </c>
      <c r="BQ190" s="68">
        <v>0</v>
      </c>
      <c r="BR190" s="68">
        <v>0</v>
      </c>
      <c r="BS190" s="68">
        <v>0</v>
      </c>
      <c r="BT190" s="68">
        <v>0</v>
      </c>
      <c r="BU190" s="68">
        <v>0</v>
      </c>
      <c r="BV190" s="68">
        <v>0</v>
      </c>
      <c r="BW190" s="68">
        <v>0</v>
      </c>
      <c r="BX190" s="68">
        <v>0</v>
      </c>
      <c r="BY190" s="68">
        <v>0</v>
      </c>
      <c r="BZ190" s="68">
        <v>0</v>
      </c>
      <c r="CA190" s="68">
        <v>0</v>
      </c>
      <c r="CB190" s="68">
        <v>0</v>
      </c>
      <c r="CC190" s="68">
        <v>0</v>
      </c>
      <c r="CD190" s="68">
        <v>0</v>
      </c>
      <c r="CE190" s="68">
        <v>0</v>
      </c>
      <c r="CF190" s="68">
        <v>0</v>
      </c>
      <c r="CG190" s="68">
        <v>0</v>
      </c>
      <c r="CH190" s="68">
        <v>0</v>
      </c>
      <c r="CI190" s="68">
        <v>0</v>
      </c>
      <c r="CJ190" s="68">
        <v>0</v>
      </c>
      <c r="CK190" s="68">
        <v>0</v>
      </c>
      <c r="CL190" s="68">
        <v>0</v>
      </c>
      <c r="CM190" s="68">
        <v>0</v>
      </c>
      <c r="CN190" s="68">
        <v>0</v>
      </c>
      <c r="CO190" s="68">
        <v>0</v>
      </c>
      <c r="CP190" s="68">
        <v>0</v>
      </c>
      <c r="CQ190" s="68">
        <v>0</v>
      </c>
      <c r="CR190" s="68">
        <v>0</v>
      </c>
      <c r="CS190" s="68">
        <v>0</v>
      </c>
      <c r="CT190" s="68">
        <v>0</v>
      </c>
      <c r="CU190" s="68">
        <v>0</v>
      </c>
      <c r="CV190" s="68">
        <v>0</v>
      </c>
      <c r="CW190" s="68">
        <v>0</v>
      </c>
      <c r="CX190" s="68">
        <v>0</v>
      </c>
      <c r="CY190" s="68">
        <v>0</v>
      </c>
      <c r="CZ190" s="68">
        <v>0</v>
      </c>
      <c r="DA190" s="68">
        <v>0</v>
      </c>
      <c r="DB190" s="68">
        <v>0</v>
      </c>
      <c r="DC190" s="68">
        <v>0</v>
      </c>
      <c r="DD190" s="68">
        <v>0</v>
      </c>
      <c r="DE190" s="68">
        <v>0</v>
      </c>
      <c r="DF190" s="68">
        <v>0</v>
      </c>
      <c r="DG190" s="68">
        <v>0</v>
      </c>
      <c r="DH190" s="68">
        <v>0</v>
      </c>
      <c r="DI190" s="68">
        <v>0</v>
      </c>
      <c r="DJ190" s="68">
        <v>0</v>
      </c>
      <c r="DK190" s="68">
        <v>0</v>
      </c>
      <c r="DL190" s="68">
        <v>0</v>
      </c>
      <c r="DM190" s="68">
        <v>0</v>
      </c>
      <c r="DN190" s="68">
        <v>0</v>
      </c>
      <c r="DO190" s="68">
        <v>0</v>
      </c>
      <c r="DP190" s="68">
        <v>0</v>
      </c>
      <c r="DQ190" s="68">
        <v>0</v>
      </c>
      <c r="DR190" s="68">
        <v>0</v>
      </c>
      <c r="DS190" s="68">
        <v>0</v>
      </c>
      <c r="DT190" s="68">
        <v>0</v>
      </c>
      <c r="DU190" s="68">
        <v>0</v>
      </c>
      <c r="DV190" s="68">
        <v>0</v>
      </c>
      <c r="DW190" s="68">
        <v>0</v>
      </c>
      <c r="DX190" s="68">
        <v>0</v>
      </c>
      <c r="DY190" s="68">
        <v>0</v>
      </c>
      <c r="DZ190" s="68">
        <v>0</v>
      </c>
      <c r="EA190" s="68">
        <v>0</v>
      </c>
      <c r="EB190" s="68">
        <v>0</v>
      </c>
      <c r="EC190" s="68">
        <v>0</v>
      </c>
      <c r="ED190" s="68">
        <v>0</v>
      </c>
      <c r="EE190" s="68">
        <v>0</v>
      </c>
      <c r="EF190" s="68">
        <v>0</v>
      </c>
      <c r="EG190" s="68">
        <v>0</v>
      </c>
      <c r="EH190" s="68">
        <v>0</v>
      </c>
      <c r="EI190" s="68">
        <v>0</v>
      </c>
      <c r="EJ190" s="68">
        <v>0</v>
      </c>
      <c r="EK190" s="68">
        <v>0</v>
      </c>
      <c r="EL190" s="68">
        <v>0</v>
      </c>
      <c r="EM190" s="68">
        <v>0</v>
      </c>
      <c r="EN190" s="68">
        <v>0</v>
      </c>
      <c r="EO190" s="68">
        <v>0</v>
      </c>
      <c r="EP190" s="68">
        <v>0</v>
      </c>
      <c r="EQ190" s="68">
        <v>0</v>
      </c>
      <c r="ER190" s="68">
        <v>0</v>
      </c>
      <c r="ES190" s="68">
        <v>0</v>
      </c>
      <c r="ET190" s="68">
        <v>0</v>
      </c>
      <c r="EU190" s="68">
        <v>0</v>
      </c>
      <c r="EV190" s="68">
        <v>0</v>
      </c>
      <c r="EW190" s="68">
        <v>0</v>
      </c>
      <c r="EX190" s="68">
        <v>0</v>
      </c>
      <c r="EY190" s="68">
        <v>0</v>
      </c>
      <c r="EZ190" s="68">
        <v>0</v>
      </c>
      <c r="FA190" s="68">
        <v>0</v>
      </c>
      <c r="FB190" s="68">
        <v>0</v>
      </c>
      <c r="FC190" s="68">
        <v>0</v>
      </c>
      <c r="FD190" s="68">
        <v>0</v>
      </c>
      <c r="FE190" s="68">
        <v>0</v>
      </c>
      <c r="FF190" s="68">
        <v>0</v>
      </c>
      <c r="FG190" s="68">
        <v>0</v>
      </c>
      <c r="FH190" s="68">
        <v>0</v>
      </c>
      <c r="FI190" s="68">
        <v>0</v>
      </c>
      <c r="FJ190" s="68">
        <v>0</v>
      </c>
      <c r="FK190" s="68">
        <v>0</v>
      </c>
      <c r="FL190" s="94">
        <v>0</v>
      </c>
      <c r="FM190" s="68">
        <v>0</v>
      </c>
      <c r="FN190" s="68">
        <v>0</v>
      </c>
      <c r="FO190" s="68">
        <v>0</v>
      </c>
      <c r="FP190" s="68">
        <v>0</v>
      </c>
      <c r="FQ190" s="68">
        <v>0</v>
      </c>
      <c r="FR190" s="68">
        <v>0</v>
      </c>
      <c r="FS190" s="68">
        <v>0</v>
      </c>
      <c r="FT190" s="68">
        <v>0</v>
      </c>
      <c r="FU190" s="68">
        <v>0</v>
      </c>
      <c r="FV190" s="68">
        <v>0</v>
      </c>
      <c r="FW190" s="68">
        <v>0</v>
      </c>
      <c r="FX190" s="67"/>
      <c r="FY190" s="68"/>
      <c r="FZ190" s="69"/>
      <c r="GA190" s="69"/>
      <c r="GB190" s="69"/>
      <c r="GC190" s="69"/>
      <c r="GD190" s="69"/>
      <c r="GE190" s="69"/>
      <c r="GF190" s="69"/>
      <c r="GG190" s="165"/>
    </row>
    <row r="191" spans="1:189" s="66" customFormat="1" x14ac:dyDescent="0.2">
      <c r="A191"/>
      <c r="B191" s="82">
        <v>45809</v>
      </c>
      <c r="C191" s="68">
        <v>0</v>
      </c>
      <c r="D191" s="68">
        <v>0</v>
      </c>
      <c r="E191" s="68">
        <v>0</v>
      </c>
      <c r="F191" s="68">
        <v>0</v>
      </c>
      <c r="G191" s="68">
        <v>0</v>
      </c>
      <c r="H191" s="68">
        <v>0</v>
      </c>
      <c r="I191" s="68">
        <v>0</v>
      </c>
      <c r="J191" s="68">
        <v>0</v>
      </c>
      <c r="K191" s="68">
        <v>0</v>
      </c>
      <c r="L191" s="68">
        <v>0</v>
      </c>
      <c r="M191" s="68">
        <v>0</v>
      </c>
      <c r="N191" s="68">
        <v>0</v>
      </c>
      <c r="O191" s="68">
        <v>0</v>
      </c>
      <c r="P191" s="68">
        <v>0</v>
      </c>
      <c r="Q191" s="68">
        <v>0</v>
      </c>
      <c r="R191" s="68">
        <v>0</v>
      </c>
      <c r="S191" s="68">
        <v>0</v>
      </c>
      <c r="T191" s="68">
        <v>0</v>
      </c>
      <c r="U191" s="68">
        <v>0</v>
      </c>
      <c r="V191" s="68">
        <v>0</v>
      </c>
      <c r="W191" s="68">
        <v>0</v>
      </c>
      <c r="X191" s="68">
        <v>0</v>
      </c>
      <c r="Y191" s="68">
        <v>0</v>
      </c>
      <c r="Z191" s="68">
        <v>0</v>
      </c>
      <c r="AA191" s="68">
        <v>0</v>
      </c>
      <c r="AB191" s="68">
        <v>0</v>
      </c>
      <c r="AC191" s="68">
        <v>0</v>
      </c>
      <c r="AD191" s="68">
        <v>0</v>
      </c>
      <c r="AE191" s="68">
        <v>0</v>
      </c>
      <c r="AF191" s="68">
        <v>0</v>
      </c>
      <c r="AG191" s="68">
        <v>0</v>
      </c>
      <c r="AH191" s="68">
        <v>0</v>
      </c>
      <c r="AI191" s="68">
        <v>0</v>
      </c>
      <c r="AJ191" s="68">
        <v>0</v>
      </c>
      <c r="AK191" s="68">
        <v>0</v>
      </c>
      <c r="AL191" s="68">
        <v>0</v>
      </c>
      <c r="AM191" s="68">
        <v>0</v>
      </c>
      <c r="AN191" s="68">
        <v>0</v>
      </c>
      <c r="AO191" s="68">
        <v>0</v>
      </c>
      <c r="AP191" s="68">
        <v>0</v>
      </c>
      <c r="AQ191" s="68">
        <v>0</v>
      </c>
      <c r="AR191" s="68">
        <v>0</v>
      </c>
      <c r="AS191" s="68">
        <v>0</v>
      </c>
      <c r="AT191" s="68">
        <v>0</v>
      </c>
      <c r="AU191" s="68">
        <v>0</v>
      </c>
      <c r="AV191" s="68">
        <v>0</v>
      </c>
      <c r="AW191" s="68">
        <v>0</v>
      </c>
      <c r="AX191" s="68">
        <v>0</v>
      </c>
      <c r="AY191" s="68">
        <v>0</v>
      </c>
      <c r="AZ191" s="68">
        <v>0</v>
      </c>
      <c r="BA191" s="68">
        <v>0</v>
      </c>
      <c r="BB191" s="68">
        <v>0</v>
      </c>
      <c r="BC191" s="68">
        <v>0</v>
      </c>
      <c r="BD191" s="68">
        <v>0</v>
      </c>
      <c r="BE191" s="68">
        <v>0</v>
      </c>
      <c r="BF191" s="68">
        <v>0</v>
      </c>
      <c r="BG191" s="68">
        <v>0</v>
      </c>
      <c r="BH191" s="68">
        <v>0</v>
      </c>
      <c r="BI191" s="68">
        <v>0</v>
      </c>
      <c r="BJ191" s="68">
        <v>0</v>
      </c>
      <c r="BK191" s="68">
        <v>0</v>
      </c>
      <c r="BL191" s="68">
        <v>0</v>
      </c>
      <c r="BM191" s="68">
        <v>0</v>
      </c>
      <c r="BN191" s="68">
        <v>0</v>
      </c>
      <c r="BO191" s="68">
        <v>0</v>
      </c>
      <c r="BP191" s="68">
        <v>0</v>
      </c>
      <c r="BQ191" s="68">
        <v>0</v>
      </c>
      <c r="BR191" s="68">
        <v>0</v>
      </c>
      <c r="BS191" s="68">
        <v>0</v>
      </c>
      <c r="BT191" s="68">
        <v>0</v>
      </c>
      <c r="BU191" s="68">
        <v>0</v>
      </c>
      <c r="BV191" s="68">
        <v>0</v>
      </c>
      <c r="BW191" s="68">
        <v>0</v>
      </c>
      <c r="BX191" s="68">
        <v>0</v>
      </c>
      <c r="BY191" s="68">
        <v>0</v>
      </c>
      <c r="BZ191" s="68">
        <v>0</v>
      </c>
      <c r="CA191" s="68">
        <v>0</v>
      </c>
      <c r="CB191" s="68">
        <v>0</v>
      </c>
      <c r="CC191" s="68">
        <v>0</v>
      </c>
      <c r="CD191" s="68">
        <v>0</v>
      </c>
      <c r="CE191" s="68">
        <v>0</v>
      </c>
      <c r="CF191" s="68">
        <v>0</v>
      </c>
      <c r="CG191" s="68">
        <v>0</v>
      </c>
      <c r="CH191" s="68">
        <v>0</v>
      </c>
      <c r="CI191" s="68">
        <v>0</v>
      </c>
      <c r="CJ191" s="68">
        <v>0</v>
      </c>
      <c r="CK191" s="68">
        <v>0</v>
      </c>
      <c r="CL191" s="68">
        <v>0</v>
      </c>
      <c r="CM191" s="68">
        <v>0</v>
      </c>
      <c r="CN191" s="68">
        <v>0</v>
      </c>
      <c r="CO191" s="68">
        <v>0</v>
      </c>
      <c r="CP191" s="68">
        <v>0</v>
      </c>
      <c r="CQ191" s="68">
        <v>0</v>
      </c>
      <c r="CR191" s="68">
        <v>0</v>
      </c>
      <c r="CS191" s="68">
        <v>0</v>
      </c>
      <c r="CT191" s="68">
        <v>0</v>
      </c>
      <c r="CU191" s="68">
        <v>0</v>
      </c>
      <c r="CV191" s="68">
        <v>0</v>
      </c>
      <c r="CW191" s="68">
        <v>0</v>
      </c>
      <c r="CX191" s="68">
        <v>0</v>
      </c>
      <c r="CY191" s="68">
        <v>0</v>
      </c>
      <c r="CZ191" s="68">
        <v>0</v>
      </c>
      <c r="DA191" s="68">
        <v>0</v>
      </c>
      <c r="DB191" s="68">
        <v>0</v>
      </c>
      <c r="DC191" s="68">
        <v>0</v>
      </c>
      <c r="DD191" s="68">
        <v>0</v>
      </c>
      <c r="DE191" s="68">
        <v>0</v>
      </c>
      <c r="DF191" s="68">
        <v>0</v>
      </c>
      <c r="DG191" s="68">
        <v>0</v>
      </c>
      <c r="DH191" s="68">
        <v>0</v>
      </c>
      <c r="DI191" s="68">
        <v>0</v>
      </c>
      <c r="DJ191" s="68">
        <v>0</v>
      </c>
      <c r="DK191" s="68">
        <v>0</v>
      </c>
      <c r="DL191" s="68">
        <v>0</v>
      </c>
      <c r="DM191" s="68">
        <v>0</v>
      </c>
      <c r="DN191" s="68">
        <v>0</v>
      </c>
      <c r="DO191" s="68">
        <v>0</v>
      </c>
      <c r="DP191" s="68">
        <v>0</v>
      </c>
      <c r="DQ191" s="68">
        <v>0</v>
      </c>
      <c r="DR191" s="68">
        <v>0</v>
      </c>
      <c r="DS191" s="68">
        <v>0</v>
      </c>
      <c r="DT191" s="68">
        <v>0</v>
      </c>
      <c r="DU191" s="68">
        <v>0</v>
      </c>
      <c r="DV191" s="68">
        <v>0</v>
      </c>
      <c r="DW191" s="68">
        <v>0</v>
      </c>
      <c r="DX191" s="68">
        <v>0</v>
      </c>
      <c r="DY191" s="68">
        <v>0</v>
      </c>
      <c r="DZ191" s="68">
        <v>0</v>
      </c>
      <c r="EA191" s="68">
        <v>0</v>
      </c>
      <c r="EB191" s="68">
        <v>0</v>
      </c>
      <c r="EC191" s="68">
        <v>0</v>
      </c>
      <c r="ED191" s="68">
        <v>0</v>
      </c>
      <c r="EE191" s="68">
        <v>0</v>
      </c>
      <c r="EF191" s="68">
        <v>0</v>
      </c>
      <c r="EG191" s="68">
        <v>0</v>
      </c>
      <c r="EH191" s="68">
        <v>0</v>
      </c>
      <c r="EI191" s="68">
        <v>0</v>
      </c>
      <c r="EJ191" s="68">
        <v>0</v>
      </c>
      <c r="EK191" s="68">
        <v>0</v>
      </c>
      <c r="EL191" s="68">
        <v>0</v>
      </c>
      <c r="EM191" s="68">
        <v>0</v>
      </c>
      <c r="EN191" s="68">
        <v>0</v>
      </c>
      <c r="EO191" s="68">
        <v>0</v>
      </c>
      <c r="EP191" s="68">
        <v>0</v>
      </c>
      <c r="EQ191" s="68">
        <v>0</v>
      </c>
      <c r="ER191" s="68">
        <v>0</v>
      </c>
      <c r="ES191" s="68">
        <v>0</v>
      </c>
      <c r="ET191" s="68">
        <v>0</v>
      </c>
      <c r="EU191" s="68">
        <v>0</v>
      </c>
      <c r="EV191" s="68">
        <v>0</v>
      </c>
      <c r="EW191" s="68">
        <v>0</v>
      </c>
      <c r="EX191" s="68">
        <v>0</v>
      </c>
      <c r="EY191" s="68">
        <v>0</v>
      </c>
      <c r="EZ191" s="68">
        <v>0</v>
      </c>
      <c r="FA191" s="68">
        <v>0</v>
      </c>
      <c r="FB191" s="68">
        <v>0</v>
      </c>
      <c r="FC191" s="68">
        <v>0</v>
      </c>
      <c r="FD191" s="68">
        <v>0</v>
      </c>
      <c r="FE191" s="68">
        <v>0</v>
      </c>
      <c r="FF191" s="68">
        <v>0</v>
      </c>
      <c r="FG191" s="68">
        <v>0</v>
      </c>
      <c r="FH191" s="68">
        <v>0</v>
      </c>
      <c r="FI191" s="68">
        <v>0</v>
      </c>
      <c r="FJ191" s="68">
        <v>0</v>
      </c>
      <c r="FK191" s="68">
        <v>0</v>
      </c>
      <c r="FL191" s="68">
        <v>0</v>
      </c>
      <c r="FM191" s="94">
        <v>0</v>
      </c>
      <c r="FN191" s="68">
        <v>0</v>
      </c>
      <c r="FO191" s="68">
        <v>0</v>
      </c>
      <c r="FP191" s="68">
        <v>0</v>
      </c>
      <c r="FQ191" s="68">
        <v>0</v>
      </c>
      <c r="FR191" s="68">
        <v>0</v>
      </c>
      <c r="FS191" s="68">
        <v>0</v>
      </c>
      <c r="FT191" s="68">
        <v>0</v>
      </c>
      <c r="FU191" s="68">
        <v>0</v>
      </c>
      <c r="FV191" s="68">
        <v>0</v>
      </c>
      <c r="FW191" s="68">
        <v>0</v>
      </c>
      <c r="FX191" s="68">
        <v>0</v>
      </c>
      <c r="FY191" s="67"/>
      <c r="FZ191" s="68"/>
      <c r="GA191" s="69"/>
      <c r="GB191" s="69"/>
      <c r="GC191" s="69"/>
      <c r="GD191" s="69"/>
      <c r="GE191" s="69"/>
      <c r="GF191" s="69"/>
      <c r="GG191" s="165"/>
    </row>
    <row r="192" spans="1:189" s="66" customFormat="1" x14ac:dyDescent="0.2">
      <c r="A192"/>
      <c r="B192" s="82">
        <v>45839</v>
      </c>
      <c r="C192" s="68">
        <v>0</v>
      </c>
      <c r="D192" s="68">
        <v>0</v>
      </c>
      <c r="E192" s="68">
        <v>0</v>
      </c>
      <c r="F192" s="68">
        <v>0</v>
      </c>
      <c r="G192" s="68">
        <v>0</v>
      </c>
      <c r="H192" s="68">
        <v>0</v>
      </c>
      <c r="I192" s="68">
        <v>0</v>
      </c>
      <c r="J192" s="68">
        <v>0</v>
      </c>
      <c r="K192" s="68">
        <v>0</v>
      </c>
      <c r="L192" s="68">
        <v>0</v>
      </c>
      <c r="M192" s="68">
        <v>0</v>
      </c>
      <c r="N192" s="68">
        <v>0</v>
      </c>
      <c r="O192" s="68">
        <v>0</v>
      </c>
      <c r="P192" s="68">
        <v>0</v>
      </c>
      <c r="Q192" s="68">
        <v>0</v>
      </c>
      <c r="R192" s="68">
        <v>0</v>
      </c>
      <c r="S192" s="68">
        <v>0</v>
      </c>
      <c r="T192" s="68">
        <v>0</v>
      </c>
      <c r="U192" s="68">
        <v>0</v>
      </c>
      <c r="V192" s="68">
        <v>0</v>
      </c>
      <c r="W192" s="68">
        <v>0</v>
      </c>
      <c r="X192" s="68">
        <v>0</v>
      </c>
      <c r="Y192" s="68">
        <v>0</v>
      </c>
      <c r="Z192" s="68">
        <v>0</v>
      </c>
      <c r="AA192" s="68">
        <v>0</v>
      </c>
      <c r="AB192" s="68">
        <v>0</v>
      </c>
      <c r="AC192" s="68">
        <v>0</v>
      </c>
      <c r="AD192" s="68">
        <v>0</v>
      </c>
      <c r="AE192" s="68">
        <v>0</v>
      </c>
      <c r="AF192" s="68">
        <v>0</v>
      </c>
      <c r="AG192" s="68">
        <v>0</v>
      </c>
      <c r="AH192" s="68">
        <v>0</v>
      </c>
      <c r="AI192" s="68">
        <v>0</v>
      </c>
      <c r="AJ192" s="68">
        <v>0</v>
      </c>
      <c r="AK192" s="68">
        <v>0</v>
      </c>
      <c r="AL192" s="68">
        <v>0</v>
      </c>
      <c r="AM192" s="68">
        <v>0</v>
      </c>
      <c r="AN192" s="68">
        <v>0</v>
      </c>
      <c r="AO192" s="68">
        <v>0</v>
      </c>
      <c r="AP192" s="68">
        <v>0</v>
      </c>
      <c r="AQ192" s="68">
        <v>0</v>
      </c>
      <c r="AR192" s="68">
        <v>0</v>
      </c>
      <c r="AS192" s="68">
        <v>0</v>
      </c>
      <c r="AT192" s="68">
        <v>0</v>
      </c>
      <c r="AU192" s="68">
        <v>0</v>
      </c>
      <c r="AV192" s="68">
        <v>0</v>
      </c>
      <c r="AW192" s="68">
        <v>0</v>
      </c>
      <c r="AX192" s="68">
        <v>0</v>
      </c>
      <c r="AY192" s="68">
        <v>0</v>
      </c>
      <c r="AZ192" s="68">
        <v>0</v>
      </c>
      <c r="BA192" s="68">
        <v>0</v>
      </c>
      <c r="BB192" s="68">
        <v>0</v>
      </c>
      <c r="BC192" s="68">
        <v>0</v>
      </c>
      <c r="BD192" s="68">
        <v>0</v>
      </c>
      <c r="BE192" s="68">
        <v>0</v>
      </c>
      <c r="BF192" s="68">
        <v>0</v>
      </c>
      <c r="BG192" s="68">
        <v>0</v>
      </c>
      <c r="BH192" s="68">
        <v>0</v>
      </c>
      <c r="BI192" s="68">
        <v>0</v>
      </c>
      <c r="BJ192" s="68">
        <v>0</v>
      </c>
      <c r="BK192" s="68">
        <v>0</v>
      </c>
      <c r="BL192" s="68">
        <v>0</v>
      </c>
      <c r="BM192" s="68">
        <v>0</v>
      </c>
      <c r="BN192" s="68">
        <v>0</v>
      </c>
      <c r="BO192" s="68">
        <v>0</v>
      </c>
      <c r="BP192" s="68">
        <v>0</v>
      </c>
      <c r="BQ192" s="68">
        <v>0</v>
      </c>
      <c r="BR192" s="68">
        <v>0</v>
      </c>
      <c r="BS192" s="68">
        <v>0</v>
      </c>
      <c r="BT192" s="68">
        <v>0</v>
      </c>
      <c r="BU192" s="68">
        <v>0</v>
      </c>
      <c r="BV192" s="68">
        <v>0</v>
      </c>
      <c r="BW192" s="68">
        <v>0</v>
      </c>
      <c r="BX192" s="68">
        <v>0</v>
      </c>
      <c r="BY192" s="68">
        <v>0</v>
      </c>
      <c r="BZ192" s="68">
        <v>0</v>
      </c>
      <c r="CA192" s="68">
        <v>0</v>
      </c>
      <c r="CB192" s="68">
        <v>0</v>
      </c>
      <c r="CC192" s="68">
        <v>0</v>
      </c>
      <c r="CD192" s="68">
        <v>0</v>
      </c>
      <c r="CE192" s="68">
        <v>0</v>
      </c>
      <c r="CF192" s="68">
        <v>0</v>
      </c>
      <c r="CG192" s="68">
        <v>0</v>
      </c>
      <c r="CH192" s="68">
        <v>0</v>
      </c>
      <c r="CI192" s="68">
        <v>0</v>
      </c>
      <c r="CJ192" s="68">
        <v>0</v>
      </c>
      <c r="CK192" s="68">
        <v>0</v>
      </c>
      <c r="CL192" s="68">
        <v>0</v>
      </c>
      <c r="CM192" s="68">
        <v>0</v>
      </c>
      <c r="CN192" s="68">
        <v>0</v>
      </c>
      <c r="CO192" s="68">
        <v>0</v>
      </c>
      <c r="CP192" s="68">
        <v>0</v>
      </c>
      <c r="CQ192" s="68">
        <v>0</v>
      </c>
      <c r="CR192" s="68">
        <v>0</v>
      </c>
      <c r="CS192" s="68">
        <v>0</v>
      </c>
      <c r="CT192" s="68">
        <v>0</v>
      </c>
      <c r="CU192" s="68">
        <v>0</v>
      </c>
      <c r="CV192" s="68">
        <v>0</v>
      </c>
      <c r="CW192" s="68">
        <v>0</v>
      </c>
      <c r="CX192" s="68">
        <v>0</v>
      </c>
      <c r="CY192" s="68">
        <v>0</v>
      </c>
      <c r="CZ192" s="68">
        <v>0</v>
      </c>
      <c r="DA192" s="68">
        <v>0</v>
      </c>
      <c r="DB192" s="68">
        <v>0</v>
      </c>
      <c r="DC192" s="68">
        <v>0</v>
      </c>
      <c r="DD192" s="68">
        <v>0</v>
      </c>
      <c r="DE192" s="68">
        <v>0</v>
      </c>
      <c r="DF192" s="68">
        <v>0</v>
      </c>
      <c r="DG192" s="68">
        <v>0</v>
      </c>
      <c r="DH192" s="68">
        <v>0</v>
      </c>
      <c r="DI192" s="68">
        <v>0</v>
      </c>
      <c r="DJ192" s="68">
        <v>0</v>
      </c>
      <c r="DK192" s="68">
        <v>0</v>
      </c>
      <c r="DL192" s="68">
        <v>0</v>
      </c>
      <c r="DM192" s="68">
        <v>0</v>
      </c>
      <c r="DN192" s="68">
        <v>0</v>
      </c>
      <c r="DO192" s="68">
        <v>0</v>
      </c>
      <c r="DP192" s="68">
        <v>0</v>
      </c>
      <c r="DQ192" s="68">
        <v>0</v>
      </c>
      <c r="DR192" s="68">
        <v>0</v>
      </c>
      <c r="DS192" s="68">
        <v>0</v>
      </c>
      <c r="DT192" s="68">
        <v>0</v>
      </c>
      <c r="DU192" s="68">
        <v>0</v>
      </c>
      <c r="DV192" s="68">
        <v>0</v>
      </c>
      <c r="DW192" s="68">
        <v>0</v>
      </c>
      <c r="DX192" s="68">
        <v>0</v>
      </c>
      <c r="DY192" s="68">
        <v>0</v>
      </c>
      <c r="DZ192" s="68">
        <v>0</v>
      </c>
      <c r="EA192" s="68">
        <v>0</v>
      </c>
      <c r="EB192" s="68">
        <v>0</v>
      </c>
      <c r="EC192" s="68">
        <v>0</v>
      </c>
      <c r="ED192" s="68">
        <v>0</v>
      </c>
      <c r="EE192" s="68">
        <v>0</v>
      </c>
      <c r="EF192" s="68">
        <v>0</v>
      </c>
      <c r="EG192" s="68">
        <v>0</v>
      </c>
      <c r="EH192" s="68">
        <v>0</v>
      </c>
      <c r="EI192" s="68">
        <v>0</v>
      </c>
      <c r="EJ192" s="68">
        <v>0</v>
      </c>
      <c r="EK192" s="68">
        <v>0</v>
      </c>
      <c r="EL192" s="68">
        <v>0</v>
      </c>
      <c r="EM192" s="68">
        <v>0</v>
      </c>
      <c r="EN192" s="68">
        <v>0</v>
      </c>
      <c r="EO192" s="68">
        <v>0</v>
      </c>
      <c r="EP192" s="68">
        <v>0</v>
      </c>
      <c r="EQ192" s="68">
        <v>0</v>
      </c>
      <c r="ER192" s="68">
        <v>0</v>
      </c>
      <c r="ES192" s="68">
        <v>0</v>
      </c>
      <c r="ET192" s="68">
        <v>0</v>
      </c>
      <c r="EU192" s="68">
        <v>0</v>
      </c>
      <c r="EV192" s="68">
        <v>0</v>
      </c>
      <c r="EW192" s="68">
        <v>0</v>
      </c>
      <c r="EX192" s="68">
        <v>0</v>
      </c>
      <c r="EY192" s="68">
        <v>0</v>
      </c>
      <c r="EZ192" s="68">
        <v>0</v>
      </c>
      <c r="FA192" s="68">
        <v>0</v>
      </c>
      <c r="FB192" s="68">
        <v>0</v>
      </c>
      <c r="FC192" s="68">
        <v>0</v>
      </c>
      <c r="FD192" s="68">
        <v>0</v>
      </c>
      <c r="FE192" s="68">
        <v>0</v>
      </c>
      <c r="FF192" s="68">
        <v>0</v>
      </c>
      <c r="FG192" s="68">
        <v>0</v>
      </c>
      <c r="FH192" s="68">
        <v>0</v>
      </c>
      <c r="FI192" s="68">
        <v>0</v>
      </c>
      <c r="FJ192" s="68">
        <v>0</v>
      </c>
      <c r="FK192" s="68">
        <v>0</v>
      </c>
      <c r="FL192" s="68">
        <v>0</v>
      </c>
      <c r="FM192" s="68">
        <v>0</v>
      </c>
      <c r="FN192" s="94">
        <v>0</v>
      </c>
      <c r="FO192" s="68">
        <v>0</v>
      </c>
      <c r="FP192" s="68">
        <v>0</v>
      </c>
      <c r="FQ192" s="68">
        <v>0</v>
      </c>
      <c r="FR192" s="68">
        <v>0</v>
      </c>
      <c r="FS192" s="68">
        <v>0</v>
      </c>
      <c r="FT192" s="68">
        <v>0</v>
      </c>
      <c r="FU192" s="68">
        <v>0</v>
      </c>
      <c r="FV192" s="68">
        <v>0</v>
      </c>
      <c r="FW192" s="68">
        <v>0</v>
      </c>
      <c r="FX192" s="68">
        <v>0</v>
      </c>
      <c r="FY192" s="68">
        <v>0</v>
      </c>
      <c r="FZ192" s="67"/>
      <c r="GA192" s="68"/>
      <c r="GB192" s="69"/>
      <c r="GC192" s="69"/>
      <c r="GD192" s="69"/>
      <c r="GE192" s="69"/>
      <c r="GF192" s="69"/>
      <c r="GG192" s="165"/>
    </row>
    <row r="193" spans="1:189" s="66" customFormat="1" x14ac:dyDescent="0.2">
      <c r="A193"/>
      <c r="B193" s="82">
        <v>45870</v>
      </c>
      <c r="C193" s="68">
        <v>0</v>
      </c>
      <c r="D193" s="68">
        <v>0</v>
      </c>
      <c r="E193" s="68">
        <v>0</v>
      </c>
      <c r="F193" s="68">
        <v>0</v>
      </c>
      <c r="G193" s="68">
        <v>0</v>
      </c>
      <c r="H193" s="68">
        <v>0</v>
      </c>
      <c r="I193" s="68">
        <v>0</v>
      </c>
      <c r="J193" s="68">
        <v>0</v>
      </c>
      <c r="K193" s="68">
        <v>0</v>
      </c>
      <c r="L193" s="68">
        <v>0</v>
      </c>
      <c r="M193" s="68">
        <v>0</v>
      </c>
      <c r="N193" s="68">
        <v>0</v>
      </c>
      <c r="O193" s="68">
        <v>0</v>
      </c>
      <c r="P193" s="68">
        <v>0</v>
      </c>
      <c r="Q193" s="68">
        <v>0</v>
      </c>
      <c r="R193" s="68">
        <v>0</v>
      </c>
      <c r="S193" s="68">
        <v>0</v>
      </c>
      <c r="T193" s="68">
        <v>0</v>
      </c>
      <c r="U193" s="68">
        <v>0</v>
      </c>
      <c r="V193" s="68">
        <v>0</v>
      </c>
      <c r="W193" s="68">
        <v>0</v>
      </c>
      <c r="X193" s="68">
        <v>0</v>
      </c>
      <c r="Y193" s="68">
        <v>0</v>
      </c>
      <c r="Z193" s="68">
        <v>0</v>
      </c>
      <c r="AA193" s="68">
        <v>0</v>
      </c>
      <c r="AB193" s="68">
        <v>0</v>
      </c>
      <c r="AC193" s="68">
        <v>0</v>
      </c>
      <c r="AD193" s="68">
        <v>0</v>
      </c>
      <c r="AE193" s="68">
        <v>0</v>
      </c>
      <c r="AF193" s="68">
        <v>0</v>
      </c>
      <c r="AG193" s="68">
        <v>0</v>
      </c>
      <c r="AH193" s="68">
        <v>0</v>
      </c>
      <c r="AI193" s="68">
        <v>0</v>
      </c>
      <c r="AJ193" s="68">
        <v>0</v>
      </c>
      <c r="AK193" s="68">
        <v>0</v>
      </c>
      <c r="AL193" s="68">
        <v>0</v>
      </c>
      <c r="AM193" s="68">
        <v>0</v>
      </c>
      <c r="AN193" s="68">
        <v>0</v>
      </c>
      <c r="AO193" s="68">
        <v>0</v>
      </c>
      <c r="AP193" s="68">
        <v>0</v>
      </c>
      <c r="AQ193" s="68">
        <v>0</v>
      </c>
      <c r="AR193" s="68">
        <v>0</v>
      </c>
      <c r="AS193" s="68">
        <v>0</v>
      </c>
      <c r="AT193" s="68">
        <v>0</v>
      </c>
      <c r="AU193" s="68">
        <v>0</v>
      </c>
      <c r="AV193" s="68">
        <v>0</v>
      </c>
      <c r="AW193" s="68">
        <v>0</v>
      </c>
      <c r="AX193" s="68">
        <v>0</v>
      </c>
      <c r="AY193" s="68">
        <v>0</v>
      </c>
      <c r="AZ193" s="68">
        <v>0</v>
      </c>
      <c r="BA193" s="68">
        <v>0</v>
      </c>
      <c r="BB193" s="68">
        <v>0</v>
      </c>
      <c r="BC193" s="68">
        <v>0</v>
      </c>
      <c r="BD193" s="68">
        <v>0</v>
      </c>
      <c r="BE193" s="68">
        <v>0</v>
      </c>
      <c r="BF193" s="68">
        <v>0</v>
      </c>
      <c r="BG193" s="68">
        <v>0</v>
      </c>
      <c r="BH193" s="68">
        <v>0</v>
      </c>
      <c r="BI193" s="68">
        <v>0</v>
      </c>
      <c r="BJ193" s="68">
        <v>0</v>
      </c>
      <c r="BK193" s="68">
        <v>0</v>
      </c>
      <c r="BL193" s="68">
        <v>0</v>
      </c>
      <c r="BM193" s="68">
        <v>0</v>
      </c>
      <c r="BN193" s="68">
        <v>0</v>
      </c>
      <c r="BO193" s="68">
        <v>0</v>
      </c>
      <c r="BP193" s="68">
        <v>0</v>
      </c>
      <c r="BQ193" s="68">
        <v>0</v>
      </c>
      <c r="BR193" s="68">
        <v>0</v>
      </c>
      <c r="BS193" s="68">
        <v>0</v>
      </c>
      <c r="BT193" s="68">
        <v>0</v>
      </c>
      <c r="BU193" s="68">
        <v>0</v>
      </c>
      <c r="BV193" s="68">
        <v>0</v>
      </c>
      <c r="BW193" s="68">
        <v>0</v>
      </c>
      <c r="BX193" s="68">
        <v>0</v>
      </c>
      <c r="BY193" s="68">
        <v>0</v>
      </c>
      <c r="BZ193" s="68">
        <v>0</v>
      </c>
      <c r="CA193" s="68">
        <v>0</v>
      </c>
      <c r="CB193" s="68">
        <v>0</v>
      </c>
      <c r="CC193" s="68">
        <v>0</v>
      </c>
      <c r="CD193" s="68">
        <v>0</v>
      </c>
      <c r="CE193" s="68">
        <v>0</v>
      </c>
      <c r="CF193" s="68">
        <v>0</v>
      </c>
      <c r="CG193" s="68">
        <v>0</v>
      </c>
      <c r="CH193" s="68">
        <v>0</v>
      </c>
      <c r="CI193" s="68">
        <v>0</v>
      </c>
      <c r="CJ193" s="68">
        <v>0</v>
      </c>
      <c r="CK193" s="68">
        <v>0</v>
      </c>
      <c r="CL193" s="68">
        <v>0</v>
      </c>
      <c r="CM193" s="68">
        <v>0</v>
      </c>
      <c r="CN193" s="68">
        <v>0</v>
      </c>
      <c r="CO193" s="68">
        <v>0</v>
      </c>
      <c r="CP193" s="68">
        <v>0</v>
      </c>
      <c r="CQ193" s="68">
        <v>0</v>
      </c>
      <c r="CR193" s="68">
        <v>0</v>
      </c>
      <c r="CS193" s="68">
        <v>0</v>
      </c>
      <c r="CT193" s="68">
        <v>0</v>
      </c>
      <c r="CU193" s="68">
        <v>0</v>
      </c>
      <c r="CV193" s="68">
        <v>0</v>
      </c>
      <c r="CW193" s="68">
        <v>0</v>
      </c>
      <c r="CX193" s="68">
        <v>0</v>
      </c>
      <c r="CY193" s="68">
        <v>0</v>
      </c>
      <c r="CZ193" s="68">
        <v>0</v>
      </c>
      <c r="DA193" s="68">
        <v>0</v>
      </c>
      <c r="DB193" s="68">
        <v>0</v>
      </c>
      <c r="DC193" s="68">
        <v>0</v>
      </c>
      <c r="DD193" s="68">
        <v>0</v>
      </c>
      <c r="DE193" s="68">
        <v>0</v>
      </c>
      <c r="DF193" s="68">
        <v>0</v>
      </c>
      <c r="DG193" s="68">
        <v>0</v>
      </c>
      <c r="DH193" s="68">
        <v>0</v>
      </c>
      <c r="DI193" s="68">
        <v>0</v>
      </c>
      <c r="DJ193" s="68">
        <v>0</v>
      </c>
      <c r="DK193" s="68">
        <v>0</v>
      </c>
      <c r="DL193" s="68">
        <v>0</v>
      </c>
      <c r="DM193" s="68">
        <v>0</v>
      </c>
      <c r="DN193" s="68">
        <v>0</v>
      </c>
      <c r="DO193" s="68">
        <v>0</v>
      </c>
      <c r="DP193" s="68">
        <v>0</v>
      </c>
      <c r="DQ193" s="68">
        <v>0</v>
      </c>
      <c r="DR193" s="68">
        <v>0</v>
      </c>
      <c r="DS193" s="68">
        <v>0</v>
      </c>
      <c r="DT193" s="68">
        <v>0</v>
      </c>
      <c r="DU193" s="68">
        <v>0</v>
      </c>
      <c r="DV193" s="68">
        <v>0</v>
      </c>
      <c r="DW193" s="68">
        <v>0</v>
      </c>
      <c r="DX193" s="68">
        <v>0</v>
      </c>
      <c r="DY193" s="68">
        <v>0</v>
      </c>
      <c r="DZ193" s="68">
        <v>0</v>
      </c>
      <c r="EA193" s="68">
        <v>0</v>
      </c>
      <c r="EB193" s="68">
        <v>0</v>
      </c>
      <c r="EC193" s="68">
        <v>0</v>
      </c>
      <c r="ED193" s="68">
        <v>0</v>
      </c>
      <c r="EE193" s="68">
        <v>0</v>
      </c>
      <c r="EF193" s="68">
        <v>0</v>
      </c>
      <c r="EG193" s="68">
        <v>0</v>
      </c>
      <c r="EH193" s="68">
        <v>0</v>
      </c>
      <c r="EI193" s="68">
        <v>0</v>
      </c>
      <c r="EJ193" s="68">
        <v>0</v>
      </c>
      <c r="EK193" s="68">
        <v>0</v>
      </c>
      <c r="EL193" s="68">
        <v>0</v>
      </c>
      <c r="EM193" s="68">
        <v>0</v>
      </c>
      <c r="EN193" s="68">
        <v>0</v>
      </c>
      <c r="EO193" s="68">
        <v>0</v>
      </c>
      <c r="EP193" s="68">
        <v>0</v>
      </c>
      <c r="EQ193" s="68">
        <v>0</v>
      </c>
      <c r="ER193" s="68">
        <v>0</v>
      </c>
      <c r="ES193" s="68">
        <v>0</v>
      </c>
      <c r="ET193" s="68">
        <v>0</v>
      </c>
      <c r="EU193" s="68">
        <v>0</v>
      </c>
      <c r="EV193" s="68">
        <v>0</v>
      </c>
      <c r="EW193" s="68">
        <v>0</v>
      </c>
      <c r="EX193" s="68">
        <v>0</v>
      </c>
      <c r="EY193" s="68">
        <v>0</v>
      </c>
      <c r="EZ193" s="68">
        <v>0</v>
      </c>
      <c r="FA193" s="68">
        <v>0</v>
      </c>
      <c r="FB193" s="68">
        <v>0</v>
      </c>
      <c r="FC193" s="68">
        <v>0</v>
      </c>
      <c r="FD193" s="68">
        <v>0</v>
      </c>
      <c r="FE193" s="68">
        <v>0</v>
      </c>
      <c r="FF193" s="68">
        <v>0</v>
      </c>
      <c r="FG193" s="68">
        <v>0</v>
      </c>
      <c r="FH193" s="68">
        <v>0</v>
      </c>
      <c r="FI193" s="68">
        <v>0</v>
      </c>
      <c r="FJ193" s="68">
        <v>0</v>
      </c>
      <c r="FK193" s="68">
        <v>0</v>
      </c>
      <c r="FL193" s="68">
        <v>0</v>
      </c>
      <c r="FM193" s="68">
        <v>0</v>
      </c>
      <c r="FN193" s="68">
        <v>0</v>
      </c>
      <c r="FO193" s="94">
        <v>0</v>
      </c>
      <c r="FP193" s="68">
        <v>0</v>
      </c>
      <c r="FQ193" s="68">
        <v>0</v>
      </c>
      <c r="FR193" s="68">
        <v>0</v>
      </c>
      <c r="FS193" s="68">
        <v>0</v>
      </c>
      <c r="FT193" s="68">
        <v>0</v>
      </c>
      <c r="FU193" s="68">
        <v>0</v>
      </c>
      <c r="FV193" s="68">
        <v>0</v>
      </c>
      <c r="FW193" s="68">
        <v>0</v>
      </c>
      <c r="FX193" s="68">
        <v>0</v>
      </c>
      <c r="FY193" s="68">
        <v>0</v>
      </c>
      <c r="FZ193" s="68">
        <v>0</v>
      </c>
      <c r="GA193" s="67"/>
      <c r="GB193" s="68"/>
      <c r="GC193" s="69"/>
      <c r="GD193" s="69"/>
      <c r="GE193" s="69"/>
      <c r="GF193" s="69"/>
      <c r="GG193" s="165"/>
    </row>
    <row r="194" spans="1:189" s="66" customFormat="1" x14ac:dyDescent="0.2">
      <c r="A194"/>
      <c r="B194" s="82">
        <v>45901</v>
      </c>
      <c r="C194" s="68">
        <v>0</v>
      </c>
      <c r="D194" s="68">
        <v>0</v>
      </c>
      <c r="E194" s="68">
        <v>0</v>
      </c>
      <c r="F194" s="68">
        <v>0</v>
      </c>
      <c r="G194" s="68">
        <v>0</v>
      </c>
      <c r="H194" s="68">
        <v>0</v>
      </c>
      <c r="I194" s="68">
        <v>0</v>
      </c>
      <c r="J194" s="68">
        <v>0</v>
      </c>
      <c r="K194" s="68">
        <v>0</v>
      </c>
      <c r="L194" s="68">
        <v>0</v>
      </c>
      <c r="M194" s="68">
        <v>0</v>
      </c>
      <c r="N194" s="68">
        <v>0</v>
      </c>
      <c r="O194" s="68">
        <v>0</v>
      </c>
      <c r="P194" s="68">
        <v>0</v>
      </c>
      <c r="Q194" s="68">
        <v>0</v>
      </c>
      <c r="R194" s="68">
        <v>0</v>
      </c>
      <c r="S194" s="68">
        <v>0</v>
      </c>
      <c r="T194" s="68">
        <v>0</v>
      </c>
      <c r="U194" s="68">
        <v>0</v>
      </c>
      <c r="V194" s="68">
        <v>0</v>
      </c>
      <c r="W194" s="68">
        <v>0</v>
      </c>
      <c r="X194" s="68">
        <v>0</v>
      </c>
      <c r="Y194" s="68">
        <v>0</v>
      </c>
      <c r="Z194" s="68">
        <v>0</v>
      </c>
      <c r="AA194" s="68">
        <v>0</v>
      </c>
      <c r="AB194" s="68">
        <v>0</v>
      </c>
      <c r="AC194" s="68">
        <v>0</v>
      </c>
      <c r="AD194" s="68">
        <v>0</v>
      </c>
      <c r="AE194" s="68">
        <v>0</v>
      </c>
      <c r="AF194" s="68">
        <v>0</v>
      </c>
      <c r="AG194" s="68">
        <v>0</v>
      </c>
      <c r="AH194" s="68">
        <v>0</v>
      </c>
      <c r="AI194" s="68">
        <v>0</v>
      </c>
      <c r="AJ194" s="68">
        <v>0</v>
      </c>
      <c r="AK194" s="68">
        <v>0</v>
      </c>
      <c r="AL194" s="68">
        <v>0</v>
      </c>
      <c r="AM194" s="68">
        <v>0</v>
      </c>
      <c r="AN194" s="68">
        <v>0</v>
      </c>
      <c r="AO194" s="68">
        <v>0</v>
      </c>
      <c r="AP194" s="68">
        <v>0</v>
      </c>
      <c r="AQ194" s="68">
        <v>0</v>
      </c>
      <c r="AR194" s="68">
        <v>0</v>
      </c>
      <c r="AS194" s="68">
        <v>0</v>
      </c>
      <c r="AT194" s="68">
        <v>0</v>
      </c>
      <c r="AU194" s="68">
        <v>0</v>
      </c>
      <c r="AV194" s="68">
        <v>0</v>
      </c>
      <c r="AW194" s="68">
        <v>0</v>
      </c>
      <c r="AX194" s="68">
        <v>0</v>
      </c>
      <c r="AY194" s="68">
        <v>0</v>
      </c>
      <c r="AZ194" s="68">
        <v>0</v>
      </c>
      <c r="BA194" s="68">
        <v>0</v>
      </c>
      <c r="BB194" s="68">
        <v>0</v>
      </c>
      <c r="BC194" s="68">
        <v>0</v>
      </c>
      <c r="BD194" s="68">
        <v>0</v>
      </c>
      <c r="BE194" s="68">
        <v>0</v>
      </c>
      <c r="BF194" s="68">
        <v>0</v>
      </c>
      <c r="BG194" s="68">
        <v>0</v>
      </c>
      <c r="BH194" s="68">
        <v>0</v>
      </c>
      <c r="BI194" s="68">
        <v>0</v>
      </c>
      <c r="BJ194" s="68">
        <v>0</v>
      </c>
      <c r="BK194" s="68">
        <v>0</v>
      </c>
      <c r="BL194" s="68">
        <v>0</v>
      </c>
      <c r="BM194" s="68">
        <v>0</v>
      </c>
      <c r="BN194" s="68">
        <v>0</v>
      </c>
      <c r="BO194" s="68">
        <v>0</v>
      </c>
      <c r="BP194" s="68">
        <v>0</v>
      </c>
      <c r="BQ194" s="68">
        <v>0</v>
      </c>
      <c r="BR194" s="68">
        <v>0</v>
      </c>
      <c r="BS194" s="68">
        <v>0</v>
      </c>
      <c r="BT194" s="68">
        <v>0</v>
      </c>
      <c r="BU194" s="68">
        <v>0</v>
      </c>
      <c r="BV194" s="68">
        <v>0</v>
      </c>
      <c r="BW194" s="68">
        <v>0</v>
      </c>
      <c r="BX194" s="68">
        <v>0</v>
      </c>
      <c r="BY194" s="68">
        <v>0</v>
      </c>
      <c r="BZ194" s="68">
        <v>0</v>
      </c>
      <c r="CA194" s="68">
        <v>0</v>
      </c>
      <c r="CB194" s="68">
        <v>0</v>
      </c>
      <c r="CC194" s="68">
        <v>0</v>
      </c>
      <c r="CD194" s="68">
        <v>0</v>
      </c>
      <c r="CE194" s="68">
        <v>0</v>
      </c>
      <c r="CF194" s="68">
        <v>0</v>
      </c>
      <c r="CG194" s="68">
        <v>0</v>
      </c>
      <c r="CH194" s="68">
        <v>0</v>
      </c>
      <c r="CI194" s="68">
        <v>0</v>
      </c>
      <c r="CJ194" s="68">
        <v>0</v>
      </c>
      <c r="CK194" s="68">
        <v>0</v>
      </c>
      <c r="CL194" s="68">
        <v>0</v>
      </c>
      <c r="CM194" s="68">
        <v>0</v>
      </c>
      <c r="CN194" s="68">
        <v>0</v>
      </c>
      <c r="CO194" s="68">
        <v>0</v>
      </c>
      <c r="CP194" s="68">
        <v>0</v>
      </c>
      <c r="CQ194" s="68">
        <v>0</v>
      </c>
      <c r="CR194" s="68">
        <v>0</v>
      </c>
      <c r="CS194" s="68">
        <v>0</v>
      </c>
      <c r="CT194" s="68">
        <v>0</v>
      </c>
      <c r="CU194" s="68">
        <v>0</v>
      </c>
      <c r="CV194" s="68">
        <v>0</v>
      </c>
      <c r="CW194" s="68">
        <v>0</v>
      </c>
      <c r="CX194" s="68">
        <v>0</v>
      </c>
      <c r="CY194" s="68">
        <v>0</v>
      </c>
      <c r="CZ194" s="68">
        <v>0</v>
      </c>
      <c r="DA194" s="68">
        <v>0</v>
      </c>
      <c r="DB194" s="68">
        <v>0</v>
      </c>
      <c r="DC194" s="68">
        <v>0</v>
      </c>
      <c r="DD194" s="68">
        <v>0</v>
      </c>
      <c r="DE194" s="68">
        <v>0</v>
      </c>
      <c r="DF194" s="68">
        <v>0</v>
      </c>
      <c r="DG194" s="68">
        <v>0</v>
      </c>
      <c r="DH194" s="68">
        <v>0</v>
      </c>
      <c r="DI194" s="68">
        <v>0</v>
      </c>
      <c r="DJ194" s="68">
        <v>0</v>
      </c>
      <c r="DK194" s="68">
        <v>0</v>
      </c>
      <c r="DL194" s="68">
        <v>0</v>
      </c>
      <c r="DM194" s="68">
        <v>0</v>
      </c>
      <c r="DN194" s="68">
        <v>0</v>
      </c>
      <c r="DO194" s="68">
        <v>0</v>
      </c>
      <c r="DP194" s="68">
        <v>0</v>
      </c>
      <c r="DQ194" s="68">
        <v>0</v>
      </c>
      <c r="DR194" s="68">
        <v>0</v>
      </c>
      <c r="DS194" s="68">
        <v>0</v>
      </c>
      <c r="DT194" s="68">
        <v>0</v>
      </c>
      <c r="DU194" s="68">
        <v>0</v>
      </c>
      <c r="DV194" s="68">
        <v>0</v>
      </c>
      <c r="DW194" s="68">
        <v>0</v>
      </c>
      <c r="DX194" s="68">
        <v>0</v>
      </c>
      <c r="DY194" s="68">
        <v>0</v>
      </c>
      <c r="DZ194" s="68">
        <v>0</v>
      </c>
      <c r="EA194" s="68">
        <v>0</v>
      </c>
      <c r="EB194" s="68">
        <v>0</v>
      </c>
      <c r="EC194" s="68">
        <v>0</v>
      </c>
      <c r="ED194" s="68">
        <v>0</v>
      </c>
      <c r="EE194" s="68">
        <v>0</v>
      </c>
      <c r="EF194" s="68">
        <v>0</v>
      </c>
      <c r="EG194" s="68">
        <v>0</v>
      </c>
      <c r="EH194" s="68">
        <v>0</v>
      </c>
      <c r="EI194" s="68">
        <v>0</v>
      </c>
      <c r="EJ194" s="68">
        <v>0</v>
      </c>
      <c r="EK194" s="68">
        <v>0</v>
      </c>
      <c r="EL194" s="68">
        <v>0</v>
      </c>
      <c r="EM194" s="68">
        <v>0</v>
      </c>
      <c r="EN194" s="68">
        <v>0</v>
      </c>
      <c r="EO194" s="68">
        <v>0</v>
      </c>
      <c r="EP194" s="68">
        <v>0</v>
      </c>
      <c r="EQ194" s="68">
        <v>0</v>
      </c>
      <c r="ER194" s="68">
        <v>0</v>
      </c>
      <c r="ES194" s="68">
        <v>0</v>
      </c>
      <c r="ET194" s="68">
        <v>0</v>
      </c>
      <c r="EU194" s="68">
        <v>0</v>
      </c>
      <c r="EV194" s="68">
        <v>0</v>
      </c>
      <c r="EW194" s="68">
        <v>0</v>
      </c>
      <c r="EX194" s="68">
        <v>0</v>
      </c>
      <c r="EY194" s="68">
        <v>0</v>
      </c>
      <c r="EZ194" s="68">
        <v>0</v>
      </c>
      <c r="FA194" s="68">
        <v>0</v>
      </c>
      <c r="FB194" s="68">
        <v>0</v>
      </c>
      <c r="FC194" s="68">
        <v>0</v>
      </c>
      <c r="FD194" s="68">
        <v>0</v>
      </c>
      <c r="FE194" s="68">
        <v>0</v>
      </c>
      <c r="FF194" s="68">
        <v>0</v>
      </c>
      <c r="FG194" s="68">
        <v>0</v>
      </c>
      <c r="FH194" s="68">
        <v>0</v>
      </c>
      <c r="FI194" s="68">
        <v>0</v>
      </c>
      <c r="FJ194" s="68">
        <v>0</v>
      </c>
      <c r="FK194" s="68">
        <v>0</v>
      </c>
      <c r="FL194" s="68">
        <v>0</v>
      </c>
      <c r="FM194" s="68">
        <v>0</v>
      </c>
      <c r="FN194" s="68">
        <v>0</v>
      </c>
      <c r="FO194" s="68">
        <v>0</v>
      </c>
      <c r="FP194" s="94">
        <v>0</v>
      </c>
      <c r="FQ194" s="68">
        <v>0</v>
      </c>
      <c r="FR194" s="68">
        <v>0</v>
      </c>
      <c r="FS194" s="68">
        <v>0</v>
      </c>
      <c r="FT194" s="68">
        <v>0</v>
      </c>
      <c r="FU194" s="68">
        <v>0</v>
      </c>
      <c r="FV194" s="68">
        <v>0</v>
      </c>
      <c r="FW194" s="68">
        <v>0</v>
      </c>
      <c r="FX194" s="68">
        <v>0</v>
      </c>
      <c r="FY194" s="68">
        <v>0</v>
      </c>
      <c r="FZ194" s="68">
        <v>0</v>
      </c>
      <c r="GA194" s="68">
        <v>0</v>
      </c>
      <c r="GB194" s="67"/>
      <c r="GC194" s="68"/>
      <c r="GD194" s="69"/>
      <c r="GE194" s="69"/>
      <c r="GF194" s="69"/>
      <c r="GG194" s="165"/>
    </row>
    <row r="195" spans="1:189" s="66" customFormat="1" x14ac:dyDescent="0.2">
      <c r="A195"/>
      <c r="B195" s="82">
        <v>45931</v>
      </c>
      <c r="C195" s="68">
        <v>0</v>
      </c>
      <c r="D195" s="68">
        <v>0</v>
      </c>
      <c r="E195" s="68">
        <v>0</v>
      </c>
      <c r="F195" s="68">
        <v>0</v>
      </c>
      <c r="G195" s="68">
        <v>0</v>
      </c>
      <c r="H195" s="68">
        <v>0</v>
      </c>
      <c r="I195" s="68">
        <v>0</v>
      </c>
      <c r="J195" s="68">
        <v>0</v>
      </c>
      <c r="K195" s="68">
        <v>0</v>
      </c>
      <c r="L195" s="68">
        <v>0</v>
      </c>
      <c r="M195" s="68">
        <v>0</v>
      </c>
      <c r="N195" s="68">
        <v>0</v>
      </c>
      <c r="O195" s="68">
        <v>0</v>
      </c>
      <c r="P195" s="68">
        <v>0</v>
      </c>
      <c r="Q195" s="68">
        <v>0</v>
      </c>
      <c r="R195" s="68">
        <v>0</v>
      </c>
      <c r="S195" s="68">
        <v>0</v>
      </c>
      <c r="T195" s="68">
        <v>0</v>
      </c>
      <c r="U195" s="68">
        <v>0</v>
      </c>
      <c r="V195" s="68">
        <v>0</v>
      </c>
      <c r="W195" s="68">
        <v>0</v>
      </c>
      <c r="X195" s="68">
        <v>0</v>
      </c>
      <c r="Y195" s="68">
        <v>0</v>
      </c>
      <c r="Z195" s="68">
        <v>0</v>
      </c>
      <c r="AA195" s="68">
        <v>0</v>
      </c>
      <c r="AB195" s="68">
        <v>0</v>
      </c>
      <c r="AC195" s="68">
        <v>0</v>
      </c>
      <c r="AD195" s="68">
        <v>0</v>
      </c>
      <c r="AE195" s="68">
        <v>0</v>
      </c>
      <c r="AF195" s="68">
        <v>0</v>
      </c>
      <c r="AG195" s="68">
        <v>0</v>
      </c>
      <c r="AH195" s="68">
        <v>0</v>
      </c>
      <c r="AI195" s="68">
        <v>0</v>
      </c>
      <c r="AJ195" s="68">
        <v>0</v>
      </c>
      <c r="AK195" s="68">
        <v>0</v>
      </c>
      <c r="AL195" s="68">
        <v>0</v>
      </c>
      <c r="AM195" s="68">
        <v>0</v>
      </c>
      <c r="AN195" s="68">
        <v>0</v>
      </c>
      <c r="AO195" s="68">
        <v>0</v>
      </c>
      <c r="AP195" s="68">
        <v>0</v>
      </c>
      <c r="AQ195" s="68">
        <v>0</v>
      </c>
      <c r="AR195" s="68">
        <v>0</v>
      </c>
      <c r="AS195" s="68">
        <v>0</v>
      </c>
      <c r="AT195" s="68">
        <v>0</v>
      </c>
      <c r="AU195" s="68">
        <v>0</v>
      </c>
      <c r="AV195" s="68">
        <v>0</v>
      </c>
      <c r="AW195" s="68">
        <v>0</v>
      </c>
      <c r="AX195" s="68">
        <v>0</v>
      </c>
      <c r="AY195" s="68">
        <v>0</v>
      </c>
      <c r="AZ195" s="68">
        <v>0</v>
      </c>
      <c r="BA195" s="68">
        <v>0</v>
      </c>
      <c r="BB195" s="68">
        <v>0</v>
      </c>
      <c r="BC195" s="68">
        <v>0</v>
      </c>
      <c r="BD195" s="68">
        <v>0</v>
      </c>
      <c r="BE195" s="68">
        <v>0</v>
      </c>
      <c r="BF195" s="68">
        <v>0</v>
      </c>
      <c r="BG195" s="68">
        <v>0</v>
      </c>
      <c r="BH195" s="68">
        <v>0</v>
      </c>
      <c r="BI195" s="68">
        <v>0</v>
      </c>
      <c r="BJ195" s="68">
        <v>0</v>
      </c>
      <c r="BK195" s="68">
        <v>0</v>
      </c>
      <c r="BL195" s="68">
        <v>0</v>
      </c>
      <c r="BM195" s="68">
        <v>0</v>
      </c>
      <c r="BN195" s="68">
        <v>0</v>
      </c>
      <c r="BO195" s="68">
        <v>0</v>
      </c>
      <c r="BP195" s="68">
        <v>0</v>
      </c>
      <c r="BQ195" s="68">
        <v>0</v>
      </c>
      <c r="BR195" s="68">
        <v>0</v>
      </c>
      <c r="BS195" s="68">
        <v>0</v>
      </c>
      <c r="BT195" s="68">
        <v>0</v>
      </c>
      <c r="BU195" s="68">
        <v>0</v>
      </c>
      <c r="BV195" s="68">
        <v>0</v>
      </c>
      <c r="BW195" s="68">
        <v>0</v>
      </c>
      <c r="BX195" s="68">
        <v>0</v>
      </c>
      <c r="BY195" s="68">
        <v>0</v>
      </c>
      <c r="BZ195" s="68">
        <v>0</v>
      </c>
      <c r="CA195" s="68">
        <v>0</v>
      </c>
      <c r="CB195" s="68">
        <v>0</v>
      </c>
      <c r="CC195" s="68">
        <v>0</v>
      </c>
      <c r="CD195" s="68">
        <v>0</v>
      </c>
      <c r="CE195" s="68">
        <v>0</v>
      </c>
      <c r="CF195" s="68">
        <v>0</v>
      </c>
      <c r="CG195" s="68">
        <v>0</v>
      </c>
      <c r="CH195" s="68">
        <v>0</v>
      </c>
      <c r="CI195" s="68">
        <v>0</v>
      </c>
      <c r="CJ195" s="68">
        <v>0</v>
      </c>
      <c r="CK195" s="68">
        <v>0</v>
      </c>
      <c r="CL195" s="68">
        <v>0</v>
      </c>
      <c r="CM195" s="68">
        <v>0</v>
      </c>
      <c r="CN195" s="68">
        <v>0</v>
      </c>
      <c r="CO195" s="68">
        <v>0</v>
      </c>
      <c r="CP195" s="68">
        <v>0</v>
      </c>
      <c r="CQ195" s="68">
        <v>0</v>
      </c>
      <c r="CR195" s="68">
        <v>0</v>
      </c>
      <c r="CS195" s="68">
        <v>0</v>
      </c>
      <c r="CT195" s="68">
        <v>0</v>
      </c>
      <c r="CU195" s="68">
        <v>0</v>
      </c>
      <c r="CV195" s="68">
        <v>0</v>
      </c>
      <c r="CW195" s="68">
        <v>0</v>
      </c>
      <c r="CX195" s="68">
        <v>0</v>
      </c>
      <c r="CY195" s="68">
        <v>0</v>
      </c>
      <c r="CZ195" s="68">
        <v>0</v>
      </c>
      <c r="DA195" s="68">
        <v>0</v>
      </c>
      <c r="DB195" s="68">
        <v>0</v>
      </c>
      <c r="DC195" s="68">
        <v>0</v>
      </c>
      <c r="DD195" s="68">
        <v>0</v>
      </c>
      <c r="DE195" s="68">
        <v>0</v>
      </c>
      <c r="DF195" s="68">
        <v>0</v>
      </c>
      <c r="DG195" s="68">
        <v>0</v>
      </c>
      <c r="DH195" s="68">
        <v>0</v>
      </c>
      <c r="DI195" s="68">
        <v>0</v>
      </c>
      <c r="DJ195" s="68">
        <v>0</v>
      </c>
      <c r="DK195" s="68">
        <v>0</v>
      </c>
      <c r="DL195" s="68">
        <v>0</v>
      </c>
      <c r="DM195" s="68">
        <v>0</v>
      </c>
      <c r="DN195" s="68">
        <v>0</v>
      </c>
      <c r="DO195" s="68">
        <v>0</v>
      </c>
      <c r="DP195" s="68">
        <v>0</v>
      </c>
      <c r="DQ195" s="68">
        <v>0</v>
      </c>
      <c r="DR195" s="68">
        <v>0</v>
      </c>
      <c r="DS195" s="68">
        <v>0</v>
      </c>
      <c r="DT195" s="68">
        <v>0</v>
      </c>
      <c r="DU195" s="68">
        <v>0</v>
      </c>
      <c r="DV195" s="68">
        <v>0</v>
      </c>
      <c r="DW195" s="68">
        <v>0</v>
      </c>
      <c r="DX195" s="68">
        <v>0</v>
      </c>
      <c r="DY195" s="68">
        <v>0</v>
      </c>
      <c r="DZ195" s="68">
        <v>0</v>
      </c>
      <c r="EA195" s="68">
        <v>0</v>
      </c>
      <c r="EB195" s="68">
        <v>0</v>
      </c>
      <c r="EC195" s="68">
        <v>0</v>
      </c>
      <c r="ED195" s="68">
        <v>0</v>
      </c>
      <c r="EE195" s="68">
        <v>0</v>
      </c>
      <c r="EF195" s="68">
        <v>0</v>
      </c>
      <c r="EG195" s="68">
        <v>0</v>
      </c>
      <c r="EH195" s="68">
        <v>0</v>
      </c>
      <c r="EI195" s="68">
        <v>0</v>
      </c>
      <c r="EJ195" s="68">
        <v>0</v>
      </c>
      <c r="EK195" s="68">
        <v>0</v>
      </c>
      <c r="EL195" s="68">
        <v>0</v>
      </c>
      <c r="EM195" s="68">
        <v>0</v>
      </c>
      <c r="EN195" s="68">
        <v>0</v>
      </c>
      <c r="EO195" s="68">
        <v>0</v>
      </c>
      <c r="EP195" s="68">
        <v>0</v>
      </c>
      <c r="EQ195" s="68">
        <v>0</v>
      </c>
      <c r="ER195" s="68">
        <v>0</v>
      </c>
      <c r="ES195" s="68">
        <v>0</v>
      </c>
      <c r="ET195" s="68">
        <v>0</v>
      </c>
      <c r="EU195" s="68">
        <v>0</v>
      </c>
      <c r="EV195" s="68">
        <v>0</v>
      </c>
      <c r="EW195" s="68">
        <v>0</v>
      </c>
      <c r="EX195" s="68">
        <v>0</v>
      </c>
      <c r="EY195" s="68">
        <v>0</v>
      </c>
      <c r="EZ195" s="68">
        <v>0</v>
      </c>
      <c r="FA195" s="68">
        <v>0</v>
      </c>
      <c r="FB195" s="68">
        <v>0</v>
      </c>
      <c r="FC195" s="68">
        <v>0</v>
      </c>
      <c r="FD195" s="68">
        <v>0</v>
      </c>
      <c r="FE195" s="68">
        <v>0</v>
      </c>
      <c r="FF195" s="68">
        <v>0</v>
      </c>
      <c r="FG195" s="68">
        <v>0</v>
      </c>
      <c r="FH195" s="68">
        <v>0</v>
      </c>
      <c r="FI195" s="68">
        <v>0</v>
      </c>
      <c r="FJ195" s="68">
        <v>0</v>
      </c>
      <c r="FK195" s="68">
        <v>0</v>
      </c>
      <c r="FL195" s="68">
        <v>0</v>
      </c>
      <c r="FM195" s="68">
        <v>0</v>
      </c>
      <c r="FN195" s="68">
        <v>0</v>
      </c>
      <c r="FO195" s="68">
        <v>0</v>
      </c>
      <c r="FP195" s="68">
        <v>0</v>
      </c>
      <c r="FQ195" s="94">
        <v>0</v>
      </c>
      <c r="FR195" s="68">
        <v>0</v>
      </c>
      <c r="FS195" s="68">
        <v>0</v>
      </c>
      <c r="FT195" s="68">
        <v>0</v>
      </c>
      <c r="FU195" s="68">
        <v>0</v>
      </c>
      <c r="FV195" s="68">
        <v>0</v>
      </c>
      <c r="FW195" s="68">
        <v>0</v>
      </c>
      <c r="FX195" s="68">
        <v>0</v>
      </c>
      <c r="FY195" s="68">
        <v>0</v>
      </c>
      <c r="FZ195" s="68">
        <v>0</v>
      </c>
      <c r="GA195" s="68">
        <v>0</v>
      </c>
      <c r="GB195" s="68">
        <v>0</v>
      </c>
      <c r="GC195" s="67"/>
      <c r="GD195" s="68"/>
      <c r="GE195" s="69"/>
      <c r="GF195" s="69"/>
      <c r="GG195" s="165"/>
    </row>
    <row r="196" spans="1:189" s="66" customFormat="1" x14ac:dyDescent="0.2">
      <c r="A196"/>
      <c r="B196" s="82">
        <v>45962</v>
      </c>
      <c r="C196" s="68">
        <v>0</v>
      </c>
      <c r="D196" s="68">
        <v>0</v>
      </c>
      <c r="E196" s="68">
        <v>0</v>
      </c>
      <c r="F196" s="68">
        <v>0</v>
      </c>
      <c r="G196" s="68">
        <v>0</v>
      </c>
      <c r="H196" s="68">
        <v>0</v>
      </c>
      <c r="I196" s="68">
        <v>0</v>
      </c>
      <c r="J196" s="68">
        <v>0</v>
      </c>
      <c r="K196" s="68">
        <v>0</v>
      </c>
      <c r="L196" s="68">
        <v>0</v>
      </c>
      <c r="M196" s="68">
        <v>0</v>
      </c>
      <c r="N196" s="68">
        <v>0</v>
      </c>
      <c r="O196" s="68">
        <v>0</v>
      </c>
      <c r="P196" s="68">
        <v>0</v>
      </c>
      <c r="Q196" s="68">
        <v>0</v>
      </c>
      <c r="R196" s="68">
        <v>0</v>
      </c>
      <c r="S196" s="68">
        <v>0</v>
      </c>
      <c r="T196" s="68">
        <v>0</v>
      </c>
      <c r="U196" s="68">
        <v>0</v>
      </c>
      <c r="V196" s="68">
        <v>0</v>
      </c>
      <c r="W196" s="68">
        <v>0</v>
      </c>
      <c r="X196" s="68">
        <v>0</v>
      </c>
      <c r="Y196" s="68">
        <v>0</v>
      </c>
      <c r="Z196" s="68">
        <v>0</v>
      </c>
      <c r="AA196" s="68">
        <v>0</v>
      </c>
      <c r="AB196" s="68">
        <v>0</v>
      </c>
      <c r="AC196" s="68">
        <v>0</v>
      </c>
      <c r="AD196" s="68">
        <v>0</v>
      </c>
      <c r="AE196" s="68">
        <v>0</v>
      </c>
      <c r="AF196" s="68">
        <v>0</v>
      </c>
      <c r="AG196" s="68">
        <v>0</v>
      </c>
      <c r="AH196" s="68">
        <v>0</v>
      </c>
      <c r="AI196" s="68">
        <v>0</v>
      </c>
      <c r="AJ196" s="68">
        <v>0</v>
      </c>
      <c r="AK196" s="68">
        <v>0</v>
      </c>
      <c r="AL196" s="68">
        <v>0</v>
      </c>
      <c r="AM196" s="68">
        <v>0</v>
      </c>
      <c r="AN196" s="68">
        <v>0</v>
      </c>
      <c r="AO196" s="68">
        <v>0</v>
      </c>
      <c r="AP196" s="68">
        <v>0</v>
      </c>
      <c r="AQ196" s="68">
        <v>0</v>
      </c>
      <c r="AR196" s="68">
        <v>0</v>
      </c>
      <c r="AS196" s="68">
        <v>0</v>
      </c>
      <c r="AT196" s="68">
        <v>0</v>
      </c>
      <c r="AU196" s="68">
        <v>0</v>
      </c>
      <c r="AV196" s="68">
        <v>0</v>
      </c>
      <c r="AW196" s="68">
        <v>0</v>
      </c>
      <c r="AX196" s="68">
        <v>0</v>
      </c>
      <c r="AY196" s="68">
        <v>0</v>
      </c>
      <c r="AZ196" s="68">
        <v>0</v>
      </c>
      <c r="BA196" s="68">
        <v>0</v>
      </c>
      <c r="BB196" s="68">
        <v>0</v>
      </c>
      <c r="BC196" s="68">
        <v>0</v>
      </c>
      <c r="BD196" s="68">
        <v>0</v>
      </c>
      <c r="BE196" s="68">
        <v>0</v>
      </c>
      <c r="BF196" s="68">
        <v>0</v>
      </c>
      <c r="BG196" s="68">
        <v>0</v>
      </c>
      <c r="BH196" s="68">
        <v>0</v>
      </c>
      <c r="BI196" s="68">
        <v>0</v>
      </c>
      <c r="BJ196" s="68">
        <v>0</v>
      </c>
      <c r="BK196" s="68">
        <v>0</v>
      </c>
      <c r="BL196" s="68">
        <v>0</v>
      </c>
      <c r="BM196" s="68">
        <v>0</v>
      </c>
      <c r="BN196" s="68">
        <v>0</v>
      </c>
      <c r="BO196" s="68">
        <v>0</v>
      </c>
      <c r="BP196" s="68">
        <v>0</v>
      </c>
      <c r="BQ196" s="68">
        <v>0</v>
      </c>
      <c r="BR196" s="68">
        <v>0</v>
      </c>
      <c r="BS196" s="68">
        <v>0</v>
      </c>
      <c r="BT196" s="68">
        <v>0</v>
      </c>
      <c r="BU196" s="68">
        <v>0</v>
      </c>
      <c r="BV196" s="68">
        <v>0</v>
      </c>
      <c r="BW196" s="68">
        <v>0</v>
      </c>
      <c r="BX196" s="68">
        <v>0</v>
      </c>
      <c r="BY196" s="68">
        <v>0</v>
      </c>
      <c r="BZ196" s="68">
        <v>0</v>
      </c>
      <c r="CA196" s="68">
        <v>0</v>
      </c>
      <c r="CB196" s="68">
        <v>0</v>
      </c>
      <c r="CC196" s="68">
        <v>0</v>
      </c>
      <c r="CD196" s="68">
        <v>0</v>
      </c>
      <c r="CE196" s="68">
        <v>0</v>
      </c>
      <c r="CF196" s="68">
        <v>0</v>
      </c>
      <c r="CG196" s="68">
        <v>0</v>
      </c>
      <c r="CH196" s="68">
        <v>0</v>
      </c>
      <c r="CI196" s="68">
        <v>0</v>
      </c>
      <c r="CJ196" s="68">
        <v>0</v>
      </c>
      <c r="CK196" s="68">
        <v>0</v>
      </c>
      <c r="CL196" s="68">
        <v>0</v>
      </c>
      <c r="CM196" s="68">
        <v>0</v>
      </c>
      <c r="CN196" s="68">
        <v>0</v>
      </c>
      <c r="CO196" s="68">
        <v>0</v>
      </c>
      <c r="CP196" s="68">
        <v>0</v>
      </c>
      <c r="CQ196" s="68">
        <v>0</v>
      </c>
      <c r="CR196" s="68">
        <v>0</v>
      </c>
      <c r="CS196" s="68">
        <v>0</v>
      </c>
      <c r="CT196" s="68">
        <v>0</v>
      </c>
      <c r="CU196" s="68">
        <v>0</v>
      </c>
      <c r="CV196" s="68">
        <v>0</v>
      </c>
      <c r="CW196" s="68">
        <v>0</v>
      </c>
      <c r="CX196" s="68">
        <v>0</v>
      </c>
      <c r="CY196" s="68">
        <v>0</v>
      </c>
      <c r="CZ196" s="68">
        <v>0</v>
      </c>
      <c r="DA196" s="68">
        <v>0</v>
      </c>
      <c r="DB196" s="68">
        <v>0</v>
      </c>
      <c r="DC196" s="68">
        <v>0</v>
      </c>
      <c r="DD196" s="68">
        <v>0</v>
      </c>
      <c r="DE196" s="68">
        <v>0</v>
      </c>
      <c r="DF196" s="68">
        <v>0</v>
      </c>
      <c r="DG196" s="68">
        <v>0</v>
      </c>
      <c r="DH196" s="68">
        <v>0</v>
      </c>
      <c r="DI196" s="68">
        <v>0</v>
      </c>
      <c r="DJ196" s="68">
        <v>0</v>
      </c>
      <c r="DK196" s="68">
        <v>0</v>
      </c>
      <c r="DL196" s="68">
        <v>0</v>
      </c>
      <c r="DM196" s="68">
        <v>0</v>
      </c>
      <c r="DN196" s="68">
        <v>0</v>
      </c>
      <c r="DO196" s="68">
        <v>0</v>
      </c>
      <c r="DP196" s="68">
        <v>0</v>
      </c>
      <c r="DQ196" s="68">
        <v>0</v>
      </c>
      <c r="DR196" s="68">
        <v>0</v>
      </c>
      <c r="DS196" s="68">
        <v>0</v>
      </c>
      <c r="DT196" s="68">
        <v>0</v>
      </c>
      <c r="DU196" s="68">
        <v>0</v>
      </c>
      <c r="DV196" s="68">
        <v>0</v>
      </c>
      <c r="DW196" s="68">
        <v>0</v>
      </c>
      <c r="DX196" s="68">
        <v>0</v>
      </c>
      <c r="DY196" s="68">
        <v>0</v>
      </c>
      <c r="DZ196" s="68">
        <v>0</v>
      </c>
      <c r="EA196" s="68">
        <v>0</v>
      </c>
      <c r="EB196" s="68">
        <v>0</v>
      </c>
      <c r="EC196" s="68">
        <v>0</v>
      </c>
      <c r="ED196" s="68">
        <v>0</v>
      </c>
      <c r="EE196" s="68">
        <v>0</v>
      </c>
      <c r="EF196" s="68">
        <v>0</v>
      </c>
      <c r="EG196" s="68">
        <v>0</v>
      </c>
      <c r="EH196" s="68">
        <v>0</v>
      </c>
      <c r="EI196" s="68">
        <v>0</v>
      </c>
      <c r="EJ196" s="68">
        <v>0</v>
      </c>
      <c r="EK196" s="68">
        <v>0</v>
      </c>
      <c r="EL196" s="68">
        <v>0</v>
      </c>
      <c r="EM196" s="68">
        <v>0</v>
      </c>
      <c r="EN196" s="68">
        <v>0</v>
      </c>
      <c r="EO196" s="68">
        <v>0</v>
      </c>
      <c r="EP196" s="68">
        <v>0</v>
      </c>
      <c r="EQ196" s="68">
        <v>0</v>
      </c>
      <c r="ER196" s="68">
        <v>0</v>
      </c>
      <c r="ES196" s="68">
        <v>0</v>
      </c>
      <c r="ET196" s="68">
        <v>0</v>
      </c>
      <c r="EU196" s="68">
        <v>0</v>
      </c>
      <c r="EV196" s="68">
        <v>0</v>
      </c>
      <c r="EW196" s="68">
        <v>0</v>
      </c>
      <c r="EX196" s="68">
        <v>0</v>
      </c>
      <c r="EY196" s="68">
        <v>0</v>
      </c>
      <c r="EZ196" s="68">
        <v>0</v>
      </c>
      <c r="FA196" s="68">
        <v>0</v>
      </c>
      <c r="FB196" s="68">
        <v>0</v>
      </c>
      <c r="FC196" s="68">
        <v>0</v>
      </c>
      <c r="FD196" s="68">
        <v>0</v>
      </c>
      <c r="FE196" s="68">
        <v>0</v>
      </c>
      <c r="FF196" s="68">
        <v>0</v>
      </c>
      <c r="FG196" s="68">
        <v>0</v>
      </c>
      <c r="FH196" s="68">
        <v>0</v>
      </c>
      <c r="FI196" s="68">
        <v>0</v>
      </c>
      <c r="FJ196" s="68">
        <v>0</v>
      </c>
      <c r="FK196" s="68">
        <v>0</v>
      </c>
      <c r="FL196" s="68">
        <v>0</v>
      </c>
      <c r="FM196" s="68">
        <v>0</v>
      </c>
      <c r="FN196" s="68">
        <v>0</v>
      </c>
      <c r="FO196" s="68">
        <v>0</v>
      </c>
      <c r="FP196" s="68">
        <v>0</v>
      </c>
      <c r="FQ196" s="68">
        <v>0</v>
      </c>
      <c r="FR196" s="94">
        <v>0</v>
      </c>
      <c r="FS196" s="68">
        <v>0</v>
      </c>
      <c r="FT196" s="68">
        <v>0</v>
      </c>
      <c r="FU196" s="68">
        <v>0</v>
      </c>
      <c r="FV196" s="68">
        <v>0</v>
      </c>
      <c r="FW196" s="68">
        <v>0</v>
      </c>
      <c r="FX196" s="68">
        <v>0</v>
      </c>
      <c r="FY196" s="68">
        <v>0</v>
      </c>
      <c r="FZ196" s="68">
        <v>0</v>
      </c>
      <c r="GA196" s="68">
        <v>0</v>
      </c>
      <c r="GB196" s="68">
        <v>0</v>
      </c>
      <c r="GC196" s="68">
        <v>0</v>
      </c>
      <c r="GD196" s="67"/>
      <c r="GE196" s="68"/>
      <c r="GF196" s="69"/>
      <c r="GG196" s="165"/>
    </row>
    <row r="197" spans="1:189" s="66" customFormat="1" x14ac:dyDescent="0.2">
      <c r="A197"/>
      <c r="B197" s="82">
        <v>45992</v>
      </c>
      <c r="C197" s="68">
        <v>0</v>
      </c>
      <c r="D197" s="68">
        <v>0</v>
      </c>
      <c r="E197" s="68">
        <v>0</v>
      </c>
      <c r="F197" s="68">
        <v>0</v>
      </c>
      <c r="G197" s="68">
        <v>0</v>
      </c>
      <c r="H197" s="68">
        <v>0</v>
      </c>
      <c r="I197" s="68">
        <v>0</v>
      </c>
      <c r="J197" s="68">
        <v>0</v>
      </c>
      <c r="K197" s="68">
        <v>0</v>
      </c>
      <c r="L197" s="68">
        <v>0</v>
      </c>
      <c r="M197" s="68">
        <v>0</v>
      </c>
      <c r="N197" s="68">
        <v>0</v>
      </c>
      <c r="O197" s="68">
        <v>0</v>
      </c>
      <c r="P197" s="68">
        <v>0</v>
      </c>
      <c r="Q197" s="68">
        <v>0</v>
      </c>
      <c r="R197" s="68">
        <v>0</v>
      </c>
      <c r="S197" s="68">
        <v>0</v>
      </c>
      <c r="T197" s="68">
        <v>0</v>
      </c>
      <c r="U197" s="68">
        <v>0</v>
      </c>
      <c r="V197" s="68">
        <v>0</v>
      </c>
      <c r="W197" s="68">
        <v>0</v>
      </c>
      <c r="X197" s="68">
        <v>0</v>
      </c>
      <c r="Y197" s="68">
        <v>0</v>
      </c>
      <c r="Z197" s="68">
        <v>0</v>
      </c>
      <c r="AA197" s="68">
        <v>0</v>
      </c>
      <c r="AB197" s="68">
        <v>0</v>
      </c>
      <c r="AC197" s="68">
        <v>0</v>
      </c>
      <c r="AD197" s="68">
        <v>0</v>
      </c>
      <c r="AE197" s="68">
        <v>0</v>
      </c>
      <c r="AF197" s="68">
        <v>0</v>
      </c>
      <c r="AG197" s="68">
        <v>0</v>
      </c>
      <c r="AH197" s="68">
        <v>0</v>
      </c>
      <c r="AI197" s="68">
        <v>0</v>
      </c>
      <c r="AJ197" s="68">
        <v>0</v>
      </c>
      <c r="AK197" s="68">
        <v>0</v>
      </c>
      <c r="AL197" s="68">
        <v>0</v>
      </c>
      <c r="AM197" s="68">
        <v>0</v>
      </c>
      <c r="AN197" s="68">
        <v>0</v>
      </c>
      <c r="AO197" s="68">
        <v>0</v>
      </c>
      <c r="AP197" s="68">
        <v>0</v>
      </c>
      <c r="AQ197" s="68">
        <v>0</v>
      </c>
      <c r="AR197" s="68">
        <v>0</v>
      </c>
      <c r="AS197" s="68">
        <v>0</v>
      </c>
      <c r="AT197" s="68">
        <v>0</v>
      </c>
      <c r="AU197" s="68">
        <v>0</v>
      </c>
      <c r="AV197" s="68">
        <v>0</v>
      </c>
      <c r="AW197" s="68">
        <v>0</v>
      </c>
      <c r="AX197" s="68">
        <v>0</v>
      </c>
      <c r="AY197" s="68">
        <v>0</v>
      </c>
      <c r="AZ197" s="68">
        <v>0</v>
      </c>
      <c r="BA197" s="68">
        <v>0</v>
      </c>
      <c r="BB197" s="68">
        <v>0</v>
      </c>
      <c r="BC197" s="68">
        <v>0</v>
      </c>
      <c r="BD197" s="68">
        <v>0</v>
      </c>
      <c r="BE197" s="68">
        <v>0</v>
      </c>
      <c r="BF197" s="68">
        <v>0</v>
      </c>
      <c r="BG197" s="68">
        <v>0</v>
      </c>
      <c r="BH197" s="68">
        <v>0</v>
      </c>
      <c r="BI197" s="68">
        <v>0</v>
      </c>
      <c r="BJ197" s="68">
        <v>0</v>
      </c>
      <c r="BK197" s="68">
        <v>0</v>
      </c>
      <c r="BL197" s="68">
        <v>0</v>
      </c>
      <c r="BM197" s="68">
        <v>0</v>
      </c>
      <c r="BN197" s="68">
        <v>0</v>
      </c>
      <c r="BO197" s="68">
        <v>0</v>
      </c>
      <c r="BP197" s="68">
        <v>0</v>
      </c>
      <c r="BQ197" s="68">
        <v>0</v>
      </c>
      <c r="BR197" s="68">
        <v>0</v>
      </c>
      <c r="BS197" s="68">
        <v>0</v>
      </c>
      <c r="BT197" s="68">
        <v>0</v>
      </c>
      <c r="BU197" s="68">
        <v>0</v>
      </c>
      <c r="BV197" s="68">
        <v>0</v>
      </c>
      <c r="BW197" s="68">
        <v>0</v>
      </c>
      <c r="BX197" s="68">
        <v>0</v>
      </c>
      <c r="BY197" s="68">
        <v>0</v>
      </c>
      <c r="BZ197" s="68">
        <v>0</v>
      </c>
      <c r="CA197" s="68">
        <v>0</v>
      </c>
      <c r="CB197" s="68">
        <v>0</v>
      </c>
      <c r="CC197" s="68">
        <v>0</v>
      </c>
      <c r="CD197" s="68">
        <v>0</v>
      </c>
      <c r="CE197" s="68">
        <v>0</v>
      </c>
      <c r="CF197" s="68">
        <v>0</v>
      </c>
      <c r="CG197" s="68">
        <v>0</v>
      </c>
      <c r="CH197" s="68">
        <v>0</v>
      </c>
      <c r="CI197" s="68">
        <v>0</v>
      </c>
      <c r="CJ197" s="68">
        <v>0</v>
      </c>
      <c r="CK197" s="68">
        <v>0</v>
      </c>
      <c r="CL197" s="68">
        <v>0</v>
      </c>
      <c r="CM197" s="68">
        <v>0</v>
      </c>
      <c r="CN197" s="68">
        <v>0</v>
      </c>
      <c r="CO197" s="68">
        <v>0</v>
      </c>
      <c r="CP197" s="68">
        <v>0</v>
      </c>
      <c r="CQ197" s="68">
        <v>0</v>
      </c>
      <c r="CR197" s="68">
        <v>0</v>
      </c>
      <c r="CS197" s="68">
        <v>0</v>
      </c>
      <c r="CT197" s="68">
        <v>0</v>
      </c>
      <c r="CU197" s="68">
        <v>0</v>
      </c>
      <c r="CV197" s="68">
        <v>0</v>
      </c>
      <c r="CW197" s="68">
        <v>0</v>
      </c>
      <c r="CX197" s="68">
        <v>0</v>
      </c>
      <c r="CY197" s="68">
        <v>0</v>
      </c>
      <c r="CZ197" s="68">
        <v>0</v>
      </c>
      <c r="DA197" s="68">
        <v>0</v>
      </c>
      <c r="DB197" s="68">
        <v>0</v>
      </c>
      <c r="DC197" s="68">
        <v>0</v>
      </c>
      <c r="DD197" s="68">
        <v>0</v>
      </c>
      <c r="DE197" s="68">
        <v>0</v>
      </c>
      <c r="DF197" s="68">
        <v>0</v>
      </c>
      <c r="DG197" s="68">
        <v>0</v>
      </c>
      <c r="DH197" s="68">
        <v>0</v>
      </c>
      <c r="DI197" s="68">
        <v>0</v>
      </c>
      <c r="DJ197" s="68">
        <v>0</v>
      </c>
      <c r="DK197" s="68">
        <v>0</v>
      </c>
      <c r="DL197" s="68">
        <v>0</v>
      </c>
      <c r="DM197" s="68">
        <v>0</v>
      </c>
      <c r="DN197" s="68">
        <v>0</v>
      </c>
      <c r="DO197" s="68">
        <v>0</v>
      </c>
      <c r="DP197" s="68">
        <v>0</v>
      </c>
      <c r="DQ197" s="68">
        <v>0</v>
      </c>
      <c r="DR197" s="68">
        <v>0</v>
      </c>
      <c r="DS197" s="68">
        <v>0</v>
      </c>
      <c r="DT197" s="68">
        <v>0</v>
      </c>
      <c r="DU197" s="68">
        <v>0</v>
      </c>
      <c r="DV197" s="68">
        <v>0</v>
      </c>
      <c r="DW197" s="68">
        <v>0</v>
      </c>
      <c r="DX197" s="68">
        <v>0</v>
      </c>
      <c r="DY197" s="68">
        <v>0</v>
      </c>
      <c r="DZ197" s="68">
        <v>0</v>
      </c>
      <c r="EA197" s="68">
        <v>0</v>
      </c>
      <c r="EB197" s="68">
        <v>0</v>
      </c>
      <c r="EC197" s="68">
        <v>0</v>
      </c>
      <c r="ED197" s="68">
        <v>0</v>
      </c>
      <c r="EE197" s="68">
        <v>0</v>
      </c>
      <c r="EF197" s="68">
        <v>0</v>
      </c>
      <c r="EG197" s="68">
        <v>0</v>
      </c>
      <c r="EH197" s="68">
        <v>0</v>
      </c>
      <c r="EI197" s="68">
        <v>0</v>
      </c>
      <c r="EJ197" s="68">
        <v>0</v>
      </c>
      <c r="EK197" s="68">
        <v>0</v>
      </c>
      <c r="EL197" s="68">
        <v>0</v>
      </c>
      <c r="EM197" s="68">
        <v>0</v>
      </c>
      <c r="EN197" s="68">
        <v>0</v>
      </c>
      <c r="EO197" s="68">
        <v>0</v>
      </c>
      <c r="EP197" s="68">
        <v>0</v>
      </c>
      <c r="EQ197" s="68">
        <v>0</v>
      </c>
      <c r="ER197" s="68">
        <v>0</v>
      </c>
      <c r="ES197" s="68">
        <v>0</v>
      </c>
      <c r="ET197" s="68">
        <v>0</v>
      </c>
      <c r="EU197" s="68">
        <v>0</v>
      </c>
      <c r="EV197" s="68">
        <v>0</v>
      </c>
      <c r="EW197" s="68">
        <v>0</v>
      </c>
      <c r="EX197" s="68">
        <v>0</v>
      </c>
      <c r="EY197" s="68">
        <v>0</v>
      </c>
      <c r="EZ197" s="68">
        <v>0</v>
      </c>
      <c r="FA197" s="68">
        <v>0</v>
      </c>
      <c r="FB197" s="68">
        <v>0</v>
      </c>
      <c r="FC197" s="68">
        <v>0</v>
      </c>
      <c r="FD197" s="68">
        <v>0</v>
      </c>
      <c r="FE197" s="68">
        <v>0</v>
      </c>
      <c r="FF197" s="68">
        <v>0</v>
      </c>
      <c r="FG197" s="68">
        <v>0</v>
      </c>
      <c r="FH197" s="68">
        <v>0</v>
      </c>
      <c r="FI197" s="68">
        <v>0</v>
      </c>
      <c r="FJ197" s="68">
        <v>0</v>
      </c>
      <c r="FK197" s="68">
        <v>0</v>
      </c>
      <c r="FL197" s="68">
        <v>0</v>
      </c>
      <c r="FM197" s="68">
        <v>0</v>
      </c>
      <c r="FN197" s="68">
        <v>0</v>
      </c>
      <c r="FO197" s="68">
        <v>0</v>
      </c>
      <c r="FP197" s="68">
        <v>0</v>
      </c>
      <c r="FQ197" s="68">
        <v>0</v>
      </c>
      <c r="FR197" s="68">
        <v>0</v>
      </c>
      <c r="FS197" s="94">
        <v>0</v>
      </c>
      <c r="FT197" s="68">
        <v>0</v>
      </c>
      <c r="FU197" s="68">
        <v>0</v>
      </c>
      <c r="FV197" s="68">
        <v>0</v>
      </c>
      <c r="FW197" s="68">
        <v>0</v>
      </c>
      <c r="FX197" s="68">
        <v>0</v>
      </c>
      <c r="FY197" s="68">
        <v>0</v>
      </c>
      <c r="FZ197" s="68">
        <v>0</v>
      </c>
      <c r="GA197" s="68">
        <v>0</v>
      </c>
      <c r="GB197" s="68">
        <v>0</v>
      </c>
      <c r="GC197" s="68">
        <v>0</v>
      </c>
      <c r="GD197" s="68">
        <v>0</v>
      </c>
      <c r="GE197" s="67"/>
      <c r="GF197" s="68"/>
      <c r="GG197" s="165"/>
    </row>
    <row r="198" spans="1:189" s="66" customFormat="1" x14ac:dyDescent="0.2">
      <c r="A198"/>
      <c r="B198" s="82">
        <v>46023</v>
      </c>
      <c r="C198" s="68">
        <v>0</v>
      </c>
      <c r="D198" s="68">
        <v>0</v>
      </c>
      <c r="E198" s="68">
        <v>0</v>
      </c>
      <c r="F198" s="68">
        <v>0</v>
      </c>
      <c r="G198" s="68">
        <v>0</v>
      </c>
      <c r="H198" s="68">
        <v>0</v>
      </c>
      <c r="I198" s="68">
        <v>0</v>
      </c>
      <c r="J198" s="68">
        <v>0</v>
      </c>
      <c r="K198" s="68">
        <v>0</v>
      </c>
      <c r="L198" s="68">
        <v>0</v>
      </c>
      <c r="M198" s="68">
        <v>0</v>
      </c>
      <c r="N198" s="68">
        <v>0</v>
      </c>
      <c r="O198" s="68">
        <v>0</v>
      </c>
      <c r="P198" s="68">
        <v>0</v>
      </c>
      <c r="Q198" s="68">
        <v>0</v>
      </c>
      <c r="R198" s="68">
        <v>0</v>
      </c>
      <c r="S198" s="68">
        <v>0</v>
      </c>
      <c r="T198" s="68">
        <v>0</v>
      </c>
      <c r="U198" s="68">
        <v>0</v>
      </c>
      <c r="V198" s="68">
        <v>0</v>
      </c>
      <c r="W198" s="68">
        <v>0</v>
      </c>
      <c r="X198" s="68">
        <v>0</v>
      </c>
      <c r="Y198" s="68">
        <v>0</v>
      </c>
      <c r="Z198" s="68">
        <v>0</v>
      </c>
      <c r="AA198" s="68">
        <v>0</v>
      </c>
      <c r="AB198" s="68">
        <v>0</v>
      </c>
      <c r="AC198" s="68">
        <v>0</v>
      </c>
      <c r="AD198" s="68">
        <v>0</v>
      </c>
      <c r="AE198" s="68">
        <v>0</v>
      </c>
      <c r="AF198" s="68">
        <v>0</v>
      </c>
      <c r="AG198" s="68">
        <v>0</v>
      </c>
      <c r="AH198" s="68">
        <v>0</v>
      </c>
      <c r="AI198" s="68">
        <v>0</v>
      </c>
      <c r="AJ198" s="68">
        <v>0</v>
      </c>
      <c r="AK198" s="68">
        <v>0</v>
      </c>
      <c r="AL198" s="68">
        <v>0</v>
      </c>
      <c r="AM198" s="68">
        <v>0</v>
      </c>
      <c r="AN198" s="68">
        <v>0</v>
      </c>
      <c r="AO198" s="68">
        <v>0</v>
      </c>
      <c r="AP198" s="68">
        <v>0</v>
      </c>
      <c r="AQ198" s="68">
        <v>0</v>
      </c>
      <c r="AR198" s="68">
        <v>0</v>
      </c>
      <c r="AS198" s="68">
        <v>0</v>
      </c>
      <c r="AT198" s="68">
        <v>0</v>
      </c>
      <c r="AU198" s="68">
        <v>0</v>
      </c>
      <c r="AV198" s="68">
        <v>0</v>
      </c>
      <c r="AW198" s="68">
        <v>0</v>
      </c>
      <c r="AX198" s="68">
        <v>0</v>
      </c>
      <c r="AY198" s="68">
        <v>0</v>
      </c>
      <c r="AZ198" s="68">
        <v>0</v>
      </c>
      <c r="BA198" s="68">
        <v>0</v>
      </c>
      <c r="BB198" s="68">
        <v>0</v>
      </c>
      <c r="BC198" s="68">
        <v>0</v>
      </c>
      <c r="BD198" s="68">
        <v>0</v>
      </c>
      <c r="BE198" s="68">
        <v>0</v>
      </c>
      <c r="BF198" s="68">
        <v>0</v>
      </c>
      <c r="BG198" s="68">
        <v>0</v>
      </c>
      <c r="BH198" s="68">
        <v>0</v>
      </c>
      <c r="BI198" s="68">
        <v>0</v>
      </c>
      <c r="BJ198" s="68">
        <v>0</v>
      </c>
      <c r="BK198" s="68">
        <v>0</v>
      </c>
      <c r="BL198" s="68">
        <v>0</v>
      </c>
      <c r="BM198" s="68">
        <v>0</v>
      </c>
      <c r="BN198" s="68">
        <v>0</v>
      </c>
      <c r="BO198" s="68">
        <v>0</v>
      </c>
      <c r="BP198" s="68">
        <v>0</v>
      </c>
      <c r="BQ198" s="68">
        <v>0</v>
      </c>
      <c r="BR198" s="68">
        <v>0</v>
      </c>
      <c r="BS198" s="68">
        <v>0</v>
      </c>
      <c r="BT198" s="68">
        <v>0</v>
      </c>
      <c r="BU198" s="68">
        <v>0</v>
      </c>
      <c r="BV198" s="68">
        <v>0</v>
      </c>
      <c r="BW198" s="68">
        <v>0</v>
      </c>
      <c r="BX198" s="68">
        <v>0</v>
      </c>
      <c r="BY198" s="68">
        <v>0</v>
      </c>
      <c r="BZ198" s="68">
        <v>0</v>
      </c>
      <c r="CA198" s="68">
        <v>0</v>
      </c>
      <c r="CB198" s="68">
        <v>0</v>
      </c>
      <c r="CC198" s="68">
        <v>0</v>
      </c>
      <c r="CD198" s="68">
        <v>0</v>
      </c>
      <c r="CE198" s="68">
        <v>0</v>
      </c>
      <c r="CF198" s="68">
        <v>0</v>
      </c>
      <c r="CG198" s="68">
        <v>0</v>
      </c>
      <c r="CH198" s="68">
        <v>0</v>
      </c>
      <c r="CI198" s="68">
        <v>0</v>
      </c>
      <c r="CJ198" s="68">
        <v>0</v>
      </c>
      <c r="CK198" s="68">
        <v>0</v>
      </c>
      <c r="CL198" s="68">
        <v>0</v>
      </c>
      <c r="CM198" s="68">
        <v>0</v>
      </c>
      <c r="CN198" s="68">
        <v>0</v>
      </c>
      <c r="CO198" s="68">
        <v>0</v>
      </c>
      <c r="CP198" s="68">
        <v>0</v>
      </c>
      <c r="CQ198" s="68">
        <v>0</v>
      </c>
      <c r="CR198" s="68">
        <v>0</v>
      </c>
      <c r="CS198" s="68">
        <v>0</v>
      </c>
      <c r="CT198" s="68">
        <v>0</v>
      </c>
      <c r="CU198" s="68">
        <v>0</v>
      </c>
      <c r="CV198" s="68">
        <v>0</v>
      </c>
      <c r="CW198" s="68">
        <v>0</v>
      </c>
      <c r="CX198" s="68">
        <v>0</v>
      </c>
      <c r="CY198" s="68">
        <v>0</v>
      </c>
      <c r="CZ198" s="68">
        <v>0</v>
      </c>
      <c r="DA198" s="68">
        <v>0</v>
      </c>
      <c r="DB198" s="68">
        <v>0</v>
      </c>
      <c r="DC198" s="68">
        <v>0</v>
      </c>
      <c r="DD198" s="68">
        <v>0</v>
      </c>
      <c r="DE198" s="68">
        <v>0</v>
      </c>
      <c r="DF198" s="68">
        <v>0</v>
      </c>
      <c r="DG198" s="68">
        <v>0</v>
      </c>
      <c r="DH198" s="68">
        <v>0</v>
      </c>
      <c r="DI198" s="68">
        <v>0</v>
      </c>
      <c r="DJ198" s="68">
        <v>0</v>
      </c>
      <c r="DK198" s="68">
        <v>0</v>
      </c>
      <c r="DL198" s="68">
        <v>0</v>
      </c>
      <c r="DM198" s="68">
        <v>0</v>
      </c>
      <c r="DN198" s="68">
        <v>0</v>
      </c>
      <c r="DO198" s="68">
        <v>0</v>
      </c>
      <c r="DP198" s="68">
        <v>0</v>
      </c>
      <c r="DQ198" s="68">
        <v>0</v>
      </c>
      <c r="DR198" s="68">
        <v>0</v>
      </c>
      <c r="DS198" s="68">
        <v>0</v>
      </c>
      <c r="DT198" s="68">
        <v>0</v>
      </c>
      <c r="DU198" s="68">
        <v>0</v>
      </c>
      <c r="DV198" s="68">
        <v>0</v>
      </c>
      <c r="DW198" s="68">
        <v>0</v>
      </c>
      <c r="DX198" s="68">
        <v>0</v>
      </c>
      <c r="DY198" s="68">
        <v>0</v>
      </c>
      <c r="DZ198" s="68">
        <v>0</v>
      </c>
      <c r="EA198" s="68">
        <v>0</v>
      </c>
      <c r="EB198" s="68">
        <v>0</v>
      </c>
      <c r="EC198" s="68">
        <v>0</v>
      </c>
      <c r="ED198" s="68">
        <v>0</v>
      </c>
      <c r="EE198" s="68">
        <v>0</v>
      </c>
      <c r="EF198" s="68">
        <v>0</v>
      </c>
      <c r="EG198" s="68">
        <v>0</v>
      </c>
      <c r="EH198" s="68">
        <v>0</v>
      </c>
      <c r="EI198" s="68">
        <v>0</v>
      </c>
      <c r="EJ198" s="68">
        <v>0</v>
      </c>
      <c r="EK198" s="68">
        <v>0</v>
      </c>
      <c r="EL198" s="68">
        <v>0</v>
      </c>
      <c r="EM198" s="68">
        <v>0</v>
      </c>
      <c r="EN198" s="68">
        <v>0</v>
      </c>
      <c r="EO198" s="68">
        <v>0</v>
      </c>
      <c r="EP198" s="68">
        <v>0</v>
      </c>
      <c r="EQ198" s="68">
        <v>0</v>
      </c>
      <c r="ER198" s="68">
        <v>0</v>
      </c>
      <c r="ES198" s="68">
        <v>0</v>
      </c>
      <c r="ET198" s="68">
        <v>0</v>
      </c>
      <c r="EU198" s="68">
        <v>0</v>
      </c>
      <c r="EV198" s="68">
        <v>0</v>
      </c>
      <c r="EW198" s="68">
        <v>0</v>
      </c>
      <c r="EX198" s="68">
        <v>0</v>
      </c>
      <c r="EY198" s="68">
        <v>0</v>
      </c>
      <c r="EZ198" s="68">
        <v>0</v>
      </c>
      <c r="FA198" s="68">
        <v>0</v>
      </c>
      <c r="FB198" s="68">
        <v>0</v>
      </c>
      <c r="FC198" s="68">
        <v>0</v>
      </c>
      <c r="FD198" s="68">
        <v>0</v>
      </c>
      <c r="FE198" s="68">
        <v>0</v>
      </c>
      <c r="FF198" s="68">
        <v>0</v>
      </c>
      <c r="FG198" s="68">
        <v>0</v>
      </c>
      <c r="FH198" s="68">
        <v>0</v>
      </c>
      <c r="FI198" s="68">
        <v>0</v>
      </c>
      <c r="FJ198" s="68">
        <v>0</v>
      </c>
      <c r="FK198" s="68">
        <v>0</v>
      </c>
      <c r="FL198" s="68">
        <v>0</v>
      </c>
      <c r="FM198" s="68">
        <v>0</v>
      </c>
      <c r="FN198" s="68">
        <v>0</v>
      </c>
      <c r="FO198" s="68">
        <v>0</v>
      </c>
      <c r="FP198" s="68">
        <v>0</v>
      </c>
      <c r="FQ198" s="68">
        <v>0</v>
      </c>
      <c r="FR198" s="68">
        <v>0</v>
      </c>
      <c r="FS198" s="68">
        <v>0</v>
      </c>
      <c r="FT198" s="94">
        <v>0</v>
      </c>
      <c r="FU198" s="68">
        <v>0</v>
      </c>
      <c r="FV198" s="68">
        <v>0</v>
      </c>
      <c r="FW198" s="68">
        <v>0</v>
      </c>
      <c r="FX198" s="68">
        <v>0</v>
      </c>
      <c r="FY198" s="68">
        <v>0</v>
      </c>
      <c r="FZ198" s="68">
        <v>0</v>
      </c>
      <c r="GA198" s="68">
        <v>0</v>
      </c>
      <c r="GB198" s="68">
        <v>0</v>
      </c>
      <c r="GC198" s="68">
        <v>0</v>
      </c>
      <c r="GD198" s="68">
        <v>0</v>
      </c>
      <c r="GE198" s="68">
        <v>0</v>
      </c>
      <c r="GF198" s="67"/>
      <c r="GG198" s="166"/>
    </row>
    <row r="199" spans="1:189" s="66" customFormat="1" ht="13.5" thickBot="1" x14ac:dyDescent="0.25">
      <c r="A199"/>
      <c r="B199" s="82">
        <v>46054</v>
      </c>
      <c r="C199" s="168">
        <v>0</v>
      </c>
      <c r="D199" s="168">
        <v>0</v>
      </c>
      <c r="E199" s="168">
        <v>0</v>
      </c>
      <c r="F199" s="168">
        <v>0</v>
      </c>
      <c r="G199" s="168">
        <v>0</v>
      </c>
      <c r="H199" s="168">
        <v>0</v>
      </c>
      <c r="I199" s="168">
        <v>0</v>
      </c>
      <c r="J199" s="168">
        <v>0</v>
      </c>
      <c r="K199" s="168">
        <v>0</v>
      </c>
      <c r="L199" s="168">
        <v>0</v>
      </c>
      <c r="M199" s="168">
        <v>0</v>
      </c>
      <c r="N199" s="168">
        <v>0</v>
      </c>
      <c r="O199" s="168">
        <v>0</v>
      </c>
      <c r="P199" s="168">
        <v>0</v>
      </c>
      <c r="Q199" s="168">
        <v>0</v>
      </c>
      <c r="R199" s="168">
        <v>0</v>
      </c>
      <c r="S199" s="68">
        <v>0</v>
      </c>
      <c r="T199" s="68">
        <v>0</v>
      </c>
      <c r="U199" s="68">
        <v>0</v>
      </c>
      <c r="V199" s="68">
        <v>0</v>
      </c>
      <c r="W199" s="68">
        <v>0</v>
      </c>
      <c r="X199" s="68">
        <v>0</v>
      </c>
      <c r="Y199" s="68">
        <v>0</v>
      </c>
      <c r="Z199" s="68">
        <v>0</v>
      </c>
      <c r="AA199" s="68">
        <v>0</v>
      </c>
      <c r="AB199" s="68">
        <v>0</v>
      </c>
      <c r="AC199" s="68">
        <v>0</v>
      </c>
      <c r="AD199" s="68">
        <v>0</v>
      </c>
      <c r="AE199" s="68">
        <v>0</v>
      </c>
      <c r="AF199" s="68">
        <v>0</v>
      </c>
      <c r="AG199" s="68">
        <v>0</v>
      </c>
      <c r="AH199" s="68">
        <v>0</v>
      </c>
      <c r="AI199" s="68">
        <v>0</v>
      </c>
      <c r="AJ199" s="68">
        <v>0</v>
      </c>
      <c r="AK199" s="68">
        <v>0</v>
      </c>
      <c r="AL199" s="68">
        <v>0</v>
      </c>
      <c r="AM199" s="68">
        <v>0</v>
      </c>
      <c r="AN199" s="68">
        <v>0</v>
      </c>
      <c r="AO199" s="68">
        <v>0</v>
      </c>
      <c r="AP199" s="68">
        <v>0</v>
      </c>
      <c r="AQ199" s="68">
        <v>0</v>
      </c>
      <c r="AR199" s="68">
        <v>0</v>
      </c>
      <c r="AS199" s="68">
        <v>0</v>
      </c>
      <c r="AT199" s="68">
        <v>0</v>
      </c>
      <c r="AU199" s="68">
        <v>0</v>
      </c>
      <c r="AV199" s="68">
        <v>0</v>
      </c>
      <c r="AW199" s="68">
        <v>0</v>
      </c>
      <c r="AX199" s="68">
        <v>0</v>
      </c>
      <c r="AY199" s="68">
        <v>0</v>
      </c>
      <c r="AZ199" s="68">
        <v>0</v>
      </c>
      <c r="BA199" s="68">
        <v>0</v>
      </c>
      <c r="BB199" s="68">
        <v>0</v>
      </c>
      <c r="BC199" s="68">
        <v>0</v>
      </c>
      <c r="BD199" s="68">
        <v>0</v>
      </c>
      <c r="BE199" s="68">
        <v>0</v>
      </c>
      <c r="BF199" s="68">
        <v>0</v>
      </c>
      <c r="BG199" s="68">
        <v>0</v>
      </c>
      <c r="BH199" s="68">
        <v>0</v>
      </c>
      <c r="BI199" s="68">
        <v>0</v>
      </c>
      <c r="BJ199" s="68">
        <v>0</v>
      </c>
      <c r="BK199" s="68">
        <v>0</v>
      </c>
      <c r="BL199" s="68">
        <v>0</v>
      </c>
      <c r="BM199" s="68">
        <v>0</v>
      </c>
      <c r="BN199" s="68">
        <v>0</v>
      </c>
      <c r="BO199" s="68">
        <v>0</v>
      </c>
      <c r="BP199" s="68">
        <v>0</v>
      </c>
      <c r="BQ199" s="68">
        <v>0</v>
      </c>
      <c r="BR199" s="68">
        <v>0</v>
      </c>
      <c r="BS199" s="68">
        <v>0</v>
      </c>
      <c r="BT199" s="68">
        <v>0</v>
      </c>
      <c r="BU199" s="68">
        <v>0</v>
      </c>
      <c r="BV199" s="68">
        <v>0</v>
      </c>
      <c r="BW199" s="68">
        <v>0</v>
      </c>
      <c r="BX199" s="68">
        <v>0</v>
      </c>
      <c r="BY199" s="68">
        <v>0</v>
      </c>
      <c r="BZ199" s="68">
        <v>0</v>
      </c>
      <c r="CA199" s="68">
        <v>0</v>
      </c>
      <c r="CB199" s="68">
        <v>0</v>
      </c>
      <c r="CC199" s="68">
        <v>0</v>
      </c>
      <c r="CD199" s="68">
        <v>0</v>
      </c>
      <c r="CE199" s="68">
        <v>0</v>
      </c>
      <c r="CF199" s="68">
        <v>0</v>
      </c>
      <c r="CG199" s="68">
        <v>0</v>
      </c>
      <c r="CH199" s="68">
        <v>0</v>
      </c>
      <c r="CI199" s="68">
        <v>0</v>
      </c>
      <c r="CJ199" s="68">
        <v>0</v>
      </c>
      <c r="CK199" s="68">
        <v>0</v>
      </c>
      <c r="CL199" s="68">
        <v>0</v>
      </c>
      <c r="CM199" s="68">
        <v>0</v>
      </c>
      <c r="CN199" s="68">
        <v>0</v>
      </c>
      <c r="CO199" s="68">
        <v>0</v>
      </c>
      <c r="CP199" s="68">
        <v>0</v>
      </c>
      <c r="CQ199" s="68">
        <v>0</v>
      </c>
      <c r="CR199" s="68">
        <v>0</v>
      </c>
      <c r="CS199" s="68">
        <v>0</v>
      </c>
      <c r="CT199" s="68">
        <v>0</v>
      </c>
      <c r="CU199" s="68">
        <v>0</v>
      </c>
      <c r="CV199" s="68">
        <v>0</v>
      </c>
      <c r="CW199" s="68">
        <v>0</v>
      </c>
      <c r="CX199" s="68">
        <v>0</v>
      </c>
      <c r="CY199" s="68">
        <v>0</v>
      </c>
      <c r="CZ199" s="68">
        <v>0</v>
      </c>
      <c r="DA199" s="68">
        <v>0</v>
      </c>
      <c r="DB199" s="68">
        <v>0</v>
      </c>
      <c r="DC199" s="68">
        <v>0</v>
      </c>
      <c r="DD199" s="68">
        <v>0</v>
      </c>
      <c r="DE199" s="68">
        <v>0</v>
      </c>
      <c r="DF199" s="68">
        <v>0</v>
      </c>
      <c r="DG199" s="68">
        <v>0</v>
      </c>
      <c r="DH199" s="68">
        <v>0</v>
      </c>
      <c r="DI199" s="68">
        <v>0</v>
      </c>
      <c r="DJ199" s="68">
        <v>0</v>
      </c>
      <c r="DK199" s="68">
        <v>0</v>
      </c>
      <c r="DL199" s="68">
        <v>0</v>
      </c>
      <c r="DM199" s="68">
        <v>0</v>
      </c>
      <c r="DN199" s="68">
        <v>0</v>
      </c>
      <c r="DO199" s="68">
        <v>0</v>
      </c>
      <c r="DP199" s="68">
        <v>0</v>
      </c>
      <c r="DQ199" s="68">
        <v>0</v>
      </c>
      <c r="DR199" s="68">
        <v>0</v>
      </c>
      <c r="DS199" s="68">
        <v>0</v>
      </c>
      <c r="DT199" s="68">
        <v>0</v>
      </c>
      <c r="DU199" s="68">
        <v>0</v>
      </c>
      <c r="DV199" s="68">
        <v>0</v>
      </c>
      <c r="DW199" s="68">
        <v>0</v>
      </c>
      <c r="DX199" s="68">
        <v>0</v>
      </c>
      <c r="DY199" s="68">
        <v>0</v>
      </c>
      <c r="DZ199" s="68">
        <v>0</v>
      </c>
      <c r="EA199" s="68">
        <v>0</v>
      </c>
      <c r="EB199" s="68">
        <v>0</v>
      </c>
      <c r="EC199" s="68">
        <v>0</v>
      </c>
      <c r="ED199" s="68">
        <v>0</v>
      </c>
      <c r="EE199" s="68">
        <v>0</v>
      </c>
      <c r="EF199" s="68">
        <v>0</v>
      </c>
      <c r="EG199" s="68">
        <v>0</v>
      </c>
      <c r="EH199" s="68">
        <v>0</v>
      </c>
      <c r="EI199" s="68">
        <v>0</v>
      </c>
      <c r="EJ199" s="68">
        <v>0</v>
      </c>
      <c r="EK199" s="68">
        <v>0</v>
      </c>
      <c r="EL199" s="68">
        <v>0</v>
      </c>
      <c r="EM199" s="68">
        <v>0</v>
      </c>
      <c r="EN199" s="68">
        <v>0</v>
      </c>
      <c r="EO199" s="68">
        <v>0</v>
      </c>
      <c r="EP199" s="68">
        <v>0</v>
      </c>
      <c r="EQ199" s="68">
        <v>0</v>
      </c>
      <c r="ER199" s="68">
        <v>0</v>
      </c>
      <c r="ES199" s="68">
        <v>0</v>
      </c>
      <c r="ET199" s="68">
        <v>0</v>
      </c>
      <c r="EU199" s="68">
        <v>0</v>
      </c>
      <c r="EV199" s="68">
        <v>0</v>
      </c>
      <c r="EW199" s="68">
        <v>0</v>
      </c>
      <c r="EX199" s="68">
        <v>0</v>
      </c>
      <c r="EY199" s="68">
        <v>0</v>
      </c>
      <c r="EZ199" s="68">
        <v>0</v>
      </c>
      <c r="FA199" s="68">
        <v>0</v>
      </c>
      <c r="FB199" s="68">
        <v>0</v>
      </c>
      <c r="FC199" s="68">
        <v>0</v>
      </c>
      <c r="FD199" s="68">
        <v>0</v>
      </c>
      <c r="FE199" s="68">
        <v>0</v>
      </c>
      <c r="FF199" s="68">
        <v>0</v>
      </c>
      <c r="FG199" s="68">
        <v>0</v>
      </c>
      <c r="FH199" s="68">
        <v>0</v>
      </c>
      <c r="FI199" s="68">
        <v>0</v>
      </c>
      <c r="FJ199" s="68">
        <v>0</v>
      </c>
      <c r="FK199" s="68">
        <v>0</v>
      </c>
      <c r="FL199" s="68">
        <v>0</v>
      </c>
      <c r="FM199" s="68">
        <v>0</v>
      </c>
      <c r="FN199" s="68">
        <v>0</v>
      </c>
      <c r="FO199" s="68">
        <v>0</v>
      </c>
      <c r="FP199" s="68">
        <v>0</v>
      </c>
      <c r="FQ199" s="68">
        <v>0</v>
      </c>
      <c r="FR199" s="68">
        <v>0</v>
      </c>
      <c r="FS199" s="68">
        <v>0</v>
      </c>
      <c r="FT199" s="68">
        <v>0</v>
      </c>
      <c r="FU199" s="94">
        <v>0</v>
      </c>
      <c r="FV199" s="68">
        <v>0</v>
      </c>
      <c r="FW199" s="68">
        <v>0</v>
      </c>
      <c r="FX199" s="68">
        <v>0</v>
      </c>
      <c r="FY199" s="68">
        <v>0</v>
      </c>
      <c r="FZ199" s="68">
        <v>0</v>
      </c>
      <c r="GA199" s="68">
        <v>0</v>
      </c>
      <c r="GB199" s="68">
        <v>0</v>
      </c>
      <c r="GC199" s="68">
        <v>0</v>
      </c>
      <c r="GD199" s="68">
        <v>0</v>
      </c>
      <c r="GE199" s="68">
        <v>0</v>
      </c>
      <c r="GF199" s="68">
        <v>0</v>
      </c>
      <c r="GG199" s="87"/>
    </row>
    <row r="200" spans="1:189" s="66" customFormat="1" ht="13.5" thickBot="1" x14ac:dyDescent="0.25">
      <c r="A200"/>
      <c r="B200" s="83" t="s">
        <v>20</v>
      </c>
      <c r="C200" s="85">
        <v>70.422667390858052</v>
      </c>
      <c r="D200" s="85">
        <v>70.621486151623998</v>
      </c>
      <c r="E200" s="84">
        <v>70.638593680386805</v>
      </c>
      <c r="F200" s="84">
        <v>70.705399556203304</v>
      </c>
      <c r="G200" s="84">
        <v>70.49040918716814</v>
      </c>
      <c r="H200" s="84">
        <v>70.338702077892592</v>
      </c>
      <c r="I200" s="84">
        <v>70.38984940855012</v>
      </c>
      <c r="J200" s="84">
        <v>70.468865143978903</v>
      </c>
      <c r="K200" s="84">
        <v>70.586396738483302</v>
      </c>
      <c r="L200" s="84">
        <v>70.546146885197274</v>
      </c>
      <c r="M200" s="84">
        <v>70.481744775577454</v>
      </c>
      <c r="N200" s="84">
        <v>70.512158476249269</v>
      </c>
      <c r="O200" s="84">
        <v>70.450461862802683</v>
      </c>
      <c r="P200" s="84">
        <v>70.219556850312301</v>
      </c>
      <c r="Q200" s="84">
        <v>70.196525401601832</v>
      </c>
      <c r="R200" s="84">
        <v>70.107073622921433</v>
      </c>
      <c r="S200" s="88">
        <v>70.146236836211258</v>
      </c>
      <c r="T200" s="88">
        <v>70.147571774895738</v>
      </c>
      <c r="U200" s="88">
        <v>70.221357223978373</v>
      </c>
      <c r="V200" s="88">
        <v>70.243626362562495</v>
      </c>
      <c r="W200" s="88">
        <v>70.3167041654836</v>
      </c>
      <c r="X200" s="88">
        <v>70.471220816728803</v>
      </c>
      <c r="Y200" s="88">
        <v>70.532643359737918</v>
      </c>
      <c r="Z200" s="88">
        <v>70.665562799369852</v>
      </c>
      <c r="AA200" s="88">
        <v>70.912690189188382</v>
      </c>
      <c r="AB200" s="88">
        <v>71.068921010496695</v>
      </c>
      <c r="AC200" s="88">
        <v>71.168042256635403</v>
      </c>
      <c r="AD200" s="88">
        <v>71.133962631343024</v>
      </c>
      <c r="AE200" s="88">
        <v>71.0745423121583</v>
      </c>
      <c r="AF200" s="88">
        <v>71.29134205301078</v>
      </c>
      <c r="AG200" s="88">
        <v>71.404676549747975</v>
      </c>
      <c r="AH200" s="88">
        <v>71.356223639788553</v>
      </c>
      <c r="AI200" s="88">
        <v>71.161906843076366</v>
      </c>
      <c r="AJ200" s="88">
        <v>71.178218789923918</v>
      </c>
      <c r="AK200" s="88">
        <v>71.236576737507576</v>
      </c>
      <c r="AL200" s="88">
        <v>71.201588417087152</v>
      </c>
      <c r="AM200" s="88">
        <v>71.327646584957122</v>
      </c>
      <c r="AN200" s="88">
        <v>71.479119392934436</v>
      </c>
      <c r="AO200" s="88">
        <v>71.503300098896929</v>
      </c>
      <c r="AP200" s="88">
        <v>71.647801313284404</v>
      </c>
      <c r="AQ200" s="88">
        <v>71.868294494125578</v>
      </c>
      <c r="AR200" s="88">
        <v>72.026336223410979</v>
      </c>
      <c r="AS200" s="88">
        <v>71.987289039381025</v>
      </c>
      <c r="AT200" s="88">
        <v>72.096325701774575</v>
      </c>
      <c r="AU200" s="88">
        <v>72.365171627820928</v>
      </c>
      <c r="AV200" s="88">
        <v>72.451961443091591</v>
      </c>
      <c r="AW200" s="88">
        <v>72.680892825773583</v>
      </c>
      <c r="AX200" s="88">
        <v>72.89321057258411</v>
      </c>
      <c r="AY200" s="88">
        <v>72.81970445205404</v>
      </c>
      <c r="AZ200" s="88">
        <v>72.77474493288787</v>
      </c>
      <c r="BA200" s="88">
        <v>72.962625630667688</v>
      </c>
      <c r="BB200" s="88">
        <v>73.030284715646275</v>
      </c>
      <c r="BC200" s="88">
        <v>72.993684241061786</v>
      </c>
      <c r="BD200" s="88">
        <v>72.978186635600451</v>
      </c>
      <c r="BE200" s="88">
        <v>73.187051722302471</v>
      </c>
      <c r="BF200" s="88">
        <v>73.280445520678938</v>
      </c>
      <c r="BG200" s="88">
        <v>73.414199644066244</v>
      </c>
      <c r="BH200" s="88">
        <v>73.416902401416522</v>
      </c>
      <c r="BI200" s="88">
        <v>73.413032729151055</v>
      </c>
      <c r="BJ200" s="88">
        <v>73.28680444812818</v>
      </c>
      <c r="BK200" s="88">
        <v>73.359661540267055</v>
      </c>
      <c r="BL200" s="88">
        <v>73.456454387769298</v>
      </c>
      <c r="BM200" s="88">
        <v>73.531106682048176</v>
      </c>
      <c r="BN200" s="88">
        <v>73.745283162697874</v>
      </c>
      <c r="BO200" s="88">
        <v>73.946637731395242</v>
      </c>
      <c r="BP200" s="88">
        <v>74.013075666251211</v>
      </c>
      <c r="BQ200" s="88">
        <v>74.074323054433052</v>
      </c>
      <c r="BR200" s="88">
        <v>74.048943542883066</v>
      </c>
      <c r="BS200" s="88">
        <v>74.097656289130612</v>
      </c>
      <c r="BT200" s="88">
        <v>74.089907358778959</v>
      </c>
      <c r="BU200" s="88">
        <v>74.144341386003916</v>
      </c>
      <c r="BV200" s="88">
        <v>74.307146322983968</v>
      </c>
      <c r="BW200" s="88">
        <v>74.365198974974561</v>
      </c>
      <c r="BX200" s="88">
        <v>74.450163648698833</v>
      </c>
      <c r="BY200" s="88">
        <v>74.429913780294825</v>
      </c>
      <c r="BZ200" s="88">
        <v>74.389813535938913</v>
      </c>
      <c r="CA200" s="88">
        <v>74.374880668256438</v>
      </c>
      <c r="CB200" s="88">
        <v>74.387710269042771</v>
      </c>
      <c r="CC200" s="88">
        <v>74.504793567301462</v>
      </c>
      <c r="CD200" s="88">
        <v>74.47386708448667</v>
      </c>
      <c r="CE200" s="88">
        <v>74.559559633452892</v>
      </c>
      <c r="CF200" s="88">
        <v>74.702375175215977</v>
      </c>
      <c r="CG200" s="88">
        <v>74.698896436993891</v>
      </c>
      <c r="CH200" s="88">
        <v>74.83906059523143</v>
      </c>
      <c r="CI200" s="88">
        <v>75.03206757979919</v>
      </c>
      <c r="CJ200" s="88">
        <v>75.189411585526116</v>
      </c>
      <c r="CK200" s="88">
        <v>75.060047722419725</v>
      </c>
      <c r="CL200" s="88">
        <v>74.925200866042658</v>
      </c>
      <c r="CM200" s="88">
        <v>74.990045291172791</v>
      </c>
      <c r="CN200" s="88">
        <v>75.246698491496659</v>
      </c>
      <c r="CO200" s="88">
        <v>75.07991259979228</v>
      </c>
      <c r="CP200" s="88">
        <v>75.202629224127904</v>
      </c>
      <c r="CQ200" s="88">
        <v>75.270344353864701</v>
      </c>
      <c r="CR200" s="88">
        <v>75.450975054308188</v>
      </c>
      <c r="CS200" s="88">
        <v>75.47903385519183</v>
      </c>
      <c r="CT200" s="88">
        <v>75.512979847256091</v>
      </c>
      <c r="CU200" s="88">
        <v>75.425873025732528</v>
      </c>
      <c r="CV200" s="88">
        <v>75.391671878018542</v>
      </c>
      <c r="CW200" s="88">
        <v>75.426166134364706</v>
      </c>
      <c r="CX200" s="88">
        <v>75.417909341627677</v>
      </c>
      <c r="CY200" s="88">
        <v>75.57208095497343</v>
      </c>
      <c r="CZ200" s="88">
        <v>75.616957871487529</v>
      </c>
      <c r="DA200" s="88">
        <v>75.684935450946185</v>
      </c>
      <c r="DB200" s="88">
        <v>75.952764090465436</v>
      </c>
      <c r="DC200" s="88">
        <v>75.970441265998801</v>
      </c>
      <c r="DD200" s="88">
        <v>75.902745264837549</v>
      </c>
      <c r="DE200" s="88">
        <v>76.00805927935248</v>
      </c>
      <c r="DF200" s="88">
        <v>75.999809844361991</v>
      </c>
      <c r="DG200" s="88">
        <v>76.087779457665533</v>
      </c>
      <c r="DH200" s="88">
        <v>76.03963300798307</v>
      </c>
      <c r="DI200" s="88">
        <v>75.92364283869189</v>
      </c>
      <c r="DJ200" s="88">
        <v>76.00730194543705</v>
      </c>
      <c r="DK200" s="88">
        <v>76.038640543712816</v>
      </c>
      <c r="DL200" s="88">
        <v>76.218734498876088</v>
      </c>
      <c r="DM200" s="88">
        <v>76.378310518244135</v>
      </c>
      <c r="DN200" s="88">
        <v>76.378729942608558</v>
      </c>
      <c r="DO200" s="88">
        <v>76.490866736886744</v>
      </c>
      <c r="DP200" s="88">
        <v>75.928121847399737</v>
      </c>
      <c r="DQ200" s="88">
        <v>75.660802765847521</v>
      </c>
      <c r="DR200" s="88">
        <v>75.503952620635147</v>
      </c>
      <c r="DS200" s="88">
        <v>75.420195354028678</v>
      </c>
      <c r="DT200" s="88">
        <v>75.25116829575515</v>
      </c>
      <c r="DU200" s="88">
        <v>74.987927797240943</v>
      </c>
      <c r="DV200" s="88">
        <v>74.600905322323044</v>
      </c>
      <c r="DW200" s="88">
        <v>74.457238986191271</v>
      </c>
      <c r="DX200" s="88">
        <v>74.515761482935233</v>
      </c>
      <c r="DY200" s="88">
        <v>74.319784751389435</v>
      </c>
      <c r="DZ200" s="88">
        <v>74.323280083871026</v>
      </c>
      <c r="EA200" s="88">
        <v>74.500333436925231</v>
      </c>
      <c r="EB200" s="88">
        <v>74.419269291119079</v>
      </c>
      <c r="EC200" s="88">
        <v>74.426016580932227</v>
      </c>
      <c r="ED200" s="88">
        <v>74.470474315994608</v>
      </c>
      <c r="EE200" s="88">
        <v>74.727432239670151</v>
      </c>
      <c r="EF200" s="88">
        <v>74.824026864860855</v>
      </c>
      <c r="EG200" s="88">
        <v>74.935241841336349</v>
      </c>
      <c r="EH200" s="88">
        <v>75.046031217079573</v>
      </c>
      <c r="EI200" s="88">
        <v>74.986594009437624</v>
      </c>
      <c r="EJ200" s="88">
        <v>74.991310881628721</v>
      </c>
      <c r="EK200" s="88">
        <v>75.05785834596098</v>
      </c>
      <c r="EL200" s="88">
        <v>75.038850146241586</v>
      </c>
      <c r="EM200" s="88">
        <v>75.037549106051515</v>
      </c>
      <c r="EN200" s="88">
        <v>75.109352399520063</v>
      </c>
      <c r="EO200" s="88">
        <v>75.156947819909789</v>
      </c>
      <c r="EP200" s="88">
        <v>75.398738568094416</v>
      </c>
      <c r="EQ200" s="88">
        <v>75.066732683469567</v>
      </c>
      <c r="ER200" s="88">
        <v>74.950820544823742</v>
      </c>
      <c r="ES200" s="88">
        <v>75.041202135253656</v>
      </c>
      <c r="ET200" s="88">
        <v>74.956682829119671</v>
      </c>
      <c r="EU200" s="88">
        <v>75.02175481523166</v>
      </c>
      <c r="EV200" s="88">
        <v>75.010315927034171</v>
      </c>
      <c r="EW200" s="88">
        <v>75.136188250553531</v>
      </c>
      <c r="EX200" s="88">
        <v>75.16007543739542</v>
      </c>
      <c r="EY200" s="88">
        <v>75.15151207009346</v>
      </c>
      <c r="EZ200" s="88">
        <v>75.28328338883118</v>
      </c>
      <c r="FA200" s="88">
        <v>75.475189034810768</v>
      </c>
      <c r="FB200" s="88">
        <v>75.444497185838344</v>
      </c>
      <c r="FC200" s="88">
        <v>75.198419885391672</v>
      </c>
      <c r="FD200" s="88">
        <v>74.910496321384699</v>
      </c>
      <c r="FE200" s="88">
        <v>74.688656682486794</v>
      </c>
      <c r="FF200" s="88">
        <v>74.887733375994429</v>
      </c>
      <c r="FG200" s="88">
        <v>74.883157063576917</v>
      </c>
      <c r="FH200" s="88">
        <v>74.859895030498521</v>
      </c>
      <c r="FI200" s="88">
        <v>74.852974396274078</v>
      </c>
      <c r="FJ200" s="88">
        <v>74.659177279638797</v>
      </c>
      <c r="FK200" s="88">
        <v>74.55901190200197</v>
      </c>
      <c r="FL200" s="88">
        <v>74.495675414989066</v>
      </c>
      <c r="FM200" s="88">
        <v>74.396208533706854</v>
      </c>
      <c r="FN200" s="88">
        <v>74.407764323915487</v>
      </c>
      <c r="FO200" s="88">
        <v>74.574397057150151</v>
      </c>
      <c r="FP200" s="88">
        <v>74.722902674145047</v>
      </c>
      <c r="FQ200" s="88">
        <v>74.985703831661851</v>
      </c>
      <c r="FR200" s="88">
        <v>74.937975580477485</v>
      </c>
      <c r="FS200" s="88">
        <v>74.902472586787169</v>
      </c>
      <c r="FT200" s="88">
        <v>74.850934796288655</v>
      </c>
      <c r="FU200" s="88">
        <v>74.956007115185059</v>
      </c>
      <c r="FV200" s="88">
        <v>75.006017765513917</v>
      </c>
      <c r="FW200" s="88">
        <v>75.066049868007099</v>
      </c>
      <c r="FX200" s="88">
        <v>74.999445427577271</v>
      </c>
      <c r="FY200" s="88">
        <v>75.057705153172918</v>
      </c>
      <c r="FZ200" s="88">
        <v>75.241221231307421</v>
      </c>
      <c r="GA200" s="88">
        <v>75.268460915089989</v>
      </c>
      <c r="GB200" s="88">
        <v>75.174093498404631</v>
      </c>
      <c r="GC200" s="88">
        <v>75.063593417860758</v>
      </c>
      <c r="GD200" s="88">
        <v>75.041594544953</v>
      </c>
      <c r="GE200" s="88">
        <v>74.915830656196405</v>
      </c>
      <c r="GF200" s="88">
        <v>75.092991600423687</v>
      </c>
      <c r="GG200" s="167">
        <v>74.959732814126554</v>
      </c>
    </row>
  </sheetData>
  <phoneticPr fontId="19" type="noConversion"/>
  <pageMargins left="0.75" right="0.75" top="1" bottom="1" header="0.5" footer="0.5"/>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B1:E38"/>
  <sheetViews>
    <sheetView workbookViewId="0"/>
  </sheetViews>
  <sheetFormatPr defaultRowHeight="12.75" x14ac:dyDescent="0.2"/>
  <cols>
    <col min="2" max="2" width="28.28515625" customWidth="1"/>
    <col min="3" max="3" width="17.7109375" customWidth="1"/>
    <col min="4" max="4" width="57.42578125" customWidth="1"/>
  </cols>
  <sheetData>
    <row r="1" spans="2:5" x14ac:dyDescent="0.2">
      <c r="B1" s="150" t="s">
        <v>303</v>
      </c>
      <c r="C1" s="142"/>
      <c r="D1" s="142"/>
      <c r="E1" s="142"/>
    </row>
    <row r="2" spans="2:5" x14ac:dyDescent="0.2">
      <c r="B2" s="150"/>
      <c r="C2" s="142"/>
      <c r="D2" s="142"/>
      <c r="E2" s="142"/>
    </row>
    <row r="4" spans="2:5" ht="15.75" x14ac:dyDescent="0.25">
      <c r="B4" s="143" t="s">
        <v>253</v>
      </c>
      <c r="C4" s="142"/>
      <c r="D4" s="142"/>
      <c r="E4" s="142"/>
    </row>
    <row r="7" spans="2:5" x14ac:dyDescent="0.2">
      <c r="B7" s="151" t="s">
        <v>254</v>
      </c>
      <c r="C7" s="144" t="s">
        <v>255</v>
      </c>
      <c r="D7" s="145" t="s">
        <v>256</v>
      </c>
      <c r="E7" s="146"/>
    </row>
    <row r="8" spans="2:5" x14ac:dyDescent="0.2">
      <c r="B8" s="146" t="s">
        <v>279</v>
      </c>
      <c r="C8" s="149" t="s">
        <v>280</v>
      </c>
      <c r="D8" s="146" t="s">
        <v>265</v>
      </c>
      <c r="E8" s="147"/>
    </row>
    <row r="9" spans="2:5" x14ac:dyDescent="0.2">
      <c r="B9" s="146"/>
      <c r="C9" s="152"/>
      <c r="D9" s="148" t="s">
        <v>266</v>
      </c>
      <c r="E9" s="147"/>
    </row>
    <row r="10" spans="2:5" x14ac:dyDescent="0.2">
      <c r="B10" s="146" t="s">
        <v>281</v>
      </c>
      <c r="C10" s="149" t="s">
        <v>282</v>
      </c>
      <c r="D10" s="146" t="s">
        <v>283</v>
      </c>
      <c r="E10" s="146"/>
    </row>
    <row r="11" spans="2:5" x14ac:dyDescent="0.2">
      <c r="B11" s="146"/>
      <c r="C11" s="152"/>
      <c r="D11" s="148" t="s">
        <v>284</v>
      </c>
      <c r="E11" s="146"/>
    </row>
    <row r="12" spans="2:5" x14ac:dyDescent="0.2">
      <c r="B12" s="146" t="s">
        <v>285</v>
      </c>
      <c r="C12" s="149" t="s">
        <v>286</v>
      </c>
      <c r="D12" s="146" t="s">
        <v>287</v>
      </c>
      <c r="E12" s="146"/>
    </row>
    <row r="13" spans="2:5" x14ac:dyDescent="0.2">
      <c r="B13" s="146" t="s">
        <v>288</v>
      </c>
      <c r="C13" s="149" t="s">
        <v>289</v>
      </c>
      <c r="D13" s="146" t="s">
        <v>290</v>
      </c>
      <c r="E13" s="146"/>
    </row>
    <row r="14" spans="2:5" x14ac:dyDescent="0.2">
      <c r="B14" s="146"/>
      <c r="C14" s="146"/>
      <c r="D14" s="146" t="s">
        <v>291</v>
      </c>
      <c r="E14" s="146"/>
    </row>
    <row r="15" spans="2:5" x14ac:dyDescent="0.2">
      <c r="B15" s="146" t="s">
        <v>292</v>
      </c>
      <c r="C15" s="149" t="s">
        <v>293</v>
      </c>
      <c r="D15" s="146" t="s">
        <v>287</v>
      </c>
      <c r="E15" s="146"/>
    </row>
    <row r="16" spans="2:5" x14ac:dyDescent="0.2">
      <c r="B16" s="146"/>
      <c r="C16" s="146"/>
      <c r="D16" s="146" t="s">
        <v>283</v>
      </c>
      <c r="E16" s="146"/>
    </row>
    <row r="17" spans="2:5" x14ac:dyDescent="0.2">
      <c r="B17" s="146" t="s">
        <v>294</v>
      </c>
      <c r="C17" s="149" t="s">
        <v>295</v>
      </c>
      <c r="D17" s="148" t="s">
        <v>284</v>
      </c>
      <c r="E17" s="146"/>
    </row>
    <row r="18" spans="2:5" x14ac:dyDescent="0.2">
      <c r="B18" s="146" t="s">
        <v>292</v>
      </c>
      <c r="C18" s="149" t="s">
        <v>296</v>
      </c>
      <c r="D18" s="146" t="s">
        <v>297</v>
      </c>
      <c r="E18" s="146"/>
    </row>
    <row r="19" spans="2:5" x14ac:dyDescent="0.2">
      <c r="B19" s="146" t="s">
        <v>288</v>
      </c>
      <c r="C19" s="149" t="s">
        <v>298</v>
      </c>
      <c r="D19" s="146" t="s">
        <v>299</v>
      </c>
      <c r="E19" s="146"/>
    </row>
    <row r="20" spans="2:5" x14ac:dyDescent="0.2">
      <c r="B20" s="146" t="s">
        <v>268</v>
      </c>
      <c r="C20" s="149" t="s">
        <v>261</v>
      </c>
      <c r="D20" s="146" t="s">
        <v>287</v>
      </c>
      <c r="E20" s="146"/>
    </row>
    <row r="21" spans="2:5" x14ac:dyDescent="0.2">
      <c r="B21" s="146" t="s">
        <v>263</v>
      </c>
      <c r="C21" s="149" t="s">
        <v>264</v>
      </c>
      <c r="D21" s="146" t="s">
        <v>265</v>
      </c>
      <c r="E21" s="146"/>
    </row>
    <row r="22" spans="2:5" x14ac:dyDescent="0.2">
      <c r="B22" s="146"/>
      <c r="C22" s="149"/>
      <c r="D22" s="148" t="s">
        <v>266</v>
      </c>
      <c r="E22" s="146"/>
    </row>
    <row r="23" spans="2:5" x14ac:dyDescent="0.2">
      <c r="B23" s="146" t="s">
        <v>268</v>
      </c>
      <c r="C23" s="149" t="s">
        <v>271</v>
      </c>
      <c r="D23" s="146" t="s">
        <v>269</v>
      </c>
      <c r="E23" s="146"/>
    </row>
    <row r="24" spans="2:5" x14ac:dyDescent="0.2">
      <c r="B24" s="146"/>
      <c r="C24" s="146"/>
      <c r="D24" s="148" t="s">
        <v>270</v>
      </c>
      <c r="E24" s="146"/>
    </row>
    <row r="25" spans="2:5" x14ac:dyDescent="0.2">
      <c r="B25" s="146" t="s">
        <v>274</v>
      </c>
      <c r="C25" s="149" t="s">
        <v>275</v>
      </c>
      <c r="D25" s="146" t="s">
        <v>265</v>
      </c>
      <c r="E25" s="146"/>
    </row>
    <row r="26" spans="2:5" x14ac:dyDescent="0.2">
      <c r="B26" s="146"/>
      <c r="C26" s="149"/>
      <c r="D26" s="148" t="s">
        <v>266</v>
      </c>
      <c r="E26" s="146"/>
    </row>
    <row r="27" spans="2:5" x14ac:dyDescent="0.2">
      <c r="B27" s="146" t="s">
        <v>274</v>
      </c>
      <c r="C27" s="149" t="s">
        <v>276</v>
      </c>
      <c r="D27" s="146" t="s">
        <v>265</v>
      </c>
      <c r="E27" s="146"/>
    </row>
    <row r="28" spans="2:5" x14ac:dyDescent="0.2">
      <c r="B28" s="146"/>
      <c r="C28" s="149"/>
      <c r="D28" s="148" t="s">
        <v>266</v>
      </c>
      <c r="E28" s="146"/>
    </row>
    <row r="29" spans="2:5" x14ac:dyDescent="0.2">
      <c r="B29" s="146" t="s">
        <v>277</v>
      </c>
      <c r="C29" s="149" t="s">
        <v>278</v>
      </c>
      <c r="D29" s="146" t="s">
        <v>265</v>
      </c>
      <c r="E29" s="146"/>
    </row>
    <row r="30" spans="2:5" x14ac:dyDescent="0.2">
      <c r="B30" s="146"/>
      <c r="C30" s="149"/>
      <c r="D30" s="148" t="s">
        <v>266</v>
      </c>
      <c r="E30" s="146"/>
    </row>
    <row r="31" spans="2:5" ht="25.5" x14ac:dyDescent="0.2">
      <c r="B31" s="146" t="s">
        <v>304</v>
      </c>
      <c r="C31" s="153">
        <v>44481</v>
      </c>
      <c r="D31" s="148" t="s">
        <v>305</v>
      </c>
      <c r="E31" s="146"/>
    </row>
    <row r="32" spans="2:5" ht="25.5" x14ac:dyDescent="0.2">
      <c r="B32" s="146" t="s">
        <v>302</v>
      </c>
      <c r="C32" s="153">
        <v>44392</v>
      </c>
      <c r="D32" s="148" t="s">
        <v>305</v>
      </c>
      <c r="E32" s="146"/>
    </row>
    <row r="33" spans="2:5" x14ac:dyDescent="0.2">
      <c r="B33" s="146" t="s">
        <v>306</v>
      </c>
      <c r="C33" s="153">
        <v>44726</v>
      </c>
      <c r="D33" s="148" t="s">
        <v>307</v>
      </c>
      <c r="E33" s="146"/>
    </row>
    <row r="34" spans="2:5" ht="38.25" x14ac:dyDescent="0.2">
      <c r="B34" s="154" t="s">
        <v>312</v>
      </c>
      <c r="C34" s="153">
        <v>45335</v>
      </c>
      <c r="D34" s="148" t="s">
        <v>313</v>
      </c>
      <c r="E34" s="146"/>
    </row>
    <row r="35" spans="2:5" ht="25.5" x14ac:dyDescent="0.2">
      <c r="B35" s="156" t="s">
        <v>314</v>
      </c>
      <c r="C35" s="153">
        <v>45335</v>
      </c>
      <c r="D35" s="156" t="s">
        <v>315</v>
      </c>
      <c r="E35" s="146"/>
    </row>
    <row r="36" spans="2:5" ht="38.25" x14ac:dyDescent="0.2">
      <c r="B36" s="154" t="s">
        <v>308</v>
      </c>
      <c r="C36" s="153">
        <v>45643</v>
      </c>
      <c r="D36" s="148" t="s">
        <v>309</v>
      </c>
      <c r="E36" s="146"/>
    </row>
    <row r="37" spans="2:5" ht="25.5" x14ac:dyDescent="0.2">
      <c r="B37" s="154" t="s">
        <v>310</v>
      </c>
      <c r="C37" s="153">
        <v>45643</v>
      </c>
      <c r="D37" s="155" t="s">
        <v>311</v>
      </c>
      <c r="E37" s="146"/>
    </row>
    <row r="38" spans="2:5" ht="25.5" x14ac:dyDescent="0.2">
      <c r="B38" s="154" t="s">
        <v>317</v>
      </c>
      <c r="C38" s="153">
        <v>45736</v>
      </c>
      <c r="D38" s="155" t="s">
        <v>316</v>
      </c>
      <c r="E38" s="146"/>
    </row>
  </sheetData>
  <phoneticPr fontId="19" type="noConversion"/>
  <pageMargins left="0.75" right="0.75" top="1" bottom="1" header="0.5" footer="0.5"/>
  <pageSetup paperSize="9"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pageSetUpPr fitToPage="1"/>
  </sheetPr>
  <dimension ref="B1:N65"/>
  <sheetViews>
    <sheetView zoomScaleNormal="100" workbookViewId="0">
      <selection activeCell="C3" sqref="C3:C5"/>
    </sheetView>
  </sheetViews>
  <sheetFormatPr defaultColWidth="9.28515625" defaultRowHeight="12.75" x14ac:dyDescent="0.2"/>
  <cols>
    <col min="1" max="1" width="3.7109375" style="1" customWidth="1"/>
    <col min="2" max="4" width="10.7109375" style="1" customWidth="1"/>
    <col min="5" max="7" width="9.7109375" style="1" customWidth="1"/>
    <col min="8" max="8" width="4.28515625" style="1" customWidth="1"/>
    <col min="9" max="9" width="22.7109375" style="1" customWidth="1"/>
    <col min="10" max="10" width="9.28515625" style="1"/>
    <col min="11" max="11" width="22.5703125" style="1" customWidth="1"/>
    <col min="12" max="12" width="15" style="1" customWidth="1"/>
    <col min="13" max="13" width="8.7109375" style="1" hidden="1" customWidth="1"/>
    <col min="14" max="14" width="12" style="1" hidden="1" customWidth="1"/>
    <col min="15" max="16384" width="9.28515625" style="1"/>
  </cols>
  <sheetData>
    <row r="1" spans="2:14" ht="20.100000000000001" customHeight="1" x14ac:dyDescent="0.3">
      <c r="B1" s="181" t="s">
        <v>257</v>
      </c>
      <c r="C1" s="181"/>
      <c r="D1" s="181"/>
      <c r="E1" s="181"/>
      <c r="F1" s="181"/>
      <c r="G1" s="181"/>
      <c r="H1" s="181"/>
      <c r="I1" s="181"/>
      <c r="J1" s="181"/>
      <c r="K1" s="181"/>
      <c r="L1" s="181"/>
    </row>
    <row r="2" spans="2:14" s="7" customFormat="1" ht="20.100000000000001" customHeight="1" thickBot="1" x14ac:dyDescent="0.25">
      <c r="B2" s="182" t="s">
        <v>18</v>
      </c>
      <c r="C2" s="182"/>
      <c r="D2" s="182"/>
      <c r="E2" s="182"/>
      <c r="F2" s="182"/>
      <c r="G2" s="182"/>
      <c r="H2" s="182"/>
      <c r="I2" s="182"/>
      <c r="J2" s="182"/>
      <c r="K2" s="182"/>
      <c r="L2" s="182"/>
    </row>
    <row r="3" spans="2:14" ht="20.100000000000001" customHeight="1" thickBot="1" x14ac:dyDescent="0.25">
      <c r="B3" s="188" t="str">
        <f>triangle!B6</f>
        <v>Relating to Period (three months ending)</v>
      </c>
      <c r="C3" s="178" t="s">
        <v>251</v>
      </c>
      <c r="D3" s="191" t="s">
        <v>252</v>
      </c>
      <c r="E3" s="194" t="s">
        <v>22</v>
      </c>
      <c r="F3" s="197" t="s">
        <v>0</v>
      </c>
      <c r="G3" s="183" t="s">
        <v>17</v>
      </c>
      <c r="I3" s="198" t="s">
        <v>1</v>
      </c>
      <c r="J3" s="187"/>
      <c r="K3" s="186" t="s">
        <v>7</v>
      </c>
      <c r="L3" s="187"/>
    </row>
    <row r="4" spans="2:14" ht="19.5" customHeight="1" x14ac:dyDescent="0.2">
      <c r="B4" s="179"/>
      <c r="C4" s="179"/>
      <c r="D4" s="192"/>
      <c r="E4" s="195"/>
      <c r="F4" s="179"/>
      <c r="G4" s="184"/>
      <c r="I4" s="18" t="s">
        <v>2</v>
      </c>
      <c r="J4" s="22">
        <f>COUNT(E6:E65)</f>
        <v>60</v>
      </c>
      <c r="K4" s="20" t="s">
        <v>8</v>
      </c>
      <c r="L4" s="27">
        <f>CORREL(E6:E65,F6:F65)</f>
        <v>0.7707706387746297</v>
      </c>
      <c r="M4" s="2"/>
      <c r="N4" s="2"/>
    </row>
    <row r="5" spans="2:14" ht="28.5" customHeight="1" thickBot="1" x14ac:dyDescent="0.25">
      <c r="B5" s="180"/>
      <c r="C5" s="180"/>
      <c r="D5" s="193"/>
      <c r="E5" s="196"/>
      <c r="F5" s="180"/>
      <c r="G5" s="185"/>
      <c r="I5" s="18" t="s">
        <v>3</v>
      </c>
      <c r="J5" s="23">
        <f>AVERAGE(E6:E65)</f>
        <v>-0.22630448712067378</v>
      </c>
      <c r="K5" s="21" t="s">
        <v>9</v>
      </c>
      <c r="L5" s="27">
        <f>((1+L4)/(1-L4))*J6</f>
        <v>0.53557872054147471</v>
      </c>
    </row>
    <row r="6" spans="2:14" ht="19.5" customHeight="1" x14ac:dyDescent="0.2">
      <c r="B6" s="70">
        <f>triangle!$DN$6</f>
        <v>43831</v>
      </c>
      <c r="C6" s="71">
        <f>triangle!$DN$9</f>
        <v>76.5</v>
      </c>
      <c r="D6" s="72">
        <f>triangle!$DN$10</f>
        <v>76.5</v>
      </c>
      <c r="E6" s="63">
        <f t="shared" ref="E6:E24" si="0">IF(OR(C6="N/A",D6="N/A",ISBLANK(C6),ISBLANK(D6)),"",D6-C6)</f>
        <v>0</v>
      </c>
      <c r="F6" s="73"/>
      <c r="G6" s="64">
        <f>IF(ISTEXT(E6),"",ABS(E6))</f>
        <v>0</v>
      </c>
      <c r="I6" s="18" t="s">
        <v>4</v>
      </c>
      <c r="J6" s="24">
        <f>VARP(E6:E65)</f>
        <v>6.9331603600893368E-2</v>
      </c>
      <c r="K6" s="21" t="s">
        <v>10</v>
      </c>
      <c r="L6" s="27">
        <f>ROUNDUP(N8,0)</f>
        <v>16</v>
      </c>
    </row>
    <row r="7" spans="2:14" ht="20.100000000000001" customHeight="1" thickBot="1" x14ac:dyDescent="0.25">
      <c r="B7" s="62">
        <f>triangle!$DO$6</f>
        <v>43862</v>
      </c>
      <c r="C7" s="33">
        <f>triangle!$DO$9</f>
        <v>76.599999999999994</v>
      </c>
      <c r="D7" s="34">
        <f>triangle!$DO$10</f>
        <v>76.599999999999994</v>
      </c>
      <c r="E7" s="41">
        <f t="shared" si="0"/>
        <v>0</v>
      </c>
      <c r="F7" s="39">
        <f>IF(ISBLANK(E6)," ",E6)</f>
        <v>0</v>
      </c>
      <c r="G7" s="43">
        <f t="shared" ref="G7:G24" si="1">IF(ISTEXT(E7),"",ABS(E7))</f>
        <v>0</v>
      </c>
      <c r="I7" s="18" t="s">
        <v>5</v>
      </c>
      <c r="J7" s="25">
        <f>J5/SQRT(J6/J4)</f>
        <v>-6.6573772516352774</v>
      </c>
      <c r="K7" s="21" t="s">
        <v>11</v>
      </c>
      <c r="L7" s="74">
        <f>J5/SQRT(L5/J4)</f>
        <v>-2.3952846625402815</v>
      </c>
    </row>
    <row r="8" spans="2:14" ht="20.100000000000001" customHeight="1" thickBot="1" x14ac:dyDescent="0.25">
      <c r="B8" s="62">
        <f>triangle!$DP$6</f>
        <v>43891</v>
      </c>
      <c r="C8" s="33">
        <f>triangle!$DP$9</f>
        <v>76.599999999999994</v>
      </c>
      <c r="D8" s="34">
        <f>triangle!$DP$10</f>
        <v>76.340151606737336</v>
      </c>
      <c r="E8" s="41">
        <f t="shared" si="0"/>
        <v>-0.25984839326265785</v>
      </c>
      <c r="F8" s="39">
        <f t="shared" ref="F8:F24" si="2">IF(ISBLANK(E7)," ",E7)</f>
        <v>0</v>
      </c>
      <c r="G8" s="43">
        <f t="shared" si="1"/>
        <v>0.25984839326265785</v>
      </c>
      <c r="I8" s="18" t="s">
        <v>6</v>
      </c>
      <c r="J8" s="26">
        <f>TINV(0.05,J4)</f>
        <v>2.0002978220142609</v>
      </c>
      <c r="K8" s="21" t="s">
        <v>12</v>
      </c>
      <c r="L8" s="27">
        <f>TINV(0.05,L6)</f>
        <v>2.119905299221255</v>
      </c>
      <c r="M8" s="3" t="s">
        <v>10</v>
      </c>
      <c r="N8" s="4">
        <f>((1-(L4^2))/(1+(L4^2)))*J4</f>
        <v>15.278182166456686</v>
      </c>
    </row>
    <row r="9" spans="2:14" ht="20.100000000000001" customHeight="1" thickBot="1" x14ac:dyDescent="0.25">
      <c r="B9" s="62">
        <f>triangle!$DQ$6</f>
        <v>43922</v>
      </c>
      <c r="C9" s="33">
        <f>triangle!$DQ$9</f>
        <v>76.400000000000006</v>
      </c>
      <c r="D9" s="34">
        <f>triangle!$DQ$10</f>
        <v>76.023623325676269</v>
      </c>
      <c r="E9" s="41">
        <f t="shared" si="0"/>
        <v>-0.37637667432373689</v>
      </c>
      <c r="F9" s="39">
        <f t="shared" si="2"/>
        <v>-0.25984839326265785</v>
      </c>
      <c r="G9" s="43">
        <f t="shared" si="1"/>
        <v>0.37637667432373689</v>
      </c>
      <c r="I9" s="19" t="s">
        <v>19</v>
      </c>
      <c r="J9" s="29" t="str">
        <f>IF(ABS(J7)&gt;J8,"Yes", "No")</f>
        <v>Yes</v>
      </c>
      <c r="K9" s="17" t="s">
        <v>19</v>
      </c>
      <c r="L9" s="28" t="str">
        <f>IF(ABS(L7)&gt;L8,"Yes", "No")</f>
        <v>Yes</v>
      </c>
    </row>
    <row r="10" spans="2:14" ht="20.100000000000001" customHeight="1" thickBot="1" x14ac:dyDescent="0.25">
      <c r="B10" s="62">
        <f>triangle!$DR$6</f>
        <v>43952</v>
      </c>
      <c r="C10" s="33">
        <f>triangle!$DR$9</f>
        <v>76.400000000000006</v>
      </c>
      <c r="D10" s="34">
        <f>triangle!$DR$10</f>
        <v>75.841800029272491</v>
      </c>
      <c r="E10" s="41">
        <f t="shared" si="0"/>
        <v>-0.55819997072751448</v>
      </c>
      <c r="F10" s="39">
        <f t="shared" si="2"/>
        <v>-0.37637667432373689</v>
      </c>
      <c r="G10" s="43">
        <f t="shared" si="1"/>
        <v>0.55819997072751448</v>
      </c>
      <c r="I10" s="6"/>
      <c r="J10" s="7"/>
      <c r="K10" s="6"/>
      <c r="L10" s="8"/>
    </row>
    <row r="11" spans="2:14" ht="20.100000000000001" customHeight="1" thickBot="1" x14ac:dyDescent="0.25">
      <c r="B11" s="62">
        <f>triangle!$DS$6</f>
        <v>43983</v>
      </c>
      <c r="C11" s="33">
        <f>triangle!$DS$9</f>
        <v>76.400000000000006</v>
      </c>
      <c r="D11" s="34">
        <f>triangle!$DS$10</f>
        <v>75.748394873159526</v>
      </c>
      <c r="E11" s="41">
        <f t="shared" si="0"/>
        <v>-0.65160512684047944</v>
      </c>
      <c r="F11" s="39">
        <f t="shared" si="2"/>
        <v>-0.55819997072751448</v>
      </c>
      <c r="G11" s="43">
        <f t="shared" si="1"/>
        <v>0.65160512684047944</v>
      </c>
      <c r="I11" s="189" t="s">
        <v>15</v>
      </c>
      <c r="J11" s="190"/>
      <c r="K11" s="12" t="s">
        <v>258</v>
      </c>
      <c r="L11" s="14">
        <f>AVERAGE(E6:E65)</f>
        <v>-0.22630448712067378</v>
      </c>
    </row>
    <row r="12" spans="2:14" ht="20.100000000000001" customHeight="1" thickBot="1" x14ac:dyDescent="0.25">
      <c r="B12" s="62">
        <f>triangle!$DT$6</f>
        <v>44013</v>
      </c>
      <c r="C12" s="33">
        <f>triangle!$DT$9</f>
        <v>76.5</v>
      </c>
      <c r="D12" s="34">
        <f>triangle!$DT$10</f>
        <v>75.625159512623981</v>
      </c>
      <c r="E12" s="41">
        <f t="shared" si="0"/>
        <v>-0.87484048737601938</v>
      </c>
      <c r="F12" s="39">
        <f t="shared" si="2"/>
        <v>-0.65160512684047944</v>
      </c>
      <c r="G12" s="43">
        <f t="shared" si="1"/>
        <v>0.87484048737601938</v>
      </c>
      <c r="I12" s="9" t="s">
        <v>13</v>
      </c>
      <c r="J12" s="15" t="str">
        <f>IF(L4&lt;0,"Standard","Adjusted")</f>
        <v>Adjusted</v>
      </c>
      <c r="K12" s="13" t="s">
        <v>16</v>
      </c>
      <c r="L12" s="14">
        <f>AVERAGE(G6:G65)</f>
        <v>0.24245885392653316</v>
      </c>
    </row>
    <row r="13" spans="2:14" ht="20.100000000000001" customHeight="1" thickBot="1" x14ac:dyDescent="0.25">
      <c r="B13" s="62">
        <f>triangle!$DU$6</f>
        <v>44044</v>
      </c>
      <c r="C13" s="33">
        <f>triangle!$DU$9</f>
        <v>75.560540413295854</v>
      </c>
      <c r="D13" s="34">
        <f>triangle!$DU$10</f>
        <v>75.37042605160768</v>
      </c>
      <c r="E13" s="41">
        <f t="shared" si="0"/>
        <v>-0.19011436168817397</v>
      </c>
      <c r="F13" s="39">
        <f t="shared" si="2"/>
        <v>-0.87484048737601938</v>
      </c>
      <c r="G13" s="43">
        <f t="shared" si="1"/>
        <v>0.19011436168817397</v>
      </c>
      <c r="I13" s="10" t="s">
        <v>14</v>
      </c>
      <c r="J13" s="16" t="str">
        <f>IF(L4&lt;0,J9,L9)</f>
        <v>Yes</v>
      </c>
      <c r="K13" s="11" t="s">
        <v>14</v>
      </c>
      <c r="L13" s="30" t="str">
        <f>IF(L4&lt;0,J9,L9)</f>
        <v>Yes</v>
      </c>
    </row>
    <row r="14" spans="2:14" ht="20.100000000000001" customHeight="1" x14ac:dyDescent="0.2">
      <c r="B14" s="62">
        <f>triangle!$DV$6</f>
        <v>44075</v>
      </c>
      <c r="C14" s="33">
        <f>triangle!$DV$9</f>
        <v>75.3</v>
      </c>
      <c r="D14" s="34">
        <f>triangle!$DV$10</f>
        <v>75.032893557475006</v>
      </c>
      <c r="E14" s="41">
        <f t="shared" si="0"/>
        <v>-0.26710644252499094</v>
      </c>
      <c r="F14" s="39">
        <f t="shared" si="2"/>
        <v>-0.19011436168817397</v>
      </c>
      <c r="G14" s="43">
        <f t="shared" si="1"/>
        <v>0.26710644252499094</v>
      </c>
    </row>
    <row r="15" spans="2:14" ht="20.100000000000001" customHeight="1" x14ac:dyDescent="0.2">
      <c r="B15" s="62">
        <f>triangle!$DW$6</f>
        <v>44105</v>
      </c>
      <c r="C15" s="33">
        <f>triangle!$DW$9</f>
        <v>75.2</v>
      </c>
      <c r="D15" s="34">
        <f>triangle!$DW$10</f>
        <v>74.935643921654574</v>
      </c>
      <c r="E15" s="41">
        <f t="shared" si="0"/>
        <v>-0.26435607834542907</v>
      </c>
      <c r="F15" s="39">
        <f t="shared" si="2"/>
        <v>-0.26710644252499094</v>
      </c>
      <c r="G15" s="43">
        <f t="shared" si="1"/>
        <v>0.26435607834542907</v>
      </c>
    </row>
    <row r="16" spans="2:14" ht="20.100000000000001" customHeight="1" x14ac:dyDescent="0.2">
      <c r="B16" s="62">
        <f>triangle!$DX$6</f>
        <v>44136</v>
      </c>
      <c r="C16" s="33">
        <f>triangle!$DX$9</f>
        <v>75.2</v>
      </c>
      <c r="D16" s="34">
        <f>triangle!$DX$10</f>
        <v>74.948703090707326</v>
      </c>
      <c r="E16" s="41">
        <f t="shared" si="0"/>
        <v>-0.25129690929267667</v>
      </c>
      <c r="F16" s="39">
        <f t="shared" si="2"/>
        <v>-0.26435607834542907</v>
      </c>
      <c r="G16" s="43">
        <f t="shared" si="1"/>
        <v>0.25129690929267667</v>
      </c>
    </row>
    <row r="17" spans="2:14" ht="20.100000000000001" customHeight="1" x14ac:dyDescent="0.2">
      <c r="B17" s="62">
        <f>triangle!$DY$6</f>
        <v>44166</v>
      </c>
      <c r="C17" s="33">
        <f>triangle!$DY$9</f>
        <v>75</v>
      </c>
      <c r="D17" s="34">
        <f>triangle!$DY$10</f>
        <v>74.653900168755683</v>
      </c>
      <c r="E17" s="41">
        <f t="shared" si="0"/>
        <v>-0.34609983124431665</v>
      </c>
      <c r="F17" s="39">
        <f t="shared" si="2"/>
        <v>-0.25129690929267667</v>
      </c>
      <c r="G17" s="43">
        <f t="shared" si="1"/>
        <v>0.34609983124431665</v>
      </c>
    </row>
    <row r="18" spans="2:14" ht="20.100000000000001" customHeight="1" x14ac:dyDescent="0.2">
      <c r="B18" s="62">
        <f>triangle!$DZ$6</f>
        <v>44197</v>
      </c>
      <c r="C18" s="33">
        <f>triangle!$DZ$9</f>
        <v>75</v>
      </c>
      <c r="D18" s="34">
        <f>triangle!$DZ$10</f>
        <v>74.610039835289143</v>
      </c>
      <c r="E18" s="41">
        <f t="shared" si="0"/>
        <v>-0.38996016471085682</v>
      </c>
      <c r="F18" s="39">
        <f t="shared" si="2"/>
        <v>-0.34609983124431665</v>
      </c>
      <c r="G18" s="43">
        <f t="shared" si="1"/>
        <v>0.38996016471085682</v>
      </c>
    </row>
    <row r="19" spans="2:14" ht="20.100000000000001" customHeight="1" x14ac:dyDescent="0.2">
      <c r="B19" s="62">
        <f>triangle!$EA$6</f>
        <v>44228</v>
      </c>
      <c r="C19" s="33">
        <f>triangle!$EA$9</f>
        <v>75.099999999999994</v>
      </c>
      <c r="D19" s="34">
        <f>triangle!$EA$10</f>
        <v>74.720603037952714</v>
      </c>
      <c r="E19" s="41">
        <f t="shared" si="0"/>
        <v>-0.37939696204728079</v>
      </c>
      <c r="F19" s="39">
        <f t="shared" si="2"/>
        <v>-0.38996016471085682</v>
      </c>
      <c r="G19" s="43">
        <f t="shared" si="1"/>
        <v>0.37939696204728079</v>
      </c>
    </row>
    <row r="20" spans="2:14" ht="20.100000000000001" customHeight="1" x14ac:dyDescent="0.2">
      <c r="B20" s="62">
        <f>triangle!$EB$6</f>
        <v>44256</v>
      </c>
      <c r="C20" s="33">
        <f>triangle!$EB$9</f>
        <v>75.2</v>
      </c>
      <c r="D20" s="34">
        <f>triangle!$EB$10</f>
        <v>74.724822795561209</v>
      </c>
      <c r="E20" s="41">
        <f t="shared" si="0"/>
        <v>-0.47517720443879341</v>
      </c>
      <c r="F20" s="39">
        <f t="shared" si="2"/>
        <v>-0.37939696204728079</v>
      </c>
      <c r="G20" s="43">
        <f t="shared" si="1"/>
        <v>0.47517720443879341</v>
      </c>
    </row>
    <row r="21" spans="2:14" ht="20.100000000000001" customHeight="1" x14ac:dyDescent="0.2">
      <c r="B21" s="62">
        <f>triangle!$EC$6</f>
        <v>44287</v>
      </c>
      <c r="C21" s="33">
        <f>triangle!$EC$9</f>
        <v>75.2</v>
      </c>
      <c r="D21" s="34">
        <f>triangle!$EC$10</f>
        <v>74.692215176965391</v>
      </c>
      <c r="E21" s="41">
        <f t="shared" si="0"/>
        <v>-0.50778482303461203</v>
      </c>
      <c r="F21" s="39">
        <f t="shared" si="2"/>
        <v>-0.47517720443879341</v>
      </c>
      <c r="G21" s="43">
        <f t="shared" si="1"/>
        <v>0.50778482303461203</v>
      </c>
    </row>
    <row r="22" spans="2:14" ht="20.100000000000001" customHeight="1" x14ac:dyDescent="0.2">
      <c r="B22" s="62">
        <f>triangle!$ED$6</f>
        <v>44317</v>
      </c>
      <c r="C22" s="33">
        <f>triangle!$ED$9</f>
        <v>74.804888625445315</v>
      </c>
      <c r="D22" s="34">
        <f>triangle!$ED$10</f>
        <v>74.750852404419049</v>
      </c>
      <c r="E22" s="41">
        <f t="shared" si="0"/>
        <v>-5.4036221026265707E-2</v>
      </c>
      <c r="F22" s="39">
        <f t="shared" si="2"/>
        <v>-0.50778482303461203</v>
      </c>
      <c r="G22" s="43">
        <f t="shared" si="1"/>
        <v>5.4036221026265707E-2</v>
      </c>
    </row>
    <row r="23" spans="2:14" ht="20.100000000000001" customHeight="1" x14ac:dyDescent="0.2">
      <c r="B23" s="62">
        <f>triangle!$EE$6</f>
        <v>44348</v>
      </c>
      <c r="C23" s="33">
        <f>triangle!$EE$9</f>
        <v>75.072312566809956</v>
      </c>
      <c r="D23" s="34">
        <f>triangle!$EE$10</f>
        <v>75.019872463169762</v>
      </c>
      <c r="E23" s="41">
        <f t="shared" si="0"/>
        <v>-5.2440103640194025E-2</v>
      </c>
      <c r="F23" s="39">
        <f t="shared" si="2"/>
        <v>-5.4036221026265707E-2</v>
      </c>
      <c r="G23" s="43">
        <f t="shared" si="1"/>
        <v>5.2440103640194025E-2</v>
      </c>
    </row>
    <row r="24" spans="2:14" ht="19.5" customHeight="1" x14ac:dyDescent="0.2">
      <c r="B24" s="62">
        <f>triangle!$EF$6</f>
        <v>44378</v>
      </c>
      <c r="C24" s="33">
        <f>triangle!$EF$9</f>
        <v>75.221202935474935</v>
      </c>
      <c r="D24" s="34">
        <f>triangle!$EF$10</f>
        <v>75.142336390490669</v>
      </c>
      <c r="E24" s="41">
        <f t="shared" si="0"/>
        <v>-7.8866544984265374E-2</v>
      </c>
      <c r="F24" s="39">
        <f t="shared" si="2"/>
        <v>-5.2440103640194025E-2</v>
      </c>
      <c r="G24" s="43">
        <f t="shared" si="1"/>
        <v>7.8866544984265374E-2</v>
      </c>
    </row>
    <row r="25" spans="2:14" ht="20.100000000000001" customHeight="1" x14ac:dyDescent="0.2">
      <c r="B25" s="62">
        <f>triangle!$EG$6</f>
        <v>44409</v>
      </c>
      <c r="C25" s="33">
        <f>triangle!$EG$9</f>
        <v>75.304370541135796</v>
      </c>
      <c r="D25" s="34">
        <f>triangle!$EG$10</f>
        <v>75.242012313790454</v>
      </c>
      <c r="E25" s="63">
        <f t="shared" ref="E25:E63" si="3">IF(OR(C25="N/A",D25="N/A",ISBLANK(C25),ISBLANK(D25)),"",D25-C25)</f>
        <v>-6.2358227345342243E-2</v>
      </c>
      <c r="F25" s="39">
        <f t="shared" ref="F25:F63" si="4">IF(ISBLANK(E24)," ",E24)</f>
        <v>-7.8866544984265374E-2</v>
      </c>
      <c r="G25" s="64">
        <f t="shared" ref="G25:G63" si="5">IF(ISTEXT(E25),"",ABS(E25))</f>
        <v>6.2358227345342243E-2</v>
      </c>
    </row>
    <row r="26" spans="2:14" ht="20.25" customHeight="1" x14ac:dyDescent="0.2">
      <c r="B26" s="62">
        <f>triangle!$EH$6</f>
        <v>44440</v>
      </c>
      <c r="C26" s="33">
        <f>triangle!$EH$9</f>
        <v>75.426778815565996</v>
      </c>
      <c r="D26" s="34">
        <f>triangle!$EH$10</f>
        <v>75.336737738508361</v>
      </c>
      <c r="E26" s="41">
        <f t="shared" si="3"/>
        <v>-9.0041077057634311E-2</v>
      </c>
      <c r="F26" s="39">
        <f t="shared" si="4"/>
        <v>-6.2358227345342243E-2</v>
      </c>
      <c r="G26" s="43">
        <f t="shared" si="5"/>
        <v>9.0041077057634311E-2</v>
      </c>
      <c r="M26" s="5"/>
      <c r="N26" s="5"/>
    </row>
    <row r="27" spans="2:14" ht="20.25" customHeight="1" x14ac:dyDescent="0.2">
      <c r="B27" s="62">
        <f>triangle!$EI$6</f>
        <v>44470</v>
      </c>
      <c r="C27" s="33">
        <f>triangle!$EI$9</f>
        <v>75.461811609719291</v>
      </c>
      <c r="D27" s="34">
        <f>triangle!$EI$10</f>
        <v>75.385207923827323</v>
      </c>
      <c r="E27" s="41">
        <f t="shared" si="3"/>
        <v>-7.6603685891967643E-2</v>
      </c>
      <c r="F27" s="39">
        <f t="shared" si="4"/>
        <v>-9.0041077057634311E-2</v>
      </c>
      <c r="G27" s="43">
        <f t="shared" si="5"/>
        <v>7.6603685891967643E-2</v>
      </c>
    </row>
    <row r="28" spans="2:14" ht="20.25" customHeight="1" x14ac:dyDescent="0.2">
      <c r="B28" s="62">
        <f>triangle!$EJ$6</f>
        <v>44501</v>
      </c>
      <c r="C28" s="33">
        <f>triangle!$EJ$9</f>
        <v>75.5</v>
      </c>
      <c r="D28" s="34">
        <f>triangle!$EJ$10</f>
        <v>75.417536609317878</v>
      </c>
      <c r="E28" s="41">
        <f t="shared" si="3"/>
        <v>-8.246339068212194E-2</v>
      </c>
      <c r="F28" s="39">
        <f t="shared" si="4"/>
        <v>-7.6603685891967643E-2</v>
      </c>
      <c r="G28" s="43">
        <f t="shared" si="5"/>
        <v>8.246339068212194E-2</v>
      </c>
    </row>
    <row r="29" spans="2:14" ht="20.25" customHeight="1" x14ac:dyDescent="0.2">
      <c r="B29" s="62">
        <f>triangle!$EK$6</f>
        <v>44531</v>
      </c>
      <c r="C29" s="33">
        <f>triangle!$EK$9</f>
        <v>75.5</v>
      </c>
      <c r="D29" s="34">
        <f>triangle!$EK$10</f>
        <v>75.469458847652803</v>
      </c>
      <c r="E29" s="41">
        <f t="shared" si="3"/>
        <v>-3.0541152347197453E-2</v>
      </c>
      <c r="F29" s="39">
        <f t="shared" si="4"/>
        <v>-8.246339068212194E-2</v>
      </c>
      <c r="G29" s="43">
        <f t="shared" si="5"/>
        <v>3.0541152347197453E-2</v>
      </c>
    </row>
    <row r="30" spans="2:14" ht="20.25" customHeight="1" x14ac:dyDescent="0.2">
      <c r="B30" s="62">
        <f>triangle!$EL$6</f>
        <v>44562</v>
      </c>
      <c r="C30" s="33">
        <f>triangle!$EL$9</f>
        <v>75.599999999999994</v>
      </c>
      <c r="D30" s="34">
        <f>triangle!$EL$10</f>
        <v>75.431988378732541</v>
      </c>
      <c r="E30" s="41">
        <f t="shared" si="3"/>
        <v>-0.16801162126745339</v>
      </c>
      <c r="F30" s="39">
        <f t="shared" si="4"/>
        <v>-3.0541152347197453E-2</v>
      </c>
      <c r="G30" s="43">
        <f t="shared" si="5"/>
        <v>0.16801162126745339</v>
      </c>
    </row>
    <row r="31" spans="2:14" ht="20.25" customHeight="1" x14ac:dyDescent="0.2">
      <c r="B31" s="62">
        <f>triangle!$EM$6</f>
        <v>44593</v>
      </c>
      <c r="C31" s="33">
        <f>triangle!$EM$9</f>
        <v>75.485512365979233</v>
      </c>
      <c r="D31" s="34">
        <f>triangle!$EM$10</f>
        <v>75.465305750384204</v>
      </c>
      <c r="E31" s="41">
        <f t="shared" si="3"/>
        <v>-2.020661559502912E-2</v>
      </c>
      <c r="F31" s="39">
        <f t="shared" si="4"/>
        <v>-0.16801162126745339</v>
      </c>
      <c r="G31" s="43">
        <f t="shared" si="5"/>
        <v>2.020661559502912E-2</v>
      </c>
    </row>
    <row r="32" spans="2:14" ht="20.25" customHeight="1" x14ac:dyDescent="0.2">
      <c r="B32" s="62">
        <f>triangle!$EN$6</f>
        <v>44621</v>
      </c>
      <c r="C32" s="33">
        <f>triangle!$EN$9</f>
        <v>75.658527259672439</v>
      </c>
      <c r="D32" s="34">
        <f>triangle!$EN$10</f>
        <v>75.626683571744096</v>
      </c>
      <c r="E32" s="41">
        <f t="shared" si="3"/>
        <v>-3.1843687928343911E-2</v>
      </c>
      <c r="F32" s="39">
        <f t="shared" si="4"/>
        <v>-2.020661559502912E-2</v>
      </c>
      <c r="G32" s="43">
        <f t="shared" si="5"/>
        <v>3.1843687928343911E-2</v>
      </c>
    </row>
    <row r="33" spans="2:7" ht="20.25" customHeight="1" x14ac:dyDescent="0.2">
      <c r="B33" s="62">
        <f>triangle!$EO$6</f>
        <v>44652</v>
      </c>
      <c r="C33" s="33">
        <f>triangle!$EO$9</f>
        <v>75.648992817013806</v>
      </c>
      <c r="D33" s="34">
        <f>triangle!$EO$10</f>
        <v>75.648992817013806</v>
      </c>
      <c r="E33" s="41">
        <f t="shared" si="3"/>
        <v>0</v>
      </c>
      <c r="F33" s="39">
        <f t="shared" si="4"/>
        <v>-3.1843687928343911E-2</v>
      </c>
      <c r="G33" s="43">
        <f t="shared" si="5"/>
        <v>0</v>
      </c>
    </row>
    <row r="34" spans="2:7" ht="20.25" customHeight="1" x14ac:dyDescent="0.2">
      <c r="B34" s="62">
        <f>triangle!$EP$6</f>
        <v>44682</v>
      </c>
      <c r="C34" s="33">
        <f>triangle!$EP$9</f>
        <v>75.866474785436594</v>
      </c>
      <c r="D34" s="34">
        <f>triangle!$EP$10</f>
        <v>75.866474785436637</v>
      </c>
      <c r="E34" s="41">
        <f t="shared" si="3"/>
        <v>4.2632564145606011E-14</v>
      </c>
      <c r="F34" s="39">
        <f t="shared" si="4"/>
        <v>0</v>
      </c>
      <c r="G34" s="43">
        <f t="shared" si="5"/>
        <v>4.2632564145606011E-14</v>
      </c>
    </row>
    <row r="35" spans="2:7" ht="20.25" customHeight="1" x14ac:dyDescent="0.2">
      <c r="B35" s="62">
        <f>triangle!$EQ$6</f>
        <v>44713</v>
      </c>
      <c r="C35" s="33">
        <f>triangle!$EQ$9</f>
        <v>75.518216130142292</v>
      </c>
      <c r="D35" s="34">
        <f>triangle!$EQ$10</f>
        <v>75.518216130142292</v>
      </c>
      <c r="E35" s="41">
        <f t="shared" si="3"/>
        <v>0</v>
      </c>
      <c r="F35" s="39">
        <f t="shared" si="4"/>
        <v>4.2632564145606011E-14</v>
      </c>
      <c r="G35" s="43">
        <f t="shared" si="5"/>
        <v>0</v>
      </c>
    </row>
    <row r="36" spans="2:7" ht="20.25" customHeight="1" x14ac:dyDescent="0.2">
      <c r="B36" s="62">
        <f>triangle!$ER$6</f>
        <v>44743</v>
      </c>
      <c r="C36" s="33">
        <f>triangle!$ER$9</f>
        <v>75.424200108727874</v>
      </c>
      <c r="D36" s="34">
        <f>triangle!$ER$10</f>
        <v>75.424200108727874</v>
      </c>
      <c r="E36" s="41">
        <f t="shared" si="3"/>
        <v>0</v>
      </c>
      <c r="F36" s="39">
        <f t="shared" si="4"/>
        <v>0</v>
      </c>
      <c r="G36" s="43">
        <f t="shared" si="5"/>
        <v>0</v>
      </c>
    </row>
    <row r="37" spans="2:7" ht="20.25" customHeight="1" x14ac:dyDescent="0.2">
      <c r="B37" s="62">
        <f>triangle!$ES$6</f>
        <v>44774</v>
      </c>
      <c r="C37" s="33">
        <f>triangle!$ES$9</f>
        <v>75.5</v>
      </c>
      <c r="D37" s="34">
        <f>triangle!$ES$10</f>
        <v>75.5</v>
      </c>
      <c r="E37" s="41">
        <f t="shared" si="3"/>
        <v>0</v>
      </c>
      <c r="F37" s="39">
        <f t="shared" si="4"/>
        <v>0</v>
      </c>
      <c r="G37" s="43">
        <f t="shared" si="5"/>
        <v>0</v>
      </c>
    </row>
    <row r="38" spans="2:7" ht="20.25" customHeight="1" x14ac:dyDescent="0.2">
      <c r="B38" s="62">
        <f>triangle!$ET$6</f>
        <v>44805</v>
      </c>
      <c r="C38" s="33">
        <f>triangle!$ET$9</f>
        <v>75.5</v>
      </c>
      <c r="D38" s="34">
        <f>triangle!$ET$10</f>
        <v>75.5</v>
      </c>
      <c r="E38" s="41">
        <f t="shared" si="3"/>
        <v>0</v>
      </c>
      <c r="F38" s="39">
        <f t="shared" si="4"/>
        <v>0</v>
      </c>
      <c r="G38" s="43">
        <f t="shared" si="5"/>
        <v>0</v>
      </c>
    </row>
    <row r="39" spans="2:7" ht="20.25" customHeight="1" x14ac:dyDescent="0.2">
      <c r="B39" s="62">
        <f>triangle!$EU$6</f>
        <v>44835</v>
      </c>
      <c r="C39" s="33">
        <f>triangle!$EU$9</f>
        <v>75.590936946393299</v>
      </c>
      <c r="D39" s="34">
        <f>triangle!$EU$10</f>
        <v>75.590936946393299</v>
      </c>
      <c r="E39" s="41">
        <f t="shared" si="3"/>
        <v>0</v>
      </c>
      <c r="F39" s="39">
        <f t="shared" si="4"/>
        <v>0</v>
      </c>
      <c r="G39" s="43">
        <f t="shared" si="5"/>
        <v>0</v>
      </c>
    </row>
    <row r="40" spans="2:7" ht="20.25" customHeight="1" x14ac:dyDescent="0.2">
      <c r="B40" s="62">
        <f>triangle!$EV$6</f>
        <v>44866</v>
      </c>
      <c r="C40" s="33">
        <f>triangle!$EV$9</f>
        <v>75.599999999999994</v>
      </c>
      <c r="D40" s="34">
        <f>triangle!$EV$10</f>
        <v>75.599999999999994</v>
      </c>
      <c r="E40" s="41">
        <f t="shared" si="3"/>
        <v>0</v>
      </c>
      <c r="F40" s="39">
        <f t="shared" si="4"/>
        <v>0</v>
      </c>
      <c r="G40" s="43">
        <f t="shared" si="5"/>
        <v>0</v>
      </c>
    </row>
    <row r="41" spans="2:7" ht="20.25" customHeight="1" x14ac:dyDescent="0.2">
      <c r="B41" s="62">
        <f>triangle!$EW$6</f>
        <v>44896</v>
      </c>
      <c r="C41" s="33">
        <f>triangle!$EW$9</f>
        <v>75.630705096071978</v>
      </c>
      <c r="D41" s="34">
        <f>triangle!$EW$10</f>
        <v>75.186090118403058</v>
      </c>
      <c r="E41" s="41">
        <f t="shared" si="3"/>
        <v>-0.44461497766891966</v>
      </c>
      <c r="F41" s="39">
        <f t="shared" si="4"/>
        <v>0</v>
      </c>
      <c r="G41" s="43">
        <f t="shared" si="5"/>
        <v>0.44461497766891966</v>
      </c>
    </row>
    <row r="42" spans="2:7" ht="20.25" customHeight="1" x14ac:dyDescent="0.2">
      <c r="B42" s="62">
        <f>triangle!$EX$6</f>
        <v>44927</v>
      </c>
      <c r="C42" s="33">
        <f>triangle!$EX$9</f>
        <v>75.729704068694843</v>
      </c>
      <c r="D42" s="34">
        <f>triangle!$EX$10</f>
        <v>75.243637062923654</v>
      </c>
      <c r="E42" s="41">
        <f t="shared" si="3"/>
        <v>-0.48606700577119</v>
      </c>
      <c r="F42" s="39">
        <f t="shared" si="4"/>
        <v>-0.44461497766891966</v>
      </c>
      <c r="G42" s="43">
        <f t="shared" si="5"/>
        <v>0.48606700577119</v>
      </c>
    </row>
    <row r="43" spans="2:7" ht="20.25" customHeight="1" x14ac:dyDescent="0.2">
      <c r="B43" s="62">
        <f>triangle!$EY$6</f>
        <v>44958</v>
      </c>
      <c r="C43" s="33">
        <f>triangle!$EY$9</f>
        <v>75.809139324324988</v>
      </c>
      <c r="D43" s="34">
        <f>triangle!$EY$10</f>
        <v>75.238481346871339</v>
      </c>
      <c r="E43" s="41">
        <f t="shared" si="3"/>
        <v>-0.57065797745364932</v>
      </c>
      <c r="F43" s="39">
        <f t="shared" si="4"/>
        <v>-0.48606700577119</v>
      </c>
      <c r="G43" s="43">
        <f t="shared" si="5"/>
        <v>0.57065797745364932</v>
      </c>
    </row>
    <row r="44" spans="2:7" ht="20.25" customHeight="1" x14ac:dyDescent="0.2">
      <c r="B44" s="62">
        <f>triangle!$EZ$6</f>
        <v>44986</v>
      </c>
      <c r="C44" s="33">
        <f>triangle!$EZ$9</f>
        <v>75.876896123823229</v>
      </c>
      <c r="D44" s="34">
        <f>triangle!$EZ$10</f>
        <v>75.278703155886859</v>
      </c>
      <c r="E44" s="41">
        <f t="shared" si="3"/>
        <v>-0.59819296793637022</v>
      </c>
      <c r="F44" s="39">
        <f t="shared" si="4"/>
        <v>-0.57065797745364932</v>
      </c>
      <c r="G44" s="43">
        <f t="shared" si="5"/>
        <v>0.59819296793637022</v>
      </c>
    </row>
    <row r="45" spans="2:7" ht="20.25" customHeight="1" x14ac:dyDescent="0.2">
      <c r="B45" s="62">
        <f>triangle!$FA$6</f>
        <v>45017</v>
      </c>
      <c r="C45" s="33">
        <f>triangle!$FA$9</f>
        <v>75.97214972559577</v>
      </c>
      <c r="D45" s="34">
        <f>triangle!$FA$10</f>
        <v>75.430690127966372</v>
      </c>
      <c r="E45" s="41">
        <f t="shared" si="3"/>
        <v>-0.5414595976293981</v>
      </c>
      <c r="F45" s="39">
        <f t="shared" si="4"/>
        <v>-0.59819296793637022</v>
      </c>
      <c r="G45" s="43">
        <f t="shared" si="5"/>
        <v>0.5414595976293981</v>
      </c>
    </row>
    <row r="46" spans="2:7" ht="20.25" customHeight="1" x14ac:dyDescent="0.2">
      <c r="B46" s="62">
        <f>triangle!$FB$6</f>
        <v>45047</v>
      </c>
      <c r="C46" s="33">
        <f>triangle!$FB$9</f>
        <v>75.973187052034973</v>
      </c>
      <c r="D46" s="34">
        <f>triangle!$FB$10</f>
        <v>75.460292846986491</v>
      </c>
      <c r="E46" s="41">
        <f t="shared" si="3"/>
        <v>-0.51289420504848238</v>
      </c>
      <c r="F46" s="39">
        <f t="shared" si="4"/>
        <v>-0.5414595976293981</v>
      </c>
      <c r="G46" s="43">
        <f t="shared" si="5"/>
        <v>0.51289420504848238</v>
      </c>
    </row>
    <row r="47" spans="2:7" ht="20.25" customHeight="1" x14ac:dyDescent="0.2">
      <c r="B47" s="62">
        <f>triangle!$FC$6</f>
        <v>45078</v>
      </c>
      <c r="C47" s="33">
        <f>triangle!$FC$9</f>
        <v>75.729762820525607</v>
      </c>
      <c r="D47" s="34">
        <f>triangle!$FC$10</f>
        <v>75.169187769647309</v>
      </c>
      <c r="E47" s="41">
        <f t="shared" si="3"/>
        <v>-0.56057505087829895</v>
      </c>
      <c r="F47" s="39">
        <f t="shared" si="4"/>
        <v>-0.51289420504848238</v>
      </c>
      <c r="G47" s="43">
        <f t="shared" si="5"/>
        <v>0.56057505087829895</v>
      </c>
    </row>
    <row r="48" spans="2:7" ht="20.25" customHeight="1" x14ac:dyDescent="0.2">
      <c r="B48" s="62">
        <f>triangle!$FD$6</f>
        <v>45108</v>
      </c>
      <c r="C48" s="33">
        <f>triangle!$FD$9</f>
        <v>75.48366816492188</v>
      </c>
      <c r="D48" s="34">
        <f>triangle!$FD$10</f>
        <v>74.911923036272327</v>
      </c>
      <c r="E48" s="41">
        <f t="shared" si="3"/>
        <v>-0.57174512864955318</v>
      </c>
      <c r="F48" s="39">
        <f t="shared" si="4"/>
        <v>-0.56057505087829895</v>
      </c>
      <c r="G48" s="43">
        <f t="shared" si="5"/>
        <v>0.57174512864955318</v>
      </c>
    </row>
    <row r="49" spans="2:7" ht="20.25" customHeight="1" x14ac:dyDescent="0.2">
      <c r="B49" s="62">
        <f>triangle!$FE$6</f>
        <v>45139</v>
      </c>
      <c r="C49" s="33">
        <f>triangle!$FE$9</f>
        <v>75.270660956270717</v>
      </c>
      <c r="D49" s="34">
        <f>triangle!$FE$10</f>
        <v>74.744984698606416</v>
      </c>
      <c r="E49" s="41">
        <f t="shared" si="3"/>
        <v>-0.52567625766430126</v>
      </c>
      <c r="F49" s="39">
        <f t="shared" si="4"/>
        <v>-0.57174512864955318</v>
      </c>
      <c r="G49" s="43">
        <f t="shared" si="5"/>
        <v>0.52567625766430126</v>
      </c>
    </row>
    <row r="50" spans="2:7" ht="20.25" customHeight="1" x14ac:dyDescent="0.2">
      <c r="B50" s="62">
        <f>triangle!$FF$6</f>
        <v>45170</v>
      </c>
      <c r="C50" s="33">
        <f>triangle!$FF$9</f>
        <v>75.44365216851719</v>
      </c>
      <c r="D50" s="34">
        <f>triangle!$FF$10</f>
        <v>74.84646884495379</v>
      </c>
      <c r="E50" s="41">
        <f t="shared" si="3"/>
        <v>-0.59718332356339943</v>
      </c>
      <c r="F50" s="39">
        <f t="shared" si="4"/>
        <v>-0.52567625766430126</v>
      </c>
      <c r="G50" s="43">
        <f t="shared" si="5"/>
        <v>0.59718332356339943</v>
      </c>
    </row>
    <row r="51" spans="2:7" ht="20.25" customHeight="1" x14ac:dyDescent="0.2">
      <c r="B51" s="62">
        <f>triangle!$FG$6</f>
        <v>45200</v>
      </c>
      <c r="C51" s="33">
        <f>triangle!$FG$9</f>
        <v>75.571135927463047</v>
      </c>
      <c r="D51" s="34">
        <f>triangle!$FG$10</f>
        <v>74.86939463786932</v>
      </c>
      <c r="E51" s="41">
        <f t="shared" si="3"/>
        <v>-0.70174128959372695</v>
      </c>
      <c r="F51" s="39">
        <f t="shared" si="4"/>
        <v>-0.59718332356339943</v>
      </c>
      <c r="G51" s="43">
        <f t="shared" si="5"/>
        <v>0.70174128959372695</v>
      </c>
    </row>
    <row r="52" spans="2:7" ht="20.25" customHeight="1" x14ac:dyDescent="0.2">
      <c r="B52" s="62">
        <f>triangle!$FH$6</f>
        <v>45231</v>
      </c>
      <c r="C52" s="33">
        <f>triangle!$FH$9</f>
        <v>75.687509686140444</v>
      </c>
      <c r="D52" s="34">
        <f>triangle!$FH$10</f>
        <v>74.85616426701057</v>
      </c>
      <c r="E52" s="41">
        <f t="shared" si="3"/>
        <v>-0.83134541912987459</v>
      </c>
      <c r="F52" s="39">
        <f t="shared" si="4"/>
        <v>-0.70174128959372695</v>
      </c>
      <c r="G52" s="43">
        <f t="shared" si="5"/>
        <v>0.83134541912987459</v>
      </c>
    </row>
    <row r="53" spans="2:7" ht="20.25" customHeight="1" x14ac:dyDescent="0.2">
      <c r="B53" s="62">
        <f>triangle!$FI$6</f>
        <v>45261</v>
      </c>
      <c r="C53" s="33">
        <f>triangle!$FI$9</f>
        <v>75.008565237431483</v>
      </c>
      <c r="D53" s="34">
        <f>triangle!$FI$10</f>
        <v>74.849990215909997</v>
      </c>
      <c r="E53" s="41">
        <f t="shared" si="3"/>
        <v>-0.15857502152148584</v>
      </c>
      <c r="F53" s="39">
        <f t="shared" si="4"/>
        <v>-0.83134541912987459</v>
      </c>
      <c r="G53" s="43">
        <f t="shared" si="5"/>
        <v>0.15857502152148584</v>
      </c>
    </row>
    <row r="54" spans="2:7" ht="20.25" customHeight="1" x14ac:dyDescent="0.2">
      <c r="B54" s="62">
        <f>triangle!$FJ$6</f>
        <v>45292</v>
      </c>
      <c r="C54" s="33">
        <f>triangle!$FJ$9</f>
        <v>74.998780527386373</v>
      </c>
      <c r="D54" s="34">
        <f>triangle!$FJ$10</f>
        <v>74.659177279638797</v>
      </c>
      <c r="E54" s="41">
        <f t="shared" si="3"/>
        <v>-0.33960324774757567</v>
      </c>
      <c r="F54" s="39">
        <f t="shared" si="4"/>
        <v>-0.15857502152148584</v>
      </c>
      <c r="G54" s="43">
        <f t="shared" si="5"/>
        <v>0.33960324774757567</v>
      </c>
    </row>
    <row r="55" spans="2:7" ht="20.25" customHeight="1" x14ac:dyDescent="0.2">
      <c r="B55" s="62">
        <f>triangle!$FK$6</f>
        <v>45323</v>
      </c>
      <c r="C55" s="33">
        <f>triangle!$FK$9</f>
        <v>74.48788745193859</v>
      </c>
      <c r="D55" s="34">
        <f>triangle!$FK$10</f>
        <v>74.55901190200197</v>
      </c>
      <c r="E55" s="41">
        <f t="shared" si="3"/>
        <v>7.1124450063379641E-2</v>
      </c>
      <c r="F55" s="39">
        <f t="shared" si="4"/>
        <v>-0.33960324774757567</v>
      </c>
      <c r="G55" s="43">
        <f t="shared" si="5"/>
        <v>7.1124450063379641E-2</v>
      </c>
    </row>
    <row r="56" spans="2:7" ht="20.25" customHeight="1" x14ac:dyDescent="0.2">
      <c r="B56" s="62">
        <f>triangle!$FL$6</f>
        <v>45352</v>
      </c>
      <c r="C56" s="33">
        <f>triangle!$FL$9</f>
        <v>74.451315607234932</v>
      </c>
      <c r="D56" s="34">
        <f>triangle!$FL$10</f>
        <v>74.495675414989066</v>
      </c>
      <c r="E56" s="41">
        <f t="shared" si="3"/>
        <v>4.435980775413384E-2</v>
      </c>
      <c r="F56" s="39">
        <f t="shared" si="4"/>
        <v>7.1124450063379641E-2</v>
      </c>
      <c r="G56" s="43">
        <f t="shared" si="5"/>
        <v>4.435980775413384E-2</v>
      </c>
    </row>
    <row r="57" spans="2:7" ht="20.25" customHeight="1" x14ac:dyDescent="0.2">
      <c r="B57" s="62">
        <f>triangle!$FM$6</f>
        <v>45383</v>
      </c>
      <c r="C57" s="33">
        <f>triangle!$FM$9</f>
        <v>74.298008082043182</v>
      </c>
      <c r="D57" s="34">
        <f>triangle!$FM$10</f>
        <v>74.396208533706854</v>
      </c>
      <c r="E57" s="41">
        <f t="shared" si="3"/>
        <v>9.8200451663672084E-2</v>
      </c>
      <c r="F57" s="39">
        <f t="shared" si="4"/>
        <v>4.435980775413384E-2</v>
      </c>
      <c r="G57" s="43">
        <f t="shared" si="5"/>
        <v>9.8200451663672084E-2</v>
      </c>
    </row>
    <row r="58" spans="2:7" ht="20.25" customHeight="1" x14ac:dyDescent="0.2">
      <c r="B58" s="62">
        <f>triangle!$FN$6</f>
        <v>45413</v>
      </c>
      <c r="C58" s="33">
        <f>triangle!$FN$9</f>
        <v>74.361418750306527</v>
      </c>
      <c r="D58" s="34">
        <f>triangle!$FN$10</f>
        <v>74.407764323915487</v>
      </c>
      <c r="E58" s="41">
        <f t="shared" si="3"/>
        <v>4.6345573608959967E-2</v>
      </c>
      <c r="F58" s="39">
        <f t="shared" si="4"/>
        <v>9.8200451663672084E-2</v>
      </c>
      <c r="G58" s="43">
        <f t="shared" si="5"/>
        <v>4.6345573608959967E-2</v>
      </c>
    </row>
    <row r="59" spans="2:7" ht="20.25" customHeight="1" x14ac:dyDescent="0.2">
      <c r="B59" s="62">
        <f>triangle!$FO$6</f>
        <v>45444</v>
      </c>
      <c r="C59" s="33">
        <f>triangle!$FO$9</f>
        <v>74.517671939513392</v>
      </c>
      <c r="D59" s="34">
        <f>triangle!$FO$10</f>
        <v>74.574397057150151</v>
      </c>
      <c r="E59" s="41">
        <f t="shared" si="3"/>
        <v>5.6725117636759137E-2</v>
      </c>
      <c r="F59" s="39">
        <f t="shared" si="4"/>
        <v>4.6345573608959967E-2</v>
      </c>
      <c r="G59" s="43">
        <f t="shared" si="5"/>
        <v>5.6725117636759137E-2</v>
      </c>
    </row>
    <row r="60" spans="2:7" ht="20.25" customHeight="1" x14ac:dyDescent="0.2">
      <c r="B60" s="62">
        <f>triangle!$FP$6</f>
        <v>45474</v>
      </c>
      <c r="C60" s="33">
        <f>triangle!$FP$9</f>
        <v>74.785861327691222</v>
      </c>
      <c r="D60" s="34">
        <f>triangle!$FP$10</f>
        <v>74.722902674145047</v>
      </c>
      <c r="E60" s="41">
        <f t="shared" si="3"/>
        <v>-6.2958653546175469E-2</v>
      </c>
      <c r="F60" s="39">
        <f t="shared" si="4"/>
        <v>5.6725117636759137E-2</v>
      </c>
      <c r="G60" s="43">
        <f t="shared" si="5"/>
        <v>6.2958653546175469E-2</v>
      </c>
    </row>
    <row r="61" spans="2:7" ht="20.25" customHeight="1" x14ac:dyDescent="0.2">
      <c r="B61" s="62">
        <f>triangle!$FQ$6</f>
        <v>45505</v>
      </c>
      <c r="C61" s="33">
        <f>triangle!$FQ$9</f>
        <v>75.005738181652305</v>
      </c>
      <c r="D61" s="34">
        <f>triangle!$FQ$10</f>
        <v>74.985703831661851</v>
      </c>
      <c r="E61" s="41">
        <f t="shared" si="3"/>
        <v>-2.0034349990453393E-2</v>
      </c>
      <c r="F61" s="39">
        <f t="shared" si="4"/>
        <v>-6.2958653546175469E-2</v>
      </c>
      <c r="G61" s="43">
        <f t="shared" si="5"/>
        <v>2.0034349990453393E-2</v>
      </c>
    </row>
    <row r="62" spans="2:7" ht="20.25" customHeight="1" x14ac:dyDescent="0.2">
      <c r="B62" s="62">
        <f>triangle!$FR$6</f>
        <v>45536</v>
      </c>
      <c r="C62" s="33">
        <f>triangle!$FR$9</f>
        <v>74.811054593512594</v>
      </c>
      <c r="D62" s="34">
        <f>triangle!$FR$10</f>
        <v>74.937975580477485</v>
      </c>
      <c r="E62" s="41">
        <f t="shared" si="3"/>
        <v>0.1269209869648904</v>
      </c>
      <c r="F62" s="39">
        <f t="shared" si="4"/>
        <v>-2.0034349990453393E-2</v>
      </c>
      <c r="G62" s="43">
        <f t="shared" si="5"/>
        <v>0.1269209869648904</v>
      </c>
    </row>
    <row r="63" spans="2:7" ht="20.25" customHeight="1" x14ac:dyDescent="0.2">
      <c r="B63" s="62">
        <f>triangle!$FS$6</f>
        <v>45566</v>
      </c>
      <c r="C63" s="33">
        <f>triangle!$FS$9</f>
        <v>74.889152678481949</v>
      </c>
      <c r="D63" s="34">
        <f>triangle!$FS$10</f>
        <v>74.902472586787169</v>
      </c>
      <c r="E63" s="41">
        <f t="shared" si="3"/>
        <v>1.3319908305220451E-2</v>
      </c>
      <c r="F63" s="39">
        <f t="shared" si="4"/>
        <v>0.1269209869648904</v>
      </c>
      <c r="G63" s="43">
        <f t="shared" si="5"/>
        <v>1.3319908305220451E-2</v>
      </c>
    </row>
    <row r="64" spans="2:7" ht="20.25" customHeight="1" x14ac:dyDescent="0.2">
      <c r="B64" s="62">
        <f>triangle!$FT$6</f>
        <v>45597</v>
      </c>
      <c r="C64" s="33">
        <f>triangle!$FT$9</f>
        <v>74.841084069870902</v>
      </c>
      <c r="D64" s="34">
        <f>triangle!$FT$10</f>
        <v>74.850934796288655</v>
      </c>
      <c r="E64" s="41">
        <f>IF(OR(C64="N/A",D64="N/A",ISBLANK(C64),ISBLANK(D64)),"",D64-C64)</f>
        <v>9.8507264177527532E-3</v>
      </c>
      <c r="F64" s="39">
        <f>IF(ISBLANK(E63)," ",E63)</f>
        <v>1.3319908305220451E-2</v>
      </c>
      <c r="G64" s="43">
        <f>IF(ISTEXT(E64),"",ABS(E64))</f>
        <v>9.8507264177527532E-3</v>
      </c>
    </row>
    <row r="65" spans="2:7" ht="20.25" customHeight="1" thickBot="1" x14ac:dyDescent="0.25">
      <c r="B65" s="61">
        <f>triangle!$FU$6</f>
        <v>45627</v>
      </c>
      <c r="C65" s="35">
        <f>triangle!$FU$9</f>
        <v>74.938223133424088</v>
      </c>
      <c r="D65" s="45">
        <f>triangle!$FU$10</f>
        <v>74.956007115185059</v>
      </c>
      <c r="E65" s="42">
        <f>IF(OR(C65="N/A",D65="N/A",ISBLANK(C65),ISBLANK(D65)),"",D65-C65)</f>
        <v>1.7783981760970846E-2</v>
      </c>
      <c r="F65" s="40">
        <f>IF(ISBLANK(E64)," ",E64)</f>
        <v>9.8507264177527532E-3</v>
      </c>
      <c r="G65" s="44">
        <f>IF(ISTEXT(E65),"",ABS(E65))</f>
        <v>1.7783981760970846E-2</v>
      </c>
    </row>
  </sheetData>
  <sheetProtection sheet="1" objects="1" scenarios="1"/>
  <mergeCells count="11">
    <mergeCell ref="I11:J11"/>
    <mergeCell ref="D3:D5"/>
    <mergeCell ref="E3:E5"/>
    <mergeCell ref="F3:F5"/>
    <mergeCell ref="I3:J3"/>
    <mergeCell ref="C3:C5"/>
    <mergeCell ref="B1:L1"/>
    <mergeCell ref="B2:L2"/>
    <mergeCell ref="G3:G5"/>
    <mergeCell ref="K3:L3"/>
    <mergeCell ref="B3:B5"/>
  </mergeCells>
  <phoneticPr fontId="19" type="noConversion"/>
  <pageMargins left="0.86" right="0.75" top="0.33" bottom="0.31" header="0.5" footer="0.5"/>
  <pageSetup paperSize="9" scale="85" fitToHeight="2" orientation="landscape" r:id="rId1"/>
  <headerFooter alignWithMargins="0">
    <oddFooter>&amp;R&amp;F</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2:A236"/>
  <sheetViews>
    <sheetView workbookViewId="0">
      <selection activeCell="A7" sqref="A7"/>
    </sheetView>
  </sheetViews>
  <sheetFormatPr defaultRowHeight="12.75" x14ac:dyDescent="0.2"/>
  <sheetData>
    <row r="2" spans="1:1" ht="25.5" customHeight="1" x14ac:dyDescent="0.2">
      <c r="A2" s="46" t="s">
        <v>250</v>
      </c>
    </row>
    <row r="4" spans="1:1" x14ac:dyDescent="0.2">
      <c r="A4" t="e">
        <f>"Chart to Compare M2 Estimate with M3 Estimate 
" &amp;#REF!</f>
        <v>#REF!</v>
      </c>
    </row>
    <row r="5" spans="1:1" x14ac:dyDescent="0.2">
      <c r="A5" t="e">
        <f>"Chart to Compare M2 Estimate with M3 Estimate 
"&amp;#REF!</f>
        <v>#REF!</v>
      </c>
    </row>
    <row r="6" spans="1:1" x14ac:dyDescent="0.2">
      <c r="A6" t="e">
        <f>"Chart to Compare 1st Estimate with 12 Months Later 
" &amp;#REF!</f>
        <v>#REF!</v>
      </c>
    </row>
    <row r="13" spans="1:1" x14ac:dyDescent="0.2">
      <c r="A13" t="s">
        <v>26</v>
      </c>
    </row>
    <row r="14" spans="1:1" x14ac:dyDescent="0.2">
      <c r="A14" t="s">
        <v>27</v>
      </c>
    </row>
    <row r="15" spans="1:1" x14ac:dyDescent="0.2">
      <c r="A15" t="s">
        <v>28</v>
      </c>
    </row>
    <row r="16" spans="1:1" x14ac:dyDescent="0.2">
      <c r="A16" t="s">
        <v>29</v>
      </c>
    </row>
    <row r="17" spans="1:1" x14ac:dyDescent="0.2">
      <c r="A17" t="s">
        <v>30</v>
      </c>
    </row>
    <row r="18" spans="1:1" x14ac:dyDescent="0.2">
      <c r="A18" t="s">
        <v>31</v>
      </c>
    </row>
    <row r="19" spans="1:1" x14ac:dyDescent="0.2">
      <c r="A19" t="s">
        <v>32</v>
      </c>
    </row>
    <row r="20" spans="1:1" x14ac:dyDescent="0.2">
      <c r="A20" t="s">
        <v>33</v>
      </c>
    </row>
    <row r="21" spans="1:1" x14ac:dyDescent="0.2">
      <c r="A21" t="s">
        <v>34</v>
      </c>
    </row>
    <row r="22" spans="1:1" x14ac:dyDescent="0.2">
      <c r="A22" t="s">
        <v>35</v>
      </c>
    </row>
    <row r="23" spans="1:1" x14ac:dyDescent="0.2">
      <c r="A23" t="s">
        <v>36</v>
      </c>
    </row>
    <row r="24" spans="1:1" x14ac:dyDescent="0.2">
      <c r="A24" t="s">
        <v>37</v>
      </c>
    </row>
    <row r="25" spans="1:1" x14ac:dyDescent="0.2">
      <c r="A25" t="s">
        <v>38</v>
      </c>
    </row>
    <row r="26" spans="1:1" x14ac:dyDescent="0.2">
      <c r="A26" t="s">
        <v>39</v>
      </c>
    </row>
    <row r="27" spans="1:1" x14ac:dyDescent="0.2">
      <c r="A27" t="s">
        <v>40</v>
      </c>
    </row>
    <row r="28" spans="1:1" x14ac:dyDescent="0.2">
      <c r="A28" t="s">
        <v>41</v>
      </c>
    </row>
    <row r="29" spans="1:1" x14ac:dyDescent="0.2">
      <c r="A29" t="s">
        <v>42</v>
      </c>
    </row>
    <row r="30" spans="1:1" x14ac:dyDescent="0.2">
      <c r="A30" t="s">
        <v>43</v>
      </c>
    </row>
    <row r="31" spans="1:1" x14ac:dyDescent="0.2">
      <c r="A31" t="s">
        <v>44</v>
      </c>
    </row>
    <row r="32" spans="1:1" x14ac:dyDescent="0.2">
      <c r="A32" t="s">
        <v>45</v>
      </c>
    </row>
    <row r="33" spans="1:1" x14ac:dyDescent="0.2">
      <c r="A33" t="s">
        <v>46</v>
      </c>
    </row>
    <row r="34" spans="1:1" x14ac:dyDescent="0.2">
      <c r="A34" t="s">
        <v>47</v>
      </c>
    </row>
    <row r="35" spans="1:1" x14ac:dyDescent="0.2">
      <c r="A35" t="s">
        <v>48</v>
      </c>
    </row>
    <row r="36" spans="1:1" x14ac:dyDescent="0.2">
      <c r="A36" t="s">
        <v>49</v>
      </c>
    </row>
    <row r="37" spans="1:1" x14ac:dyDescent="0.2">
      <c r="A37" t="s">
        <v>50</v>
      </c>
    </row>
    <row r="38" spans="1:1" x14ac:dyDescent="0.2">
      <c r="A38" t="s">
        <v>51</v>
      </c>
    </row>
    <row r="39" spans="1:1" x14ac:dyDescent="0.2">
      <c r="A39" t="s">
        <v>52</v>
      </c>
    </row>
    <row r="40" spans="1:1" x14ac:dyDescent="0.2">
      <c r="A40" t="s">
        <v>53</v>
      </c>
    </row>
    <row r="41" spans="1:1" x14ac:dyDescent="0.2">
      <c r="A41" t="s">
        <v>54</v>
      </c>
    </row>
    <row r="42" spans="1:1" x14ac:dyDescent="0.2">
      <c r="A42" t="s">
        <v>55</v>
      </c>
    </row>
    <row r="43" spans="1:1" x14ac:dyDescent="0.2">
      <c r="A43" t="s">
        <v>56</v>
      </c>
    </row>
    <row r="44" spans="1:1" x14ac:dyDescent="0.2">
      <c r="A44" t="s">
        <v>57</v>
      </c>
    </row>
    <row r="45" spans="1:1" x14ac:dyDescent="0.2">
      <c r="A45" t="s">
        <v>58</v>
      </c>
    </row>
    <row r="46" spans="1:1" x14ac:dyDescent="0.2">
      <c r="A46" t="s">
        <v>59</v>
      </c>
    </row>
    <row r="47" spans="1:1" x14ac:dyDescent="0.2">
      <c r="A47" t="s">
        <v>60</v>
      </c>
    </row>
    <row r="48" spans="1:1" x14ac:dyDescent="0.2">
      <c r="A48" t="s">
        <v>61</v>
      </c>
    </row>
    <row r="49" spans="1:1" x14ac:dyDescent="0.2">
      <c r="A49" t="s">
        <v>62</v>
      </c>
    </row>
    <row r="50" spans="1:1" x14ac:dyDescent="0.2">
      <c r="A50" t="s">
        <v>63</v>
      </c>
    </row>
    <row r="51" spans="1:1" x14ac:dyDescent="0.2">
      <c r="A51" t="s">
        <v>64</v>
      </c>
    </row>
    <row r="52" spans="1:1" x14ac:dyDescent="0.2">
      <c r="A52" t="s">
        <v>65</v>
      </c>
    </row>
    <row r="53" spans="1:1" x14ac:dyDescent="0.2">
      <c r="A53" t="s">
        <v>66</v>
      </c>
    </row>
    <row r="54" spans="1:1" x14ac:dyDescent="0.2">
      <c r="A54" t="s">
        <v>67</v>
      </c>
    </row>
    <row r="55" spans="1:1" x14ac:dyDescent="0.2">
      <c r="A55" t="s">
        <v>68</v>
      </c>
    </row>
    <row r="56" spans="1:1" x14ac:dyDescent="0.2">
      <c r="A56" t="s">
        <v>69</v>
      </c>
    </row>
    <row r="57" spans="1:1" x14ac:dyDescent="0.2">
      <c r="A57" t="s">
        <v>70</v>
      </c>
    </row>
    <row r="58" spans="1:1" x14ac:dyDescent="0.2">
      <c r="A58" t="s">
        <v>71</v>
      </c>
    </row>
    <row r="59" spans="1:1" x14ac:dyDescent="0.2">
      <c r="A59" t="s">
        <v>72</v>
      </c>
    </row>
    <row r="60" spans="1:1" x14ac:dyDescent="0.2">
      <c r="A60" t="s">
        <v>73</v>
      </c>
    </row>
    <row r="61" spans="1:1" x14ac:dyDescent="0.2">
      <c r="A61" t="s">
        <v>74</v>
      </c>
    </row>
    <row r="62" spans="1:1" x14ac:dyDescent="0.2">
      <c r="A62" t="s">
        <v>75</v>
      </c>
    </row>
    <row r="63" spans="1:1" x14ac:dyDescent="0.2">
      <c r="A63" t="s">
        <v>76</v>
      </c>
    </row>
    <row r="64" spans="1:1" x14ac:dyDescent="0.2">
      <c r="A64" t="s">
        <v>77</v>
      </c>
    </row>
    <row r="65" spans="1:1" x14ac:dyDescent="0.2">
      <c r="A65" t="s">
        <v>78</v>
      </c>
    </row>
    <row r="66" spans="1:1" x14ac:dyDescent="0.2">
      <c r="A66" t="s">
        <v>79</v>
      </c>
    </row>
    <row r="67" spans="1:1" x14ac:dyDescent="0.2">
      <c r="A67" t="s">
        <v>80</v>
      </c>
    </row>
    <row r="68" spans="1:1" x14ac:dyDescent="0.2">
      <c r="A68" t="s">
        <v>81</v>
      </c>
    </row>
    <row r="69" spans="1:1" x14ac:dyDescent="0.2">
      <c r="A69" t="s">
        <v>82</v>
      </c>
    </row>
    <row r="70" spans="1:1" x14ac:dyDescent="0.2">
      <c r="A70" t="s">
        <v>83</v>
      </c>
    </row>
    <row r="71" spans="1:1" x14ac:dyDescent="0.2">
      <c r="A71" t="s">
        <v>84</v>
      </c>
    </row>
    <row r="72" spans="1:1" x14ac:dyDescent="0.2">
      <c r="A72" t="s">
        <v>85</v>
      </c>
    </row>
    <row r="73" spans="1:1" x14ac:dyDescent="0.2">
      <c r="A73" t="s">
        <v>86</v>
      </c>
    </row>
    <row r="74" spans="1:1" x14ac:dyDescent="0.2">
      <c r="A74" t="s">
        <v>87</v>
      </c>
    </row>
    <row r="75" spans="1:1" x14ac:dyDescent="0.2">
      <c r="A75" t="s">
        <v>88</v>
      </c>
    </row>
    <row r="76" spans="1:1" x14ac:dyDescent="0.2">
      <c r="A76" t="s">
        <v>89</v>
      </c>
    </row>
    <row r="77" spans="1:1" x14ac:dyDescent="0.2">
      <c r="A77" t="s">
        <v>90</v>
      </c>
    </row>
    <row r="78" spans="1:1" x14ac:dyDescent="0.2">
      <c r="A78" t="s">
        <v>91</v>
      </c>
    </row>
    <row r="79" spans="1:1" x14ac:dyDescent="0.2">
      <c r="A79" t="s">
        <v>92</v>
      </c>
    </row>
    <row r="80" spans="1:1" x14ac:dyDescent="0.2">
      <c r="A80" t="s">
        <v>93</v>
      </c>
    </row>
    <row r="81" spans="1:1" x14ac:dyDescent="0.2">
      <c r="A81" t="s">
        <v>94</v>
      </c>
    </row>
    <row r="82" spans="1:1" x14ac:dyDescent="0.2">
      <c r="A82" t="s">
        <v>95</v>
      </c>
    </row>
    <row r="83" spans="1:1" x14ac:dyDescent="0.2">
      <c r="A83" t="s">
        <v>96</v>
      </c>
    </row>
    <row r="84" spans="1:1" x14ac:dyDescent="0.2">
      <c r="A84" t="s">
        <v>97</v>
      </c>
    </row>
    <row r="85" spans="1:1" x14ac:dyDescent="0.2">
      <c r="A85" t="s">
        <v>98</v>
      </c>
    </row>
    <row r="86" spans="1:1" x14ac:dyDescent="0.2">
      <c r="A86" t="s">
        <v>99</v>
      </c>
    </row>
    <row r="87" spans="1:1" x14ac:dyDescent="0.2">
      <c r="A87" t="s">
        <v>100</v>
      </c>
    </row>
    <row r="88" spans="1:1" x14ac:dyDescent="0.2">
      <c r="A88" t="s">
        <v>101</v>
      </c>
    </row>
    <row r="89" spans="1:1" x14ac:dyDescent="0.2">
      <c r="A89" t="s">
        <v>102</v>
      </c>
    </row>
    <row r="90" spans="1:1" x14ac:dyDescent="0.2">
      <c r="A90" t="s">
        <v>103</v>
      </c>
    </row>
    <row r="91" spans="1:1" x14ac:dyDescent="0.2">
      <c r="A91" t="s">
        <v>104</v>
      </c>
    </row>
    <row r="92" spans="1:1" x14ac:dyDescent="0.2">
      <c r="A92" t="s">
        <v>105</v>
      </c>
    </row>
    <row r="93" spans="1:1" x14ac:dyDescent="0.2">
      <c r="A93" t="s">
        <v>106</v>
      </c>
    </row>
    <row r="94" spans="1:1" x14ac:dyDescent="0.2">
      <c r="A94" t="s">
        <v>107</v>
      </c>
    </row>
    <row r="95" spans="1:1" x14ac:dyDescent="0.2">
      <c r="A95" t="s">
        <v>108</v>
      </c>
    </row>
    <row r="96" spans="1:1" x14ac:dyDescent="0.2">
      <c r="A96" t="s">
        <v>109</v>
      </c>
    </row>
    <row r="97" spans="1:1" x14ac:dyDescent="0.2">
      <c r="A97" t="s">
        <v>110</v>
      </c>
    </row>
    <row r="98" spans="1:1" x14ac:dyDescent="0.2">
      <c r="A98" t="s">
        <v>111</v>
      </c>
    </row>
    <row r="99" spans="1:1" x14ac:dyDescent="0.2">
      <c r="A99" t="s">
        <v>112</v>
      </c>
    </row>
    <row r="100" spans="1:1" x14ac:dyDescent="0.2">
      <c r="A100" t="s">
        <v>113</v>
      </c>
    </row>
    <row r="101" spans="1:1" x14ac:dyDescent="0.2">
      <c r="A101" t="s">
        <v>114</v>
      </c>
    </row>
    <row r="102" spans="1:1" x14ac:dyDescent="0.2">
      <c r="A102" t="s">
        <v>115</v>
      </c>
    </row>
    <row r="103" spans="1:1" x14ac:dyDescent="0.2">
      <c r="A103" t="s">
        <v>116</v>
      </c>
    </row>
    <row r="104" spans="1:1" x14ac:dyDescent="0.2">
      <c r="A104" t="s">
        <v>117</v>
      </c>
    </row>
    <row r="105" spans="1:1" x14ac:dyDescent="0.2">
      <c r="A105" t="s">
        <v>118</v>
      </c>
    </row>
    <row r="106" spans="1:1" x14ac:dyDescent="0.2">
      <c r="A106" t="s">
        <v>119</v>
      </c>
    </row>
    <row r="107" spans="1:1" x14ac:dyDescent="0.2">
      <c r="A107" t="s">
        <v>120</v>
      </c>
    </row>
    <row r="108" spans="1:1" x14ac:dyDescent="0.2">
      <c r="A108" t="s">
        <v>121</v>
      </c>
    </row>
    <row r="109" spans="1:1" x14ac:dyDescent="0.2">
      <c r="A109" t="s">
        <v>122</v>
      </c>
    </row>
    <row r="110" spans="1:1" x14ac:dyDescent="0.2">
      <c r="A110" t="s">
        <v>123</v>
      </c>
    </row>
    <row r="111" spans="1:1" x14ac:dyDescent="0.2">
      <c r="A111" t="s">
        <v>124</v>
      </c>
    </row>
    <row r="112" spans="1:1" x14ac:dyDescent="0.2">
      <c r="A112" t="s">
        <v>125</v>
      </c>
    </row>
    <row r="113" spans="1:1" x14ac:dyDescent="0.2">
      <c r="A113" t="s">
        <v>126</v>
      </c>
    </row>
    <row r="114" spans="1:1" x14ac:dyDescent="0.2">
      <c r="A114" t="s">
        <v>127</v>
      </c>
    </row>
    <row r="115" spans="1:1" x14ac:dyDescent="0.2">
      <c r="A115" t="s">
        <v>128</v>
      </c>
    </row>
    <row r="116" spans="1:1" x14ac:dyDescent="0.2">
      <c r="A116" t="s">
        <v>129</v>
      </c>
    </row>
    <row r="117" spans="1:1" x14ac:dyDescent="0.2">
      <c r="A117" t="s">
        <v>130</v>
      </c>
    </row>
    <row r="118" spans="1:1" x14ac:dyDescent="0.2">
      <c r="A118" t="s">
        <v>131</v>
      </c>
    </row>
    <row r="119" spans="1:1" x14ac:dyDescent="0.2">
      <c r="A119" t="s">
        <v>132</v>
      </c>
    </row>
    <row r="120" spans="1:1" x14ac:dyDescent="0.2">
      <c r="A120" t="s">
        <v>133</v>
      </c>
    </row>
    <row r="121" spans="1:1" x14ac:dyDescent="0.2">
      <c r="A121" t="s">
        <v>134</v>
      </c>
    </row>
    <row r="122" spans="1:1" x14ac:dyDescent="0.2">
      <c r="A122" t="s">
        <v>135</v>
      </c>
    </row>
    <row r="123" spans="1:1" x14ac:dyDescent="0.2">
      <c r="A123" t="s">
        <v>136</v>
      </c>
    </row>
    <row r="124" spans="1:1" x14ac:dyDescent="0.2">
      <c r="A124" t="s">
        <v>137</v>
      </c>
    </row>
    <row r="125" spans="1:1" x14ac:dyDescent="0.2">
      <c r="A125" t="s">
        <v>138</v>
      </c>
    </row>
    <row r="126" spans="1:1" x14ac:dyDescent="0.2">
      <c r="A126" t="s">
        <v>139</v>
      </c>
    </row>
    <row r="127" spans="1:1" x14ac:dyDescent="0.2">
      <c r="A127" t="s">
        <v>140</v>
      </c>
    </row>
    <row r="128" spans="1:1" x14ac:dyDescent="0.2">
      <c r="A128" t="s">
        <v>141</v>
      </c>
    </row>
    <row r="129" spans="1:1" x14ac:dyDescent="0.2">
      <c r="A129" t="s">
        <v>142</v>
      </c>
    </row>
    <row r="130" spans="1:1" x14ac:dyDescent="0.2">
      <c r="A130" t="s">
        <v>143</v>
      </c>
    </row>
    <row r="131" spans="1:1" x14ac:dyDescent="0.2">
      <c r="A131" t="s">
        <v>144</v>
      </c>
    </row>
    <row r="132" spans="1:1" x14ac:dyDescent="0.2">
      <c r="A132" t="s">
        <v>145</v>
      </c>
    </row>
    <row r="133" spans="1:1" x14ac:dyDescent="0.2">
      <c r="A133" t="s">
        <v>146</v>
      </c>
    </row>
    <row r="134" spans="1:1" x14ac:dyDescent="0.2">
      <c r="A134" t="s">
        <v>147</v>
      </c>
    </row>
    <row r="135" spans="1:1" x14ac:dyDescent="0.2">
      <c r="A135" t="s">
        <v>148</v>
      </c>
    </row>
    <row r="136" spans="1:1" x14ac:dyDescent="0.2">
      <c r="A136" t="s">
        <v>149</v>
      </c>
    </row>
    <row r="137" spans="1:1" x14ac:dyDescent="0.2">
      <c r="A137" t="s">
        <v>150</v>
      </c>
    </row>
    <row r="138" spans="1:1" x14ac:dyDescent="0.2">
      <c r="A138" t="s">
        <v>151</v>
      </c>
    </row>
    <row r="139" spans="1:1" x14ac:dyDescent="0.2">
      <c r="A139" t="s">
        <v>152</v>
      </c>
    </row>
    <row r="140" spans="1:1" x14ac:dyDescent="0.2">
      <c r="A140" t="s">
        <v>153</v>
      </c>
    </row>
    <row r="141" spans="1:1" x14ac:dyDescent="0.2">
      <c r="A141" t="s">
        <v>154</v>
      </c>
    </row>
    <row r="142" spans="1:1" x14ac:dyDescent="0.2">
      <c r="A142" t="s">
        <v>155</v>
      </c>
    </row>
    <row r="143" spans="1:1" x14ac:dyDescent="0.2">
      <c r="A143" t="s">
        <v>156</v>
      </c>
    </row>
    <row r="144" spans="1:1" x14ac:dyDescent="0.2">
      <c r="A144" t="s">
        <v>157</v>
      </c>
    </row>
    <row r="145" spans="1:1" x14ac:dyDescent="0.2">
      <c r="A145" t="s">
        <v>158</v>
      </c>
    </row>
    <row r="146" spans="1:1" x14ac:dyDescent="0.2">
      <c r="A146" t="s">
        <v>159</v>
      </c>
    </row>
    <row r="147" spans="1:1" x14ac:dyDescent="0.2">
      <c r="A147" t="s">
        <v>160</v>
      </c>
    </row>
    <row r="148" spans="1:1" x14ac:dyDescent="0.2">
      <c r="A148" t="s">
        <v>161</v>
      </c>
    </row>
    <row r="149" spans="1:1" x14ac:dyDescent="0.2">
      <c r="A149" t="s">
        <v>162</v>
      </c>
    </row>
    <row r="150" spans="1:1" x14ac:dyDescent="0.2">
      <c r="A150" t="s">
        <v>163</v>
      </c>
    </row>
    <row r="151" spans="1:1" x14ac:dyDescent="0.2">
      <c r="A151" t="s">
        <v>164</v>
      </c>
    </row>
    <row r="152" spans="1:1" x14ac:dyDescent="0.2">
      <c r="A152" t="s">
        <v>165</v>
      </c>
    </row>
    <row r="153" spans="1:1" x14ac:dyDescent="0.2">
      <c r="A153" t="s">
        <v>166</v>
      </c>
    </row>
    <row r="154" spans="1:1" x14ac:dyDescent="0.2">
      <c r="A154" t="s">
        <v>167</v>
      </c>
    </row>
    <row r="155" spans="1:1" x14ac:dyDescent="0.2">
      <c r="A155" t="s">
        <v>168</v>
      </c>
    </row>
    <row r="156" spans="1:1" x14ac:dyDescent="0.2">
      <c r="A156" t="s">
        <v>169</v>
      </c>
    </row>
    <row r="157" spans="1:1" x14ac:dyDescent="0.2">
      <c r="A157" t="s">
        <v>170</v>
      </c>
    </row>
    <row r="158" spans="1:1" x14ac:dyDescent="0.2">
      <c r="A158" t="s">
        <v>171</v>
      </c>
    </row>
    <row r="159" spans="1:1" x14ac:dyDescent="0.2">
      <c r="A159" t="s">
        <v>172</v>
      </c>
    </row>
    <row r="160" spans="1:1" x14ac:dyDescent="0.2">
      <c r="A160" t="s">
        <v>173</v>
      </c>
    </row>
    <row r="161" spans="1:1" x14ac:dyDescent="0.2">
      <c r="A161" t="s">
        <v>174</v>
      </c>
    </row>
    <row r="162" spans="1:1" x14ac:dyDescent="0.2">
      <c r="A162" t="s">
        <v>175</v>
      </c>
    </row>
    <row r="163" spans="1:1" x14ac:dyDescent="0.2">
      <c r="A163" t="s">
        <v>176</v>
      </c>
    </row>
    <row r="164" spans="1:1" x14ac:dyDescent="0.2">
      <c r="A164" t="s">
        <v>177</v>
      </c>
    </row>
    <row r="165" spans="1:1" x14ac:dyDescent="0.2">
      <c r="A165" t="s">
        <v>178</v>
      </c>
    </row>
    <row r="166" spans="1:1" x14ac:dyDescent="0.2">
      <c r="A166" t="s">
        <v>179</v>
      </c>
    </row>
    <row r="167" spans="1:1" x14ac:dyDescent="0.2">
      <c r="A167" t="s">
        <v>180</v>
      </c>
    </row>
    <row r="168" spans="1:1" x14ac:dyDescent="0.2">
      <c r="A168" t="s">
        <v>181</v>
      </c>
    </row>
    <row r="169" spans="1:1" x14ac:dyDescent="0.2">
      <c r="A169" t="s">
        <v>182</v>
      </c>
    </row>
    <row r="170" spans="1:1" x14ac:dyDescent="0.2">
      <c r="A170" t="s">
        <v>183</v>
      </c>
    </row>
    <row r="171" spans="1:1" x14ac:dyDescent="0.2">
      <c r="A171" t="s">
        <v>184</v>
      </c>
    </row>
    <row r="172" spans="1:1" x14ac:dyDescent="0.2">
      <c r="A172" t="s">
        <v>185</v>
      </c>
    </row>
    <row r="173" spans="1:1" x14ac:dyDescent="0.2">
      <c r="A173" t="s">
        <v>186</v>
      </c>
    </row>
    <row r="174" spans="1:1" x14ac:dyDescent="0.2">
      <c r="A174" t="s">
        <v>187</v>
      </c>
    </row>
    <row r="175" spans="1:1" x14ac:dyDescent="0.2">
      <c r="A175" t="s">
        <v>188</v>
      </c>
    </row>
    <row r="176" spans="1:1" x14ac:dyDescent="0.2">
      <c r="A176" t="s">
        <v>189</v>
      </c>
    </row>
    <row r="177" spans="1:1" x14ac:dyDescent="0.2">
      <c r="A177" t="s">
        <v>190</v>
      </c>
    </row>
    <row r="178" spans="1:1" x14ac:dyDescent="0.2">
      <c r="A178" t="s">
        <v>191</v>
      </c>
    </row>
    <row r="179" spans="1:1" x14ac:dyDescent="0.2">
      <c r="A179" t="s">
        <v>192</v>
      </c>
    </row>
    <row r="180" spans="1:1" x14ac:dyDescent="0.2">
      <c r="A180" t="s">
        <v>193</v>
      </c>
    </row>
    <row r="181" spans="1:1" x14ac:dyDescent="0.2">
      <c r="A181" t="s">
        <v>194</v>
      </c>
    </row>
    <row r="182" spans="1:1" x14ac:dyDescent="0.2">
      <c r="A182" t="s">
        <v>195</v>
      </c>
    </row>
    <row r="183" spans="1:1" x14ac:dyDescent="0.2">
      <c r="A183" t="s">
        <v>196</v>
      </c>
    </row>
    <row r="184" spans="1:1" x14ac:dyDescent="0.2">
      <c r="A184" t="s">
        <v>197</v>
      </c>
    </row>
    <row r="185" spans="1:1" x14ac:dyDescent="0.2">
      <c r="A185" t="s">
        <v>198</v>
      </c>
    </row>
    <row r="186" spans="1:1" x14ac:dyDescent="0.2">
      <c r="A186" t="s">
        <v>199</v>
      </c>
    </row>
    <row r="187" spans="1:1" x14ac:dyDescent="0.2">
      <c r="A187" t="s">
        <v>200</v>
      </c>
    </row>
    <row r="188" spans="1:1" x14ac:dyDescent="0.2">
      <c r="A188" t="s">
        <v>201</v>
      </c>
    </row>
    <row r="189" spans="1:1" x14ac:dyDescent="0.2">
      <c r="A189" t="s">
        <v>202</v>
      </c>
    </row>
    <row r="190" spans="1:1" x14ac:dyDescent="0.2">
      <c r="A190" t="s">
        <v>203</v>
      </c>
    </row>
    <row r="191" spans="1:1" x14ac:dyDescent="0.2">
      <c r="A191" t="s">
        <v>204</v>
      </c>
    </row>
    <row r="192" spans="1:1" x14ac:dyDescent="0.2">
      <c r="A192" t="s">
        <v>205</v>
      </c>
    </row>
    <row r="193" spans="1:1" x14ac:dyDescent="0.2">
      <c r="A193" t="s">
        <v>206</v>
      </c>
    </row>
    <row r="194" spans="1:1" x14ac:dyDescent="0.2">
      <c r="A194" t="s">
        <v>207</v>
      </c>
    </row>
    <row r="195" spans="1:1" x14ac:dyDescent="0.2">
      <c r="A195" t="s">
        <v>208</v>
      </c>
    </row>
    <row r="196" spans="1:1" x14ac:dyDescent="0.2">
      <c r="A196" t="s">
        <v>209</v>
      </c>
    </row>
    <row r="197" spans="1:1" x14ac:dyDescent="0.2">
      <c r="A197" t="s">
        <v>210</v>
      </c>
    </row>
    <row r="198" spans="1:1" x14ac:dyDescent="0.2">
      <c r="A198" t="s">
        <v>211</v>
      </c>
    </row>
    <row r="199" spans="1:1" x14ac:dyDescent="0.2">
      <c r="A199" t="s">
        <v>212</v>
      </c>
    </row>
    <row r="200" spans="1:1" x14ac:dyDescent="0.2">
      <c r="A200" t="s">
        <v>213</v>
      </c>
    </row>
    <row r="201" spans="1:1" x14ac:dyDescent="0.2">
      <c r="A201" t="s">
        <v>214</v>
      </c>
    </row>
    <row r="202" spans="1:1" x14ac:dyDescent="0.2">
      <c r="A202" t="s">
        <v>215</v>
      </c>
    </row>
    <row r="203" spans="1:1" x14ac:dyDescent="0.2">
      <c r="A203" t="s">
        <v>216</v>
      </c>
    </row>
    <row r="204" spans="1:1" x14ac:dyDescent="0.2">
      <c r="A204" t="s">
        <v>217</v>
      </c>
    </row>
    <row r="205" spans="1:1" x14ac:dyDescent="0.2">
      <c r="A205" t="s">
        <v>218</v>
      </c>
    </row>
    <row r="206" spans="1:1" x14ac:dyDescent="0.2">
      <c r="A206" t="s">
        <v>219</v>
      </c>
    </row>
    <row r="207" spans="1:1" x14ac:dyDescent="0.2">
      <c r="A207" t="s">
        <v>220</v>
      </c>
    </row>
    <row r="208" spans="1:1" x14ac:dyDescent="0.2">
      <c r="A208" t="s">
        <v>221</v>
      </c>
    </row>
    <row r="209" spans="1:1" x14ac:dyDescent="0.2">
      <c r="A209" t="s">
        <v>222</v>
      </c>
    </row>
    <row r="210" spans="1:1" x14ac:dyDescent="0.2">
      <c r="A210" t="s">
        <v>223</v>
      </c>
    </row>
    <row r="211" spans="1:1" x14ac:dyDescent="0.2">
      <c r="A211" t="s">
        <v>224</v>
      </c>
    </row>
    <row r="212" spans="1:1" x14ac:dyDescent="0.2">
      <c r="A212" t="s">
        <v>225</v>
      </c>
    </row>
    <row r="213" spans="1:1" x14ac:dyDescent="0.2">
      <c r="A213" t="s">
        <v>226</v>
      </c>
    </row>
    <row r="214" spans="1:1" x14ac:dyDescent="0.2">
      <c r="A214" t="s">
        <v>227</v>
      </c>
    </row>
    <row r="215" spans="1:1" x14ac:dyDescent="0.2">
      <c r="A215" t="s">
        <v>228</v>
      </c>
    </row>
    <row r="216" spans="1:1" x14ac:dyDescent="0.2">
      <c r="A216" t="s">
        <v>229</v>
      </c>
    </row>
    <row r="217" spans="1:1" x14ac:dyDescent="0.2">
      <c r="A217" t="s">
        <v>230</v>
      </c>
    </row>
    <row r="218" spans="1:1" x14ac:dyDescent="0.2">
      <c r="A218" t="s">
        <v>231</v>
      </c>
    </row>
    <row r="219" spans="1:1" x14ac:dyDescent="0.2">
      <c r="A219" t="s">
        <v>232</v>
      </c>
    </row>
    <row r="220" spans="1:1" x14ac:dyDescent="0.2">
      <c r="A220" t="s">
        <v>233</v>
      </c>
    </row>
    <row r="221" spans="1:1" x14ac:dyDescent="0.2">
      <c r="A221" t="s">
        <v>234</v>
      </c>
    </row>
    <row r="222" spans="1:1" x14ac:dyDescent="0.2">
      <c r="A222" t="s">
        <v>235</v>
      </c>
    </row>
    <row r="223" spans="1:1" x14ac:dyDescent="0.2">
      <c r="A223" t="s">
        <v>236</v>
      </c>
    </row>
    <row r="224" spans="1:1" x14ac:dyDescent="0.2">
      <c r="A224" t="s">
        <v>237</v>
      </c>
    </row>
    <row r="225" spans="1:1" x14ac:dyDescent="0.2">
      <c r="A225" t="s">
        <v>238</v>
      </c>
    </row>
    <row r="226" spans="1:1" x14ac:dyDescent="0.2">
      <c r="A226" t="s">
        <v>239</v>
      </c>
    </row>
    <row r="227" spans="1:1" x14ac:dyDescent="0.2">
      <c r="A227" t="s">
        <v>240</v>
      </c>
    </row>
    <row r="228" spans="1:1" x14ac:dyDescent="0.2">
      <c r="A228" t="s">
        <v>241</v>
      </c>
    </row>
    <row r="229" spans="1:1" x14ac:dyDescent="0.2">
      <c r="A229" t="s">
        <v>242</v>
      </c>
    </row>
    <row r="230" spans="1:1" x14ac:dyDescent="0.2">
      <c r="A230" t="s">
        <v>243</v>
      </c>
    </row>
    <row r="231" spans="1:1" x14ac:dyDescent="0.2">
      <c r="A231" t="s">
        <v>244</v>
      </c>
    </row>
    <row r="232" spans="1:1" x14ac:dyDescent="0.2">
      <c r="A232" t="s">
        <v>245</v>
      </c>
    </row>
    <row r="233" spans="1:1" x14ac:dyDescent="0.2">
      <c r="A233" t="s">
        <v>246</v>
      </c>
    </row>
    <row r="234" spans="1:1" x14ac:dyDescent="0.2">
      <c r="A234" t="s">
        <v>247</v>
      </c>
    </row>
    <row r="235" spans="1:1" x14ac:dyDescent="0.2">
      <c r="A235" t="s">
        <v>248</v>
      </c>
    </row>
    <row r="236" spans="1:1" x14ac:dyDescent="0.2">
      <c r="A236" t="s">
        <v>249</v>
      </c>
    </row>
  </sheetData>
  <phoneticPr fontId="19" type="noConversion"/>
  <pageMargins left="0.75" right="0.75" top="1" bottom="1" header="0.5" footer="0.5"/>
  <pageSetup paperSize="9" orientation="portrait" horizontalDpi="300" verticalDpi="0"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LongProperties xmlns="http://schemas.microsoft.com/office/2006/metadata/long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0F18E2C84F53940AD1802608A9F60A7" ma:contentTypeVersion="6" ma:contentTypeDescription="Create a new document." ma:contentTypeScope="" ma:versionID="9b8435dca571abe989b0845aaac6b8a4">
  <xsd:schema xmlns:xsd="http://www.w3.org/2001/XMLSchema" xmlns:xs="http://www.w3.org/2001/XMLSchema" xmlns:p="http://schemas.microsoft.com/office/2006/metadata/properties" xmlns:ns2="53668f8d-1e49-450c-b720-df1fd2d62487" xmlns:ns3="cce0f503-5035-4ce6-afe3-ec3cc2ebe8e5" targetNamespace="http://schemas.microsoft.com/office/2006/metadata/properties" ma:root="true" ma:fieldsID="eb05289464233b503a9b3f3561e86680" ns2:_="" ns3:_="">
    <xsd:import namespace="53668f8d-1e49-450c-b720-df1fd2d62487"/>
    <xsd:import namespace="cce0f503-5035-4ce6-afe3-ec3cc2ebe8e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668f8d-1e49-450c-b720-df1fd2d62487"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ce0f503-5035-4ce6-afe3-ec3cc2ebe8e5"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B0C6DA0-FCC5-4DD3-99CE-F6F7AF35F4B2}">
  <ds:schemaRefs>
    <ds:schemaRef ds:uri="http://schemas.microsoft.com/office/2006/metadata/longProperties"/>
  </ds:schemaRefs>
</ds:datastoreItem>
</file>

<file path=customXml/itemProps2.xml><?xml version="1.0" encoding="utf-8"?>
<ds:datastoreItem xmlns:ds="http://schemas.openxmlformats.org/officeDocument/2006/customXml" ds:itemID="{604B01CD-1580-461E-979E-C2B1B4F18C6B}"/>
</file>

<file path=customXml/itemProps3.xml><?xml version="1.0" encoding="utf-8"?>
<ds:datastoreItem xmlns:ds="http://schemas.openxmlformats.org/officeDocument/2006/customXml" ds:itemID="{B5E99F70-570F-4A39-BB83-21FF8D945235}"/>
</file>

<file path=customXml/itemProps4.xml><?xml version="1.0" encoding="utf-8"?>
<ds:datastoreItem xmlns:ds="http://schemas.openxmlformats.org/officeDocument/2006/customXml" ds:itemID="{A6920484-DC8B-4361-B164-256F135AA75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Note</vt:lpstr>
      <vt:lpstr>triangle</vt:lpstr>
      <vt:lpstr>revisions</vt:lpstr>
      <vt:lpstr>comments</vt:lpstr>
      <vt:lpstr>after 12 Months</vt:lpstr>
      <vt:lpstr>Chart Titles</vt:lpstr>
      <vt:lpstr>A</vt:lpstr>
      <vt:lpstr>'after 12 Months'!Print_Area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2024-10-09T14:33:17Z</dcterms:created>
  <dcterms:modified xsi:type="dcterms:W3CDTF">2026-02-02T09:48:48Z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0x010100C0F18E2C84F53940AD1802608A9F60A7</vt:lpwstr>
  </property>
</Properties>
</file>